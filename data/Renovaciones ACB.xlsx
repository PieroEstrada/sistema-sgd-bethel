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D:\Documentos_usuario_NO_BORRAR\Downloads\"/>
    </mc:Choice>
  </mc:AlternateContent>
  <xr:revisionPtr revIDLastSave="0" documentId="8_{D71758DB-9ADF-44EC-928C-A7DE9C76CF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e de Gestión 2021-2025" sheetId="1" r:id="rId1"/>
    <sheet name="ESTACIONES" sheetId="2" state="hidden" r:id="rId2"/>
    <sheet name="LOGIN" sheetId="3" state="hidden" r:id="rId3"/>
    <sheet name="LOG" sheetId="4" state="hidden" r:id="rId4"/>
  </sheets>
  <definedNames>
    <definedName name="_xlnm._FilterDatabase" localSheetId="0" hidden="1">'informe de Gestión 2021-2025'!$A$1:$K$424</definedName>
    <definedName name="Z_497476D6_08CC_4D80_AD91_405B830372AF_.wvu.FilterData" localSheetId="0" hidden="1">'informe de Gestión 2021-2025'!$A$1:$K$126</definedName>
  </definedNames>
  <calcPr calcId="191029"/>
  <customWorkbookViews>
    <customWorkbookView name="Filtro 1" guid="{497476D6-08CC-4D80-AD91-405B830372AF}" maximized="1" windowWidth="0" windowHeight="0" activeSheetId="0"/>
  </customWorkbookView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0" i="2" l="1"/>
  <c r="N130" i="2"/>
  <c r="M130" i="2"/>
  <c r="L130" i="2"/>
  <c r="K130" i="2"/>
  <c r="J130" i="2"/>
  <c r="I130" i="2"/>
  <c r="H130" i="2"/>
  <c r="G130" i="2" a="1"/>
  <c r="G130" i="2" s="1"/>
  <c r="F130" i="2"/>
  <c r="E130" i="2" a="1"/>
  <c r="E130" i="2" s="1"/>
  <c r="D130" i="2" a="1"/>
  <c r="D130" i="2" s="1"/>
  <c r="C130" i="2" a="1"/>
  <c r="C130" i="2" s="1"/>
  <c r="B130" i="2" a="1"/>
  <c r="B130" i="2" s="1"/>
  <c r="O129" i="2"/>
  <c r="N129" i="2"/>
  <c r="M129" i="2"/>
  <c r="L129" i="2"/>
  <c r="K129" i="2"/>
  <c r="J129" i="2"/>
  <c r="I129" i="2"/>
  <c r="H129" i="2"/>
  <c r="G129" i="2" a="1"/>
  <c r="G129" i="2" s="1"/>
  <c r="F129" i="2"/>
  <c r="E129" i="2" a="1"/>
  <c r="E129" i="2" s="1"/>
  <c r="D129" i="2" a="1"/>
  <c r="D129" i="2" s="1"/>
  <c r="C129" i="2" a="1"/>
  <c r="C129" i="2" s="1"/>
  <c r="B129" i="2" a="1"/>
  <c r="B129" i="2" s="1"/>
  <c r="O128" i="2"/>
  <c r="N128" i="2"/>
  <c r="M128" i="2"/>
  <c r="L128" i="2"/>
  <c r="K128" i="2"/>
  <c r="J128" i="2"/>
  <c r="I128" i="2"/>
  <c r="H128" i="2"/>
  <c r="G128" i="2" a="1"/>
  <c r="G128" i="2" s="1"/>
  <c r="F128" i="2"/>
  <c r="E128" i="2" a="1"/>
  <c r="E128" i="2" s="1"/>
  <c r="D128" i="2" a="1"/>
  <c r="D128" i="2" s="1"/>
  <c r="C128" i="2" a="1"/>
  <c r="C128" i="2" s="1"/>
  <c r="B128" i="2" a="1"/>
  <c r="B128" i="2" s="1"/>
  <c r="O127" i="2"/>
  <c r="N127" i="2"/>
  <c r="M127" i="2"/>
  <c r="L127" i="2"/>
  <c r="K127" i="2"/>
  <c r="J127" i="2"/>
  <c r="I127" i="2"/>
  <c r="H127" i="2"/>
  <c r="G127" i="2" a="1"/>
  <c r="G127" i="2" s="1"/>
  <c r="F127" i="2"/>
  <c r="E127" i="2" a="1"/>
  <c r="E127" i="2" s="1"/>
  <c r="D127" i="2" a="1"/>
  <c r="D127" i="2" s="1"/>
  <c r="C127" i="2" a="1"/>
  <c r="C127" i="2" s="1"/>
  <c r="B127" i="2" a="1"/>
  <c r="B127" i="2" s="1"/>
  <c r="O126" i="2"/>
  <c r="N126" i="2"/>
  <c r="M126" i="2"/>
  <c r="L126" i="2"/>
  <c r="K126" i="2"/>
  <c r="J126" i="2"/>
  <c r="I126" i="2"/>
  <c r="H126" i="2"/>
  <c r="G126" i="2" a="1"/>
  <c r="G126" i="2" s="1"/>
  <c r="F126" i="2"/>
  <c r="E126" i="2" a="1"/>
  <c r="E126" i="2" s="1"/>
  <c r="D126" i="2" a="1"/>
  <c r="D126" i="2" s="1"/>
  <c r="C126" i="2" a="1"/>
  <c r="C126" i="2" s="1"/>
  <c r="B126" i="2" a="1"/>
  <c r="B126" i="2" s="1"/>
  <c r="O125" i="2"/>
  <c r="N125" i="2"/>
  <c r="M125" i="2"/>
  <c r="L125" i="2"/>
  <c r="K125" i="2"/>
  <c r="J125" i="2"/>
  <c r="I125" i="2"/>
  <c r="H125" i="2"/>
  <c r="G125" i="2" a="1"/>
  <c r="G125" i="2" s="1"/>
  <c r="F125" i="2"/>
  <c r="E125" i="2" a="1"/>
  <c r="E125" i="2" s="1"/>
  <c r="D125" i="2" a="1"/>
  <c r="D125" i="2" s="1"/>
  <c r="C125" i="2" a="1"/>
  <c r="C125" i="2" s="1"/>
  <c r="B125" i="2" a="1"/>
  <c r="B125" i="2" s="1"/>
  <c r="O124" i="2"/>
  <c r="N124" i="2"/>
  <c r="M124" i="2"/>
  <c r="L124" i="2"/>
  <c r="K124" i="2"/>
  <c r="J124" i="2"/>
  <c r="I124" i="2"/>
  <c r="H124" i="2"/>
  <c r="G124" i="2" a="1"/>
  <c r="G124" i="2" s="1"/>
  <c r="F124" i="2"/>
  <c r="E124" i="2" a="1"/>
  <c r="E124" i="2" s="1"/>
  <c r="D124" i="2" a="1"/>
  <c r="D124" i="2" s="1"/>
  <c r="C124" i="2" a="1"/>
  <c r="C124" i="2" s="1"/>
  <c r="B124" i="2" a="1"/>
  <c r="B124" i="2" s="1"/>
  <c r="O123" i="2"/>
  <c r="N123" i="2"/>
  <c r="M123" i="2"/>
  <c r="L123" i="2"/>
  <c r="K123" i="2"/>
  <c r="J123" i="2"/>
  <c r="I123" i="2"/>
  <c r="H123" i="2"/>
  <c r="G123" i="2" a="1"/>
  <c r="G123" i="2" s="1"/>
  <c r="F123" i="2"/>
  <c r="E123" i="2" a="1"/>
  <c r="E123" i="2" s="1"/>
  <c r="D123" i="2" a="1"/>
  <c r="D123" i="2" s="1"/>
  <c r="C123" i="2" a="1"/>
  <c r="C123" i="2" s="1"/>
  <c r="B123" i="2" a="1"/>
  <c r="B123" i="2" s="1"/>
  <c r="O122" i="2"/>
  <c r="N122" i="2"/>
  <c r="M122" i="2"/>
  <c r="L122" i="2"/>
  <c r="K122" i="2"/>
  <c r="J122" i="2"/>
  <c r="I122" i="2"/>
  <c r="H122" i="2"/>
  <c r="G122" i="2" a="1"/>
  <c r="G122" i="2" s="1"/>
  <c r="F122" i="2"/>
  <c r="E122" i="2" a="1"/>
  <c r="E122" i="2" s="1"/>
  <c r="D122" i="2" a="1"/>
  <c r="D122" i="2"/>
  <c r="C122" i="2" a="1"/>
  <c r="C122" i="2" s="1"/>
  <c r="B122" i="2" a="1"/>
  <c r="B122" i="2" s="1"/>
  <c r="O121" i="2"/>
  <c r="N121" i="2"/>
  <c r="M121" i="2"/>
  <c r="L121" i="2"/>
  <c r="K121" i="2"/>
  <c r="J121" i="2"/>
  <c r="I121" i="2"/>
  <c r="H121" i="2"/>
  <c r="G121" i="2" a="1"/>
  <c r="G121" i="2" s="1"/>
  <c r="F121" i="2"/>
  <c r="E121" i="2" a="1"/>
  <c r="E121" i="2" s="1"/>
  <c r="D121" i="2" a="1"/>
  <c r="D121" i="2" s="1"/>
  <c r="C121" i="2" a="1"/>
  <c r="C121" i="2" s="1"/>
  <c r="B121" i="2" a="1"/>
  <c r="B121" i="2" s="1"/>
  <c r="O120" i="2"/>
  <c r="N120" i="2"/>
  <c r="M120" i="2"/>
  <c r="L120" i="2"/>
  <c r="K120" i="2"/>
  <c r="J120" i="2"/>
  <c r="I120" i="2"/>
  <c r="H120" i="2"/>
  <c r="G120" i="2" a="1"/>
  <c r="G120" i="2" s="1"/>
  <c r="F120" i="2"/>
  <c r="E120" i="2" a="1"/>
  <c r="E120" i="2" s="1"/>
  <c r="D120" i="2" a="1"/>
  <c r="D120" i="2" s="1"/>
  <c r="C120" i="2" a="1"/>
  <c r="C120" i="2" s="1"/>
  <c r="B120" i="2" a="1"/>
  <c r="B120" i="2" s="1"/>
  <c r="O119" i="2"/>
  <c r="N119" i="2"/>
  <c r="M119" i="2"/>
  <c r="L119" i="2"/>
  <c r="K119" i="2"/>
  <c r="J119" i="2"/>
  <c r="I119" i="2"/>
  <c r="H119" i="2"/>
  <c r="G119" i="2" a="1"/>
  <c r="G119" i="2" s="1"/>
  <c r="F119" i="2"/>
  <c r="E119" i="2" a="1"/>
  <c r="E119" i="2" s="1"/>
  <c r="D119" i="2" a="1"/>
  <c r="D119" i="2" s="1"/>
  <c r="C119" i="2" a="1"/>
  <c r="C119" i="2" s="1"/>
  <c r="B119" i="2" a="1"/>
  <c r="B119" i="2" s="1"/>
  <c r="O118" i="2"/>
  <c r="N118" i="2"/>
  <c r="M118" i="2"/>
  <c r="L118" i="2"/>
  <c r="K118" i="2"/>
  <c r="J118" i="2"/>
  <c r="I118" i="2"/>
  <c r="H118" i="2"/>
  <c r="G118" i="2" a="1"/>
  <c r="G118" i="2" s="1"/>
  <c r="F118" i="2"/>
  <c r="E118" i="2" a="1"/>
  <c r="E118" i="2" s="1"/>
  <c r="D118" i="2" a="1"/>
  <c r="D118" i="2" s="1"/>
  <c r="C118" i="2" a="1"/>
  <c r="C118" i="2" s="1"/>
  <c r="B118" i="2" a="1"/>
  <c r="B118" i="2"/>
  <c r="O117" i="2"/>
  <c r="N117" i="2"/>
  <c r="M117" i="2"/>
  <c r="L117" i="2"/>
  <c r="K117" i="2"/>
  <c r="J117" i="2"/>
  <c r="I117" i="2"/>
  <c r="H117" i="2"/>
  <c r="G117" i="2" a="1"/>
  <c r="G117" i="2" s="1"/>
  <c r="F117" i="2"/>
  <c r="E117" i="2" a="1"/>
  <c r="E117" i="2" s="1"/>
  <c r="D117" i="2" a="1"/>
  <c r="D117" i="2" s="1"/>
  <c r="C117" i="2" a="1"/>
  <c r="C117" i="2" s="1"/>
  <c r="B117" i="2" a="1"/>
  <c r="B117" i="2" s="1"/>
  <c r="O116" i="2"/>
  <c r="N116" i="2"/>
  <c r="M116" i="2"/>
  <c r="L116" i="2"/>
  <c r="K116" i="2"/>
  <c r="J116" i="2"/>
  <c r="I116" i="2"/>
  <c r="H116" i="2"/>
  <c r="G116" i="2" a="1"/>
  <c r="G116" i="2" s="1"/>
  <c r="F116" i="2"/>
  <c r="E116" i="2" a="1"/>
  <c r="E116" i="2" s="1"/>
  <c r="D116" i="2" a="1"/>
  <c r="D116" i="2" s="1"/>
  <c r="C116" i="2" a="1"/>
  <c r="C116" i="2" s="1"/>
  <c r="B116" i="2" a="1"/>
  <c r="B116" i="2" s="1"/>
  <c r="O115" i="2"/>
  <c r="N115" i="2"/>
  <c r="M115" i="2"/>
  <c r="L115" i="2"/>
  <c r="K115" i="2"/>
  <c r="J115" i="2"/>
  <c r="I115" i="2"/>
  <c r="H115" i="2"/>
  <c r="G115" i="2" a="1"/>
  <c r="G115" i="2" s="1"/>
  <c r="F115" i="2"/>
  <c r="E115" i="2" a="1"/>
  <c r="E115" i="2" s="1"/>
  <c r="D115" i="2" a="1"/>
  <c r="D115" i="2" s="1"/>
  <c r="C115" i="2" a="1"/>
  <c r="C115" i="2" s="1"/>
  <c r="B115" i="2" a="1"/>
  <c r="B115" i="2" s="1"/>
  <c r="O114" i="2"/>
  <c r="N114" i="2"/>
  <c r="M114" i="2"/>
  <c r="L114" i="2"/>
  <c r="K114" i="2"/>
  <c r="J114" i="2"/>
  <c r="I114" i="2"/>
  <c r="H114" i="2"/>
  <c r="G114" i="2" a="1"/>
  <c r="G114" i="2" s="1"/>
  <c r="F114" i="2"/>
  <c r="E114" i="2" a="1"/>
  <c r="E114" i="2" s="1"/>
  <c r="D114" i="2" a="1"/>
  <c r="D114" i="2" s="1"/>
  <c r="C114" i="2" a="1"/>
  <c r="C114" i="2"/>
  <c r="B114" i="2" a="1"/>
  <c r="B114" i="2" s="1"/>
  <c r="O113" i="2"/>
  <c r="N113" i="2"/>
  <c r="M113" i="2"/>
  <c r="L113" i="2"/>
  <c r="K113" i="2"/>
  <c r="J113" i="2"/>
  <c r="I113" i="2"/>
  <c r="H113" i="2"/>
  <c r="G113" i="2" a="1"/>
  <c r="G113" i="2" s="1"/>
  <c r="F113" i="2"/>
  <c r="E113" i="2" a="1"/>
  <c r="E113" i="2" s="1"/>
  <c r="D113" i="2" a="1"/>
  <c r="D113" i="2" s="1"/>
  <c r="C113" i="2" a="1"/>
  <c r="C113" i="2" s="1"/>
  <c r="B113" i="2" a="1"/>
  <c r="B113" i="2" s="1"/>
  <c r="O112" i="2"/>
  <c r="N112" i="2"/>
  <c r="M112" i="2"/>
  <c r="L112" i="2"/>
  <c r="K112" i="2"/>
  <c r="J112" i="2"/>
  <c r="I112" i="2"/>
  <c r="H112" i="2"/>
  <c r="G112" i="2" a="1"/>
  <c r="G112" i="2" s="1"/>
  <c r="F112" i="2"/>
  <c r="E112" i="2" a="1"/>
  <c r="E112" i="2" s="1"/>
  <c r="D112" i="2" a="1"/>
  <c r="D112" i="2" s="1"/>
  <c r="C112" i="2" a="1"/>
  <c r="C112" i="2" s="1"/>
  <c r="B112" i="2" a="1"/>
  <c r="B112" i="2" s="1"/>
  <c r="O111" i="2"/>
  <c r="N111" i="2"/>
  <c r="M111" i="2"/>
  <c r="L111" i="2"/>
  <c r="K111" i="2"/>
  <c r="J111" i="2"/>
  <c r="I111" i="2"/>
  <c r="H111" i="2"/>
  <c r="G111" i="2" a="1"/>
  <c r="G111" i="2" s="1"/>
  <c r="F111" i="2"/>
  <c r="E111" i="2" a="1"/>
  <c r="E111" i="2" s="1"/>
  <c r="D111" i="2" a="1"/>
  <c r="D111" i="2" s="1"/>
  <c r="C111" i="2" a="1"/>
  <c r="C111" i="2" s="1"/>
  <c r="B111" i="2" a="1"/>
  <c r="B111" i="2" s="1"/>
  <c r="O110" i="2"/>
  <c r="N110" i="2"/>
  <c r="M110" i="2"/>
  <c r="L110" i="2"/>
  <c r="K110" i="2"/>
  <c r="J110" i="2"/>
  <c r="I110" i="2"/>
  <c r="H110" i="2"/>
  <c r="G110" i="2" a="1"/>
  <c r="G110" i="2" s="1"/>
  <c r="F110" i="2"/>
  <c r="E110" i="2" a="1"/>
  <c r="E110" i="2" s="1"/>
  <c r="D110" i="2" a="1"/>
  <c r="D110" i="2" s="1"/>
  <c r="C110" i="2" a="1"/>
  <c r="C110" i="2" s="1"/>
  <c r="B110" i="2" a="1"/>
  <c r="B110" i="2" s="1"/>
  <c r="O109" i="2"/>
  <c r="N109" i="2"/>
  <c r="M109" i="2"/>
  <c r="L109" i="2"/>
  <c r="K109" i="2"/>
  <c r="J109" i="2"/>
  <c r="I109" i="2"/>
  <c r="H109" i="2"/>
  <c r="G109" i="2" a="1"/>
  <c r="G109" i="2" s="1"/>
  <c r="F109" i="2"/>
  <c r="E109" i="2" a="1"/>
  <c r="E109" i="2" s="1"/>
  <c r="D109" i="2" a="1"/>
  <c r="D109" i="2" s="1"/>
  <c r="C109" i="2" a="1"/>
  <c r="C109" i="2" s="1"/>
  <c r="B109" i="2" a="1"/>
  <c r="B109" i="2"/>
  <c r="O108" i="2"/>
  <c r="N108" i="2"/>
  <c r="M108" i="2"/>
  <c r="L108" i="2"/>
  <c r="K108" i="2"/>
  <c r="J108" i="2"/>
  <c r="I108" i="2"/>
  <c r="H108" i="2"/>
  <c r="G108" i="2" a="1"/>
  <c r="G108" i="2" s="1"/>
  <c r="F108" i="2"/>
  <c r="E108" i="2" a="1"/>
  <c r="E108" i="2" s="1"/>
  <c r="D108" i="2" a="1"/>
  <c r="D108" i="2" s="1"/>
  <c r="C108" i="2" a="1"/>
  <c r="C108" i="2" s="1"/>
  <c r="B108" i="2" a="1"/>
  <c r="B108" i="2" s="1"/>
  <c r="O107" i="2"/>
  <c r="N107" i="2"/>
  <c r="M107" i="2"/>
  <c r="L107" i="2"/>
  <c r="K107" i="2"/>
  <c r="J107" i="2"/>
  <c r="I107" i="2"/>
  <c r="H107" i="2"/>
  <c r="G107" i="2" a="1"/>
  <c r="G107" i="2" s="1"/>
  <c r="F107" i="2"/>
  <c r="E107" i="2" a="1"/>
  <c r="E107" i="2" s="1"/>
  <c r="D107" i="2" a="1"/>
  <c r="D107" i="2" s="1"/>
  <c r="C107" i="2" a="1"/>
  <c r="C107" i="2" s="1"/>
  <c r="B107" i="2" a="1"/>
  <c r="B107" i="2" s="1"/>
  <c r="O106" i="2"/>
  <c r="N106" i="2"/>
  <c r="M106" i="2"/>
  <c r="L106" i="2"/>
  <c r="K106" i="2"/>
  <c r="J106" i="2"/>
  <c r="I106" i="2"/>
  <c r="H106" i="2"/>
  <c r="G106" i="2" a="1"/>
  <c r="G106" i="2" s="1"/>
  <c r="F106" i="2"/>
  <c r="E106" i="2" a="1"/>
  <c r="E106" i="2" s="1"/>
  <c r="D106" i="2" a="1"/>
  <c r="D106" i="2" s="1"/>
  <c r="C106" i="2" a="1"/>
  <c r="C106" i="2" s="1"/>
  <c r="B106" i="2" a="1"/>
  <c r="B106" i="2" s="1"/>
  <c r="O105" i="2"/>
  <c r="N105" i="2"/>
  <c r="M105" i="2"/>
  <c r="L105" i="2"/>
  <c r="K105" i="2"/>
  <c r="J105" i="2"/>
  <c r="I105" i="2"/>
  <c r="H105" i="2"/>
  <c r="G105" i="2" a="1"/>
  <c r="G105" i="2" s="1"/>
  <c r="F105" i="2"/>
  <c r="E105" i="2" a="1"/>
  <c r="E105" i="2" s="1"/>
  <c r="D105" i="2" a="1"/>
  <c r="D105" i="2" s="1"/>
  <c r="C105" i="2" a="1"/>
  <c r="C105" i="2" s="1"/>
  <c r="B105" i="2" a="1"/>
  <c r="B105" i="2" s="1"/>
  <c r="O104" i="2"/>
  <c r="N104" i="2"/>
  <c r="M104" i="2"/>
  <c r="L104" i="2"/>
  <c r="K104" i="2"/>
  <c r="J104" i="2"/>
  <c r="I104" i="2"/>
  <c r="H104" i="2"/>
  <c r="G104" i="2" a="1"/>
  <c r="G104" i="2" s="1"/>
  <c r="F104" i="2"/>
  <c r="E104" i="2" a="1"/>
  <c r="E104" i="2" s="1"/>
  <c r="D104" i="2" a="1"/>
  <c r="D104" i="2" s="1"/>
  <c r="C104" i="2" a="1"/>
  <c r="C104" i="2" s="1"/>
  <c r="B104" i="2" a="1"/>
  <c r="B104" i="2" s="1"/>
  <c r="O103" i="2"/>
  <c r="N103" i="2"/>
  <c r="M103" i="2"/>
  <c r="L103" i="2"/>
  <c r="K103" i="2"/>
  <c r="J103" i="2"/>
  <c r="I103" i="2"/>
  <c r="H103" i="2"/>
  <c r="G103" i="2" a="1"/>
  <c r="G103" i="2" s="1"/>
  <c r="F103" i="2"/>
  <c r="E103" i="2" a="1"/>
  <c r="E103" i="2" s="1"/>
  <c r="D103" i="2" a="1"/>
  <c r="D103" i="2" s="1"/>
  <c r="C103" i="2" a="1"/>
  <c r="C103" i="2" s="1"/>
  <c r="B103" i="2" a="1"/>
  <c r="B103" i="2" s="1"/>
  <c r="O102" i="2"/>
  <c r="N102" i="2"/>
  <c r="M102" i="2"/>
  <c r="L102" i="2"/>
  <c r="K102" i="2"/>
  <c r="J102" i="2"/>
  <c r="I102" i="2"/>
  <c r="H102" i="2"/>
  <c r="G102" i="2" a="1"/>
  <c r="G102" i="2" s="1"/>
  <c r="F102" i="2"/>
  <c r="E102" i="2" a="1"/>
  <c r="E102" i="2" s="1"/>
  <c r="D102" i="2" a="1"/>
  <c r="D102" i="2" s="1"/>
  <c r="C102" i="2" a="1"/>
  <c r="C102" i="2" s="1"/>
  <c r="B102" i="2" a="1"/>
  <c r="B102" i="2" s="1"/>
  <c r="O101" i="2"/>
  <c r="N101" i="2"/>
  <c r="M101" i="2"/>
  <c r="L101" i="2"/>
  <c r="K101" i="2"/>
  <c r="J101" i="2"/>
  <c r="I101" i="2"/>
  <c r="H101" i="2"/>
  <c r="G101" i="2" a="1"/>
  <c r="G101" i="2" s="1"/>
  <c r="F101" i="2"/>
  <c r="E101" i="2" a="1"/>
  <c r="E101" i="2" s="1"/>
  <c r="D101" i="2" a="1"/>
  <c r="D101" i="2" s="1"/>
  <c r="C101" i="2" a="1"/>
  <c r="C101" i="2" s="1"/>
  <c r="B101" i="2" a="1"/>
  <c r="B101" i="2" s="1"/>
  <c r="O100" i="2"/>
  <c r="N100" i="2"/>
  <c r="M100" i="2"/>
  <c r="L100" i="2"/>
  <c r="K100" i="2"/>
  <c r="J100" i="2"/>
  <c r="I100" i="2"/>
  <c r="H100" i="2"/>
  <c r="G100" i="2" a="1"/>
  <c r="G100" i="2" s="1"/>
  <c r="F100" i="2"/>
  <c r="E100" i="2" a="1"/>
  <c r="E100" i="2" s="1"/>
  <c r="D100" i="2" a="1"/>
  <c r="D100" i="2" s="1"/>
  <c r="C100" i="2" a="1"/>
  <c r="C100" i="2" s="1"/>
  <c r="B100" i="2" a="1"/>
  <c r="B100" i="2" s="1"/>
  <c r="O99" i="2"/>
  <c r="N99" i="2"/>
  <c r="M99" i="2"/>
  <c r="L99" i="2"/>
  <c r="K99" i="2"/>
  <c r="J99" i="2"/>
  <c r="I99" i="2"/>
  <c r="H99" i="2"/>
  <c r="G99" i="2" a="1"/>
  <c r="G99" i="2" s="1"/>
  <c r="F99" i="2"/>
  <c r="E99" i="2" a="1"/>
  <c r="E99" i="2" s="1"/>
  <c r="D99" i="2" a="1"/>
  <c r="D99" i="2" s="1"/>
  <c r="C99" i="2" a="1"/>
  <c r="C99" i="2" s="1"/>
  <c r="B99" i="2" a="1"/>
  <c r="B99" i="2" s="1"/>
  <c r="O98" i="2"/>
  <c r="N98" i="2"/>
  <c r="M98" i="2"/>
  <c r="L98" i="2"/>
  <c r="K98" i="2"/>
  <c r="J98" i="2"/>
  <c r="I98" i="2"/>
  <c r="H98" i="2"/>
  <c r="G98" i="2" a="1"/>
  <c r="G98" i="2" s="1"/>
  <c r="F98" i="2"/>
  <c r="E98" i="2" a="1"/>
  <c r="E98" i="2" s="1"/>
  <c r="D98" i="2" a="1"/>
  <c r="D98" i="2" s="1"/>
  <c r="C98" i="2" a="1"/>
  <c r="C98" i="2" s="1"/>
  <c r="B98" i="2" a="1"/>
  <c r="B98" i="2" s="1"/>
  <c r="O97" i="2"/>
  <c r="N97" i="2"/>
  <c r="M97" i="2"/>
  <c r="L97" i="2"/>
  <c r="K97" i="2"/>
  <c r="J97" i="2"/>
  <c r="I97" i="2"/>
  <c r="H97" i="2"/>
  <c r="G97" i="2" a="1"/>
  <c r="G97" i="2" s="1"/>
  <c r="F97" i="2"/>
  <c r="E97" i="2" a="1"/>
  <c r="E97" i="2" s="1"/>
  <c r="D97" i="2" a="1"/>
  <c r="D97" i="2" s="1"/>
  <c r="C97" i="2" a="1"/>
  <c r="C97" i="2" s="1"/>
  <c r="B97" i="2" a="1"/>
  <c r="B97" i="2" s="1"/>
  <c r="O96" i="2"/>
  <c r="N96" i="2"/>
  <c r="M96" i="2"/>
  <c r="L96" i="2"/>
  <c r="K96" i="2"/>
  <c r="J96" i="2"/>
  <c r="I96" i="2"/>
  <c r="H96" i="2"/>
  <c r="G96" i="2" a="1"/>
  <c r="G96" i="2" s="1"/>
  <c r="F96" i="2"/>
  <c r="E96" i="2" a="1"/>
  <c r="E96" i="2" s="1"/>
  <c r="D96" i="2" a="1"/>
  <c r="D96" i="2" s="1"/>
  <c r="C96" i="2" a="1"/>
  <c r="C96" i="2" s="1"/>
  <c r="B96" i="2" a="1"/>
  <c r="B96" i="2"/>
  <c r="O95" i="2"/>
  <c r="N95" i="2"/>
  <c r="M95" i="2"/>
  <c r="L95" i="2"/>
  <c r="K95" i="2"/>
  <c r="J95" i="2"/>
  <c r="I95" i="2"/>
  <c r="H95" i="2"/>
  <c r="G95" i="2" a="1"/>
  <c r="G95" i="2" s="1"/>
  <c r="F95" i="2"/>
  <c r="E95" i="2" a="1"/>
  <c r="E95" i="2" s="1"/>
  <c r="D95" i="2" a="1"/>
  <c r="D95" i="2" s="1"/>
  <c r="C95" i="2" a="1"/>
  <c r="C95" i="2" s="1"/>
  <c r="B95" i="2" a="1"/>
  <c r="B95" i="2" s="1"/>
  <c r="O94" i="2"/>
  <c r="N94" i="2"/>
  <c r="M94" i="2"/>
  <c r="L94" i="2"/>
  <c r="K94" i="2"/>
  <c r="J94" i="2"/>
  <c r="I94" i="2"/>
  <c r="H94" i="2"/>
  <c r="G94" i="2" a="1"/>
  <c r="G94" i="2" s="1"/>
  <c r="F94" i="2"/>
  <c r="E94" i="2" a="1"/>
  <c r="E94" i="2" s="1"/>
  <c r="D94" i="2" a="1"/>
  <c r="D94" i="2" s="1"/>
  <c r="C94" i="2" a="1"/>
  <c r="C94" i="2" s="1"/>
  <c r="B94" i="2" a="1"/>
  <c r="B94" i="2" s="1"/>
  <c r="O93" i="2"/>
  <c r="N93" i="2"/>
  <c r="M93" i="2"/>
  <c r="L93" i="2"/>
  <c r="K93" i="2"/>
  <c r="J93" i="2"/>
  <c r="I93" i="2"/>
  <c r="H93" i="2"/>
  <c r="G93" i="2" a="1"/>
  <c r="G93" i="2" s="1"/>
  <c r="F93" i="2"/>
  <c r="E93" i="2" a="1"/>
  <c r="E93" i="2" s="1"/>
  <c r="D93" i="2" a="1"/>
  <c r="D93" i="2" s="1"/>
  <c r="C93" i="2" a="1"/>
  <c r="C93" i="2" s="1"/>
  <c r="B93" i="2" a="1"/>
  <c r="B93" i="2" s="1"/>
  <c r="O92" i="2"/>
  <c r="N92" i="2"/>
  <c r="M92" i="2"/>
  <c r="L92" i="2"/>
  <c r="K92" i="2"/>
  <c r="J92" i="2"/>
  <c r="I92" i="2"/>
  <c r="H92" i="2"/>
  <c r="G92" i="2" a="1"/>
  <c r="G92" i="2" s="1"/>
  <c r="F92" i="2"/>
  <c r="E92" i="2" a="1"/>
  <c r="E92" i="2" s="1"/>
  <c r="D92" i="2" a="1"/>
  <c r="D92" i="2" s="1"/>
  <c r="C92" i="2" a="1"/>
  <c r="C92" i="2" s="1"/>
  <c r="B92" i="2" a="1"/>
  <c r="B92" i="2" s="1"/>
  <c r="O91" i="2"/>
  <c r="N91" i="2"/>
  <c r="M91" i="2"/>
  <c r="L91" i="2"/>
  <c r="K91" i="2"/>
  <c r="J91" i="2"/>
  <c r="I91" i="2"/>
  <c r="H91" i="2"/>
  <c r="G91" i="2" a="1"/>
  <c r="G91" i="2" s="1"/>
  <c r="F91" i="2"/>
  <c r="E91" i="2" a="1"/>
  <c r="E91" i="2" s="1"/>
  <c r="D91" i="2" a="1"/>
  <c r="D91" i="2" s="1"/>
  <c r="C91" i="2" a="1"/>
  <c r="C91" i="2" s="1"/>
  <c r="B91" i="2" a="1"/>
  <c r="B91" i="2" s="1"/>
  <c r="O90" i="2"/>
  <c r="N90" i="2"/>
  <c r="M90" i="2"/>
  <c r="L90" i="2"/>
  <c r="K90" i="2"/>
  <c r="J90" i="2"/>
  <c r="I90" i="2"/>
  <c r="H90" i="2"/>
  <c r="G90" i="2" a="1"/>
  <c r="G90" i="2" s="1"/>
  <c r="F90" i="2"/>
  <c r="E90" i="2" a="1"/>
  <c r="E90" i="2" s="1"/>
  <c r="D90" i="2" a="1"/>
  <c r="D90" i="2" s="1"/>
  <c r="C90" i="2" a="1"/>
  <c r="C90" i="2" s="1"/>
  <c r="B90" i="2" a="1"/>
  <c r="B90" i="2" s="1"/>
  <c r="O89" i="2"/>
  <c r="N89" i="2"/>
  <c r="M89" i="2"/>
  <c r="L89" i="2"/>
  <c r="K89" i="2"/>
  <c r="J89" i="2"/>
  <c r="I89" i="2"/>
  <c r="H89" i="2"/>
  <c r="G89" i="2" a="1"/>
  <c r="G89" i="2" s="1"/>
  <c r="F89" i="2"/>
  <c r="E89" i="2" a="1"/>
  <c r="E89" i="2" s="1"/>
  <c r="D89" i="2" a="1"/>
  <c r="D89" i="2" s="1"/>
  <c r="C89" i="2" a="1"/>
  <c r="C89" i="2" s="1"/>
  <c r="B89" i="2" a="1"/>
  <c r="B89" i="2"/>
  <c r="O88" i="2"/>
  <c r="N88" i="2"/>
  <c r="M88" i="2"/>
  <c r="L88" i="2"/>
  <c r="K88" i="2"/>
  <c r="J88" i="2"/>
  <c r="I88" i="2"/>
  <c r="H88" i="2"/>
  <c r="G88" i="2" a="1"/>
  <c r="G88" i="2" s="1"/>
  <c r="F88" i="2"/>
  <c r="E88" i="2" a="1"/>
  <c r="E88" i="2" s="1"/>
  <c r="D88" i="2" a="1"/>
  <c r="D88" i="2" s="1"/>
  <c r="C88" i="2" a="1"/>
  <c r="C88" i="2" s="1"/>
  <c r="B88" i="2" a="1"/>
  <c r="B88" i="2" s="1"/>
  <c r="O87" i="2"/>
  <c r="N87" i="2"/>
  <c r="M87" i="2"/>
  <c r="L87" i="2"/>
  <c r="K87" i="2"/>
  <c r="J87" i="2"/>
  <c r="I87" i="2"/>
  <c r="H87" i="2"/>
  <c r="G87" i="2" a="1"/>
  <c r="G87" i="2" s="1"/>
  <c r="F87" i="2"/>
  <c r="E87" i="2" a="1"/>
  <c r="E87" i="2" s="1"/>
  <c r="D87" i="2" a="1"/>
  <c r="D87" i="2" s="1"/>
  <c r="C87" i="2" a="1"/>
  <c r="C87" i="2" s="1"/>
  <c r="B87" i="2" a="1"/>
  <c r="B87" i="2" s="1"/>
  <c r="O86" i="2"/>
  <c r="N86" i="2"/>
  <c r="M86" i="2"/>
  <c r="L86" i="2"/>
  <c r="K86" i="2"/>
  <c r="J86" i="2"/>
  <c r="I86" i="2"/>
  <c r="H86" i="2"/>
  <c r="G86" i="2" a="1"/>
  <c r="G86" i="2" s="1"/>
  <c r="F86" i="2"/>
  <c r="E86" i="2" a="1"/>
  <c r="E86" i="2" s="1"/>
  <c r="D86" i="2" a="1"/>
  <c r="D86" i="2" s="1"/>
  <c r="C86" i="2" a="1"/>
  <c r="C86" i="2" s="1"/>
  <c r="B86" i="2" a="1"/>
  <c r="B86" i="2" s="1"/>
  <c r="O85" i="2"/>
  <c r="N85" i="2"/>
  <c r="M85" i="2"/>
  <c r="L85" i="2"/>
  <c r="K85" i="2"/>
  <c r="J85" i="2"/>
  <c r="I85" i="2"/>
  <c r="H85" i="2"/>
  <c r="G85" i="2" a="1"/>
  <c r="G85" i="2" s="1"/>
  <c r="F85" i="2"/>
  <c r="E85" i="2" a="1"/>
  <c r="E85" i="2" s="1"/>
  <c r="D85" i="2" a="1"/>
  <c r="D85" i="2" s="1"/>
  <c r="C85" i="2" a="1"/>
  <c r="C85" i="2" s="1"/>
  <c r="B85" i="2" a="1"/>
  <c r="B85" i="2" s="1"/>
  <c r="O84" i="2"/>
  <c r="N84" i="2"/>
  <c r="M84" i="2"/>
  <c r="L84" i="2"/>
  <c r="K84" i="2"/>
  <c r="J84" i="2"/>
  <c r="I84" i="2"/>
  <c r="H84" i="2"/>
  <c r="G84" i="2" a="1"/>
  <c r="G84" i="2" s="1"/>
  <c r="F84" i="2"/>
  <c r="E84" i="2" a="1"/>
  <c r="E84" i="2" s="1"/>
  <c r="D84" i="2" a="1"/>
  <c r="D84" i="2" s="1"/>
  <c r="C84" i="2" a="1"/>
  <c r="C84" i="2" s="1"/>
  <c r="B84" i="2" a="1"/>
  <c r="B84" i="2" s="1"/>
  <c r="O83" i="2"/>
  <c r="N83" i="2"/>
  <c r="M83" i="2"/>
  <c r="L83" i="2"/>
  <c r="K83" i="2"/>
  <c r="J83" i="2"/>
  <c r="I83" i="2"/>
  <c r="H83" i="2"/>
  <c r="G83" i="2" a="1"/>
  <c r="G83" i="2" s="1"/>
  <c r="F83" i="2"/>
  <c r="E83" i="2" a="1"/>
  <c r="E83" i="2" s="1"/>
  <c r="D83" i="2" a="1"/>
  <c r="D83" i="2" s="1"/>
  <c r="C83" i="2" a="1"/>
  <c r="C83" i="2" s="1"/>
  <c r="B83" i="2" a="1"/>
  <c r="B83" i="2" s="1"/>
  <c r="O82" i="2"/>
  <c r="N82" i="2"/>
  <c r="M82" i="2"/>
  <c r="L82" i="2"/>
  <c r="K82" i="2"/>
  <c r="J82" i="2"/>
  <c r="I82" i="2"/>
  <c r="H82" i="2"/>
  <c r="G82" i="2" a="1"/>
  <c r="G82" i="2" s="1"/>
  <c r="F82" i="2"/>
  <c r="E82" i="2" a="1"/>
  <c r="E82" i="2" s="1"/>
  <c r="D82" i="2" a="1"/>
  <c r="D82" i="2" s="1"/>
  <c r="C82" i="2" a="1"/>
  <c r="C82" i="2" s="1"/>
  <c r="B82" i="2" a="1"/>
  <c r="B82" i="2" s="1"/>
  <c r="O81" i="2"/>
  <c r="N81" i="2"/>
  <c r="M81" i="2"/>
  <c r="L81" i="2"/>
  <c r="K81" i="2"/>
  <c r="J81" i="2"/>
  <c r="I81" i="2"/>
  <c r="H81" i="2"/>
  <c r="G81" i="2" a="1"/>
  <c r="G81" i="2" s="1"/>
  <c r="F81" i="2"/>
  <c r="E81" i="2" a="1"/>
  <c r="E81" i="2" s="1"/>
  <c r="D81" i="2" a="1"/>
  <c r="D81" i="2" s="1"/>
  <c r="C81" i="2" a="1"/>
  <c r="C81" i="2" s="1"/>
  <c r="B81" i="2" a="1"/>
  <c r="B81" i="2" s="1"/>
  <c r="O80" i="2"/>
  <c r="N80" i="2"/>
  <c r="M80" i="2"/>
  <c r="L80" i="2"/>
  <c r="K80" i="2"/>
  <c r="J80" i="2"/>
  <c r="I80" i="2"/>
  <c r="H80" i="2"/>
  <c r="G80" i="2" a="1"/>
  <c r="G80" i="2" s="1"/>
  <c r="F80" i="2"/>
  <c r="E80" i="2" a="1"/>
  <c r="E80" i="2" s="1"/>
  <c r="D80" i="2" a="1"/>
  <c r="D80" i="2" s="1"/>
  <c r="C80" i="2" a="1"/>
  <c r="C80" i="2" s="1"/>
  <c r="B80" i="2" a="1"/>
  <c r="B80" i="2" s="1"/>
  <c r="O79" i="2"/>
  <c r="N79" i="2"/>
  <c r="M79" i="2"/>
  <c r="L79" i="2"/>
  <c r="K79" i="2"/>
  <c r="J79" i="2"/>
  <c r="I79" i="2"/>
  <c r="H79" i="2"/>
  <c r="G79" i="2" a="1"/>
  <c r="G79" i="2" s="1"/>
  <c r="F79" i="2"/>
  <c r="E79" i="2" a="1"/>
  <c r="E79" i="2" s="1"/>
  <c r="D79" i="2" a="1"/>
  <c r="D79" i="2" s="1"/>
  <c r="C79" i="2" a="1"/>
  <c r="C79" i="2" s="1"/>
  <c r="B79" i="2" a="1"/>
  <c r="B79" i="2" s="1"/>
  <c r="O78" i="2"/>
  <c r="N78" i="2"/>
  <c r="M78" i="2"/>
  <c r="L78" i="2"/>
  <c r="K78" i="2"/>
  <c r="J78" i="2"/>
  <c r="I78" i="2"/>
  <c r="H78" i="2"/>
  <c r="G78" i="2" a="1"/>
  <c r="G78" i="2" s="1"/>
  <c r="F78" i="2"/>
  <c r="E78" i="2" a="1"/>
  <c r="E78" i="2" s="1"/>
  <c r="D78" i="2" a="1"/>
  <c r="D78" i="2" s="1"/>
  <c r="C78" i="2" a="1"/>
  <c r="C78" i="2" s="1"/>
  <c r="B78" i="2" a="1"/>
  <c r="B78" i="2" s="1"/>
  <c r="O77" i="2"/>
  <c r="N77" i="2"/>
  <c r="M77" i="2"/>
  <c r="L77" i="2"/>
  <c r="K77" i="2"/>
  <c r="J77" i="2"/>
  <c r="I77" i="2"/>
  <c r="H77" i="2"/>
  <c r="G77" i="2" a="1"/>
  <c r="G77" i="2" s="1"/>
  <c r="F77" i="2"/>
  <c r="E77" i="2" a="1"/>
  <c r="E77" i="2" s="1"/>
  <c r="D77" i="2" a="1"/>
  <c r="D77" i="2" s="1"/>
  <c r="C77" i="2" a="1"/>
  <c r="C77" i="2" s="1"/>
  <c r="B77" i="2" a="1"/>
  <c r="B77" i="2" s="1"/>
  <c r="O76" i="2"/>
  <c r="N76" i="2"/>
  <c r="M76" i="2"/>
  <c r="L76" i="2"/>
  <c r="K76" i="2"/>
  <c r="J76" i="2"/>
  <c r="I76" i="2"/>
  <c r="H76" i="2"/>
  <c r="G76" i="2" a="1"/>
  <c r="G76" i="2" s="1"/>
  <c r="F76" i="2"/>
  <c r="E76" i="2" a="1"/>
  <c r="E76" i="2" s="1"/>
  <c r="D76" i="2" a="1"/>
  <c r="D76" i="2" s="1"/>
  <c r="C76" i="2" a="1"/>
  <c r="C76" i="2" s="1"/>
  <c r="B76" i="2" a="1"/>
  <c r="B76" i="2" s="1"/>
  <c r="O75" i="2"/>
  <c r="N75" i="2"/>
  <c r="M75" i="2"/>
  <c r="L75" i="2"/>
  <c r="K75" i="2"/>
  <c r="J75" i="2"/>
  <c r="I75" i="2"/>
  <c r="H75" i="2"/>
  <c r="G75" i="2" a="1"/>
  <c r="G75" i="2" s="1"/>
  <c r="F75" i="2"/>
  <c r="E75" i="2" a="1"/>
  <c r="E75" i="2" s="1"/>
  <c r="D75" i="2" a="1"/>
  <c r="D75" i="2" s="1"/>
  <c r="C75" i="2" a="1"/>
  <c r="C75" i="2" s="1"/>
  <c r="B75" i="2" a="1"/>
  <c r="B75" i="2" s="1"/>
  <c r="O74" i="2"/>
  <c r="N74" i="2"/>
  <c r="M74" i="2"/>
  <c r="L74" i="2"/>
  <c r="K74" i="2"/>
  <c r="J74" i="2"/>
  <c r="I74" i="2"/>
  <c r="H74" i="2"/>
  <c r="G74" i="2" a="1"/>
  <c r="G74" i="2" s="1"/>
  <c r="F74" i="2"/>
  <c r="E74" i="2" a="1"/>
  <c r="E74" i="2" s="1"/>
  <c r="D74" i="2" a="1"/>
  <c r="D74" i="2" s="1"/>
  <c r="C74" i="2" a="1"/>
  <c r="C74" i="2" s="1"/>
  <c r="B74" i="2" a="1"/>
  <c r="B74" i="2" s="1"/>
  <c r="O73" i="2"/>
  <c r="N73" i="2"/>
  <c r="M73" i="2"/>
  <c r="L73" i="2"/>
  <c r="K73" i="2"/>
  <c r="J73" i="2"/>
  <c r="I73" i="2"/>
  <c r="H73" i="2"/>
  <c r="G73" i="2" a="1"/>
  <c r="G73" i="2" s="1"/>
  <c r="F73" i="2"/>
  <c r="E73" i="2" a="1"/>
  <c r="E73" i="2" s="1"/>
  <c r="D73" i="2" a="1"/>
  <c r="D73" i="2" s="1"/>
  <c r="C73" i="2" a="1"/>
  <c r="C73" i="2" s="1"/>
  <c r="B73" i="2" a="1"/>
  <c r="B73" i="2" s="1"/>
  <c r="O72" i="2"/>
  <c r="N72" i="2"/>
  <c r="M72" i="2"/>
  <c r="L72" i="2"/>
  <c r="K72" i="2"/>
  <c r="J72" i="2"/>
  <c r="I72" i="2"/>
  <c r="H72" i="2"/>
  <c r="G72" i="2" a="1"/>
  <c r="G72" i="2" s="1"/>
  <c r="F72" i="2"/>
  <c r="E72" i="2" a="1"/>
  <c r="E72" i="2" s="1"/>
  <c r="D72" i="2" a="1"/>
  <c r="D72" i="2" s="1"/>
  <c r="C72" i="2" a="1"/>
  <c r="C72" i="2" s="1"/>
  <c r="B72" i="2" a="1"/>
  <c r="B72" i="2" s="1"/>
  <c r="O71" i="2"/>
  <c r="N71" i="2"/>
  <c r="M71" i="2"/>
  <c r="L71" i="2"/>
  <c r="K71" i="2"/>
  <c r="J71" i="2"/>
  <c r="I71" i="2"/>
  <c r="H71" i="2"/>
  <c r="G71" i="2" a="1"/>
  <c r="G71" i="2" s="1"/>
  <c r="F71" i="2"/>
  <c r="E71" i="2" a="1"/>
  <c r="E71" i="2" s="1"/>
  <c r="D71" i="2" a="1"/>
  <c r="D71" i="2" s="1"/>
  <c r="C71" i="2" a="1"/>
  <c r="C71" i="2" s="1"/>
  <c r="B71" i="2" a="1"/>
  <c r="B71" i="2" s="1"/>
  <c r="O70" i="2"/>
  <c r="N70" i="2"/>
  <c r="M70" i="2"/>
  <c r="L70" i="2"/>
  <c r="K70" i="2"/>
  <c r="J70" i="2"/>
  <c r="I70" i="2"/>
  <c r="H70" i="2"/>
  <c r="G70" i="2" a="1"/>
  <c r="G70" i="2" s="1"/>
  <c r="F70" i="2"/>
  <c r="E70" i="2" a="1"/>
  <c r="E70" i="2" s="1"/>
  <c r="D70" i="2" a="1"/>
  <c r="D70" i="2" s="1"/>
  <c r="C70" i="2" a="1"/>
  <c r="C70" i="2" s="1"/>
  <c r="B70" i="2" a="1"/>
  <c r="B70" i="2" s="1"/>
  <c r="O69" i="2"/>
  <c r="N69" i="2"/>
  <c r="M69" i="2"/>
  <c r="L69" i="2"/>
  <c r="K69" i="2"/>
  <c r="J69" i="2"/>
  <c r="I69" i="2"/>
  <c r="H69" i="2"/>
  <c r="G69" i="2" a="1"/>
  <c r="G69" i="2" s="1"/>
  <c r="F69" i="2"/>
  <c r="E69" i="2" a="1"/>
  <c r="E69" i="2" s="1"/>
  <c r="D69" i="2" a="1"/>
  <c r="D69" i="2" s="1"/>
  <c r="C69" i="2" a="1"/>
  <c r="C69" i="2" s="1"/>
  <c r="B69" i="2" a="1"/>
  <c r="B69" i="2" s="1"/>
  <c r="O68" i="2"/>
  <c r="N68" i="2"/>
  <c r="M68" i="2"/>
  <c r="L68" i="2"/>
  <c r="K68" i="2"/>
  <c r="J68" i="2"/>
  <c r="I68" i="2"/>
  <c r="H68" i="2"/>
  <c r="G68" i="2" a="1"/>
  <c r="G68" i="2" s="1"/>
  <c r="F68" i="2"/>
  <c r="E68" i="2" a="1"/>
  <c r="E68" i="2" s="1"/>
  <c r="D68" i="2" a="1"/>
  <c r="D68" i="2" s="1"/>
  <c r="C68" i="2" a="1"/>
  <c r="C68" i="2" s="1"/>
  <c r="B68" i="2" a="1"/>
  <c r="B68" i="2" s="1"/>
  <c r="O67" i="2"/>
  <c r="N67" i="2"/>
  <c r="M67" i="2"/>
  <c r="L67" i="2"/>
  <c r="K67" i="2"/>
  <c r="J67" i="2"/>
  <c r="I67" i="2"/>
  <c r="H67" i="2"/>
  <c r="G67" i="2" a="1"/>
  <c r="G67" i="2" s="1"/>
  <c r="F67" i="2"/>
  <c r="E67" i="2" a="1"/>
  <c r="E67" i="2" s="1"/>
  <c r="D67" i="2" a="1"/>
  <c r="D67" i="2" s="1"/>
  <c r="C67" i="2" a="1"/>
  <c r="C67" i="2" s="1"/>
  <c r="B67" i="2" a="1"/>
  <c r="B67" i="2" s="1"/>
  <c r="O66" i="2"/>
  <c r="N66" i="2"/>
  <c r="M66" i="2"/>
  <c r="L66" i="2"/>
  <c r="K66" i="2"/>
  <c r="J66" i="2"/>
  <c r="I66" i="2"/>
  <c r="H66" i="2"/>
  <c r="G66" i="2" a="1"/>
  <c r="G66" i="2" s="1"/>
  <c r="F66" i="2"/>
  <c r="E66" i="2" a="1"/>
  <c r="E66" i="2" s="1"/>
  <c r="D66" i="2" a="1"/>
  <c r="D66" i="2" s="1"/>
  <c r="C66" i="2" a="1"/>
  <c r="C66" i="2" s="1"/>
  <c r="B66" i="2" a="1"/>
  <c r="B66" i="2" s="1"/>
  <c r="O65" i="2"/>
  <c r="N65" i="2"/>
  <c r="M65" i="2"/>
  <c r="L65" i="2"/>
  <c r="K65" i="2"/>
  <c r="J65" i="2"/>
  <c r="I65" i="2"/>
  <c r="H65" i="2"/>
  <c r="G65" i="2" a="1"/>
  <c r="G65" i="2" s="1"/>
  <c r="F65" i="2"/>
  <c r="E65" i="2" a="1"/>
  <c r="E65" i="2" s="1"/>
  <c r="D65" i="2" a="1"/>
  <c r="D65" i="2" s="1"/>
  <c r="C65" i="2" a="1"/>
  <c r="C65" i="2" s="1"/>
  <c r="B65" i="2" a="1"/>
  <c r="B65" i="2" s="1"/>
  <c r="O64" i="2"/>
  <c r="N64" i="2"/>
  <c r="M64" i="2"/>
  <c r="L64" i="2"/>
  <c r="K64" i="2"/>
  <c r="J64" i="2"/>
  <c r="I64" i="2"/>
  <c r="H64" i="2"/>
  <c r="G64" i="2" a="1"/>
  <c r="G64" i="2" s="1"/>
  <c r="F64" i="2"/>
  <c r="E64" i="2" a="1"/>
  <c r="E64" i="2" s="1"/>
  <c r="D64" i="2" a="1"/>
  <c r="D64" i="2" s="1"/>
  <c r="C64" i="2" a="1"/>
  <c r="C64" i="2" s="1"/>
  <c r="B64" i="2" a="1"/>
  <c r="B64" i="2" s="1"/>
  <c r="O63" i="2"/>
  <c r="N63" i="2"/>
  <c r="M63" i="2"/>
  <c r="L63" i="2"/>
  <c r="K63" i="2"/>
  <c r="J63" i="2"/>
  <c r="I63" i="2"/>
  <c r="H63" i="2"/>
  <c r="G63" i="2" a="1"/>
  <c r="G63" i="2" s="1"/>
  <c r="F63" i="2"/>
  <c r="E63" i="2" a="1"/>
  <c r="E63" i="2" s="1"/>
  <c r="D63" i="2" a="1"/>
  <c r="D63" i="2" s="1"/>
  <c r="C63" i="2" a="1"/>
  <c r="C63" i="2" s="1"/>
  <c r="B63" i="2" a="1"/>
  <c r="B63" i="2" s="1"/>
  <c r="O62" i="2"/>
  <c r="N62" i="2"/>
  <c r="M62" i="2"/>
  <c r="L62" i="2"/>
  <c r="K62" i="2"/>
  <c r="J62" i="2"/>
  <c r="I62" i="2"/>
  <c r="H62" i="2"/>
  <c r="G62" i="2" a="1"/>
  <c r="G62" i="2" s="1"/>
  <c r="F62" i="2"/>
  <c r="E62" i="2" a="1"/>
  <c r="E62" i="2" s="1"/>
  <c r="D62" i="2" a="1"/>
  <c r="D62" i="2" s="1"/>
  <c r="C62" i="2" a="1"/>
  <c r="C62" i="2" s="1"/>
  <c r="B62" i="2" a="1"/>
  <c r="B62" i="2" s="1"/>
  <c r="O61" i="2"/>
  <c r="N61" i="2"/>
  <c r="M61" i="2"/>
  <c r="L61" i="2"/>
  <c r="K61" i="2"/>
  <c r="J61" i="2"/>
  <c r="I61" i="2"/>
  <c r="H61" i="2"/>
  <c r="G61" i="2" a="1"/>
  <c r="G61" i="2" s="1"/>
  <c r="F61" i="2"/>
  <c r="E61" i="2" a="1"/>
  <c r="E61" i="2" s="1"/>
  <c r="D61" i="2" a="1"/>
  <c r="D61" i="2" s="1"/>
  <c r="C61" i="2" a="1"/>
  <c r="C61" i="2" s="1"/>
  <c r="B61" i="2" a="1"/>
  <c r="B61" i="2" s="1"/>
  <c r="O60" i="2"/>
  <c r="N60" i="2"/>
  <c r="M60" i="2"/>
  <c r="L60" i="2"/>
  <c r="K60" i="2"/>
  <c r="J60" i="2"/>
  <c r="I60" i="2"/>
  <c r="H60" i="2"/>
  <c r="G60" i="2" a="1"/>
  <c r="G60" i="2" s="1"/>
  <c r="F60" i="2"/>
  <c r="E60" i="2" a="1"/>
  <c r="E60" i="2" s="1"/>
  <c r="D60" i="2" a="1"/>
  <c r="D60" i="2" s="1"/>
  <c r="C60" i="2" a="1"/>
  <c r="C60" i="2" s="1"/>
  <c r="B60" i="2" a="1"/>
  <c r="B60" i="2" s="1"/>
  <c r="O59" i="2"/>
  <c r="N59" i="2"/>
  <c r="M59" i="2"/>
  <c r="L59" i="2"/>
  <c r="K59" i="2"/>
  <c r="J59" i="2"/>
  <c r="I59" i="2"/>
  <c r="H59" i="2"/>
  <c r="G59" i="2" a="1"/>
  <c r="G59" i="2" s="1"/>
  <c r="F59" i="2"/>
  <c r="E59" i="2" a="1"/>
  <c r="E59" i="2" s="1"/>
  <c r="D59" i="2" a="1"/>
  <c r="D59" i="2" s="1"/>
  <c r="C59" i="2" a="1"/>
  <c r="C59" i="2" s="1"/>
  <c r="B59" i="2" a="1"/>
  <c r="B59" i="2" s="1"/>
  <c r="O58" i="2"/>
  <c r="N58" i="2"/>
  <c r="M58" i="2"/>
  <c r="L58" i="2"/>
  <c r="K58" i="2"/>
  <c r="J58" i="2"/>
  <c r="I58" i="2"/>
  <c r="H58" i="2"/>
  <c r="G58" i="2" a="1"/>
  <c r="G58" i="2" s="1"/>
  <c r="F58" i="2"/>
  <c r="E58" i="2" a="1"/>
  <c r="E58" i="2" s="1"/>
  <c r="D58" i="2" a="1"/>
  <c r="D58" i="2" s="1"/>
  <c r="C58" i="2" a="1"/>
  <c r="C58" i="2" s="1"/>
  <c r="B58" i="2" a="1"/>
  <c r="B58" i="2" s="1"/>
  <c r="O57" i="2"/>
  <c r="N57" i="2"/>
  <c r="M57" i="2"/>
  <c r="L57" i="2"/>
  <c r="K57" i="2"/>
  <c r="J57" i="2"/>
  <c r="I57" i="2"/>
  <c r="H57" i="2"/>
  <c r="G57" i="2" a="1"/>
  <c r="G57" i="2" s="1"/>
  <c r="F57" i="2"/>
  <c r="E57" i="2" a="1"/>
  <c r="E57" i="2" s="1"/>
  <c r="D57" i="2" a="1"/>
  <c r="D57" i="2" s="1"/>
  <c r="C57" i="2" a="1"/>
  <c r="C57" i="2" s="1"/>
  <c r="B57" i="2" a="1"/>
  <c r="B57" i="2" s="1"/>
  <c r="O56" i="2"/>
  <c r="N56" i="2"/>
  <c r="M56" i="2"/>
  <c r="L56" i="2"/>
  <c r="K56" i="2"/>
  <c r="J56" i="2"/>
  <c r="I56" i="2"/>
  <c r="H56" i="2"/>
  <c r="G56" i="2" a="1"/>
  <c r="G56" i="2" s="1"/>
  <c r="F56" i="2"/>
  <c r="E56" i="2" a="1"/>
  <c r="E56" i="2" s="1"/>
  <c r="D56" i="2" a="1"/>
  <c r="D56" i="2" s="1"/>
  <c r="C56" i="2" a="1"/>
  <c r="C56" i="2" s="1"/>
  <c r="B56" i="2" a="1"/>
  <c r="B56" i="2" s="1"/>
  <c r="O55" i="2"/>
  <c r="N55" i="2"/>
  <c r="M55" i="2"/>
  <c r="L55" i="2"/>
  <c r="K55" i="2"/>
  <c r="J55" i="2"/>
  <c r="I55" i="2"/>
  <c r="H55" i="2"/>
  <c r="G55" i="2" a="1"/>
  <c r="G55" i="2" s="1"/>
  <c r="F55" i="2"/>
  <c r="E55" i="2" a="1"/>
  <c r="E55" i="2"/>
  <c r="D55" i="2" a="1"/>
  <c r="D55" i="2" s="1"/>
  <c r="C55" i="2" a="1"/>
  <c r="C55" i="2" s="1"/>
  <c r="B55" i="2" a="1"/>
  <c r="B55" i="2" s="1"/>
  <c r="O54" i="2"/>
  <c r="N54" i="2"/>
  <c r="M54" i="2"/>
  <c r="L54" i="2"/>
  <c r="K54" i="2"/>
  <c r="J54" i="2"/>
  <c r="I54" i="2"/>
  <c r="H54" i="2"/>
  <c r="G54" i="2" a="1"/>
  <c r="G54" i="2" s="1"/>
  <c r="F54" i="2"/>
  <c r="E54" i="2" a="1"/>
  <c r="E54" i="2" s="1"/>
  <c r="D54" i="2" a="1"/>
  <c r="D54" i="2" s="1"/>
  <c r="C54" i="2" a="1"/>
  <c r="C54" i="2" s="1"/>
  <c r="B54" i="2" a="1"/>
  <c r="B54" i="2" s="1"/>
  <c r="O53" i="2"/>
  <c r="N53" i="2"/>
  <c r="M53" i="2"/>
  <c r="L53" i="2"/>
  <c r="K53" i="2"/>
  <c r="J53" i="2"/>
  <c r="I53" i="2"/>
  <c r="H53" i="2"/>
  <c r="G53" i="2" a="1"/>
  <c r="G53" i="2" s="1"/>
  <c r="F53" i="2"/>
  <c r="E53" i="2" a="1"/>
  <c r="E53" i="2" s="1"/>
  <c r="D53" i="2" a="1"/>
  <c r="D53" i="2" s="1"/>
  <c r="C53" i="2" a="1"/>
  <c r="C53" i="2" s="1"/>
  <c r="B53" i="2" a="1"/>
  <c r="B53" i="2"/>
  <c r="O52" i="2"/>
  <c r="N52" i="2"/>
  <c r="M52" i="2"/>
  <c r="L52" i="2"/>
  <c r="K52" i="2"/>
  <c r="J52" i="2"/>
  <c r="I52" i="2"/>
  <c r="H52" i="2"/>
  <c r="G52" i="2" a="1"/>
  <c r="G52" i="2" s="1"/>
  <c r="F52" i="2"/>
  <c r="E52" i="2" a="1"/>
  <c r="E52" i="2" s="1"/>
  <c r="D52" i="2" a="1"/>
  <c r="D52" i="2" s="1"/>
  <c r="C52" i="2" a="1"/>
  <c r="C52" i="2" s="1"/>
  <c r="B52" i="2" a="1"/>
  <c r="B52" i="2" s="1"/>
  <c r="O51" i="2"/>
  <c r="N51" i="2"/>
  <c r="M51" i="2"/>
  <c r="L51" i="2"/>
  <c r="K51" i="2"/>
  <c r="J51" i="2"/>
  <c r="I51" i="2"/>
  <c r="H51" i="2"/>
  <c r="G51" i="2" a="1"/>
  <c r="G51" i="2"/>
  <c r="F51" i="2"/>
  <c r="E51" i="2" a="1"/>
  <c r="E51" i="2" s="1"/>
  <c r="D51" i="2" a="1"/>
  <c r="D51" i="2" s="1"/>
  <c r="C51" i="2" a="1"/>
  <c r="C51" i="2" s="1"/>
  <c r="B51" i="2" a="1"/>
  <c r="B51" i="2" s="1"/>
  <c r="O50" i="2"/>
  <c r="N50" i="2"/>
  <c r="M50" i="2"/>
  <c r="L50" i="2"/>
  <c r="K50" i="2"/>
  <c r="J50" i="2"/>
  <c r="I50" i="2"/>
  <c r="H50" i="2"/>
  <c r="G50" i="2" a="1"/>
  <c r="G50" i="2" s="1"/>
  <c r="F50" i="2"/>
  <c r="E50" i="2" a="1"/>
  <c r="E50" i="2" s="1"/>
  <c r="D50" i="2" a="1"/>
  <c r="D50" i="2" s="1"/>
  <c r="C50" i="2" a="1"/>
  <c r="C50" i="2" s="1"/>
  <c r="B50" i="2" a="1"/>
  <c r="B50" i="2" s="1"/>
  <c r="O49" i="2"/>
  <c r="N49" i="2"/>
  <c r="M49" i="2"/>
  <c r="L49" i="2"/>
  <c r="K49" i="2"/>
  <c r="J49" i="2"/>
  <c r="I49" i="2"/>
  <c r="H49" i="2"/>
  <c r="G49" i="2" a="1"/>
  <c r="G49" i="2" s="1"/>
  <c r="F49" i="2"/>
  <c r="E49" i="2" a="1"/>
  <c r="E49" i="2" s="1"/>
  <c r="D49" i="2" a="1"/>
  <c r="D49" i="2" s="1"/>
  <c r="C49" i="2" a="1"/>
  <c r="C49" i="2" s="1"/>
  <c r="B49" i="2" a="1"/>
  <c r="B49" i="2" s="1"/>
  <c r="O48" i="2"/>
  <c r="N48" i="2"/>
  <c r="M48" i="2"/>
  <c r="L48" i="2"/>
  <c r="K48" i="2"/>
  <c r="J48" i="2"/>
  <c r="I48" i="2"/>
  <c r="H48" i="2"/>
  <c r="G48" i="2" a="1"/>
  <c r="G48" i="2" s="1"/>
  <c r="F48" i="2"/>
  <c r="E48" i="2" a="1"/>
  <c r="E48" i="2" s="1"/>
  <c r="D48" i="2" a="1"/>
  <c r="D48" i="2" s="1"/>
  <c r="C48" i="2" a="1"/>
  <c r="C48" i="2" s="1"/>
  <c r="B48" i="2" a="1"/>
  <c r="B48" i="2" s="1"/>
  <c r="O47" i="2"/>
  <c r="N47" i="2"/>
  <c r="M47" i="2"/>
  <c r="L47" i="2"/>
  <c r="K47" i="2"/>
  <c r="J47" i="2"/>
  <c r="I47" i="2"/>
  <c r="H47" i="2"/>
  <c r="G47" i="2" a="1"/>
  <c r="G47" i="2" s="1"/>
  <c r="F47" i="2"/>
  <c r="E47" i="2" a="1"/>
  <c r="E47" i="2" s="1"/>
  <c r="D47" i="2" a="1"/>
  <c r="D47" i="2" s="1"/>
  <c r="C47" i="2" a="1"/>
  <c r="C47" i="2" s="1"/>
  <c r="B47" i="2" a="1"/>
  <c r="B47" i="2" s="1"/>
  <c r="O46" i="2"/>
  <c r="N46" i="2"/>
  <c r="M46" i="2"/>
  <c r="L46" i="2"/>
  <c r="K46" i="2"/>
  <c r="J46" i="2"/>
  <c r="I46" i="2"/>
  <c r="H46" i="2"/>
  <c r="G46" i="2" a="1"/>
  <c r="G46" i="2" s="1"/>
  <c r="F46" i="2"/>
  <c r="E46" i="2" a="1"/>
  <c r="E46" i="2" s="1"/>
  <c r="D46" i="2" a="1"/>
  <c r="D46" i="2" s="1"/>
  <c r="C46" i="2" a="1"/>
  <c r="C46" i="2" s="1"/>
  <c r="B46" i="2" a="1"/>
  <c r="B46" i="2" s="1"/>
  <c r="O45" i="2"/>
  <c r="N45" i="2"/>
  <c r="M45" i="2"/>
  <c r="L45" i="2"/>
  <c r="K45" i="2"/>
  <c r="J45" i="2"/>
  <c r="I45" i="2"/>
  <c r="H45" i="2"/>
  <c r="G45" i="2" a="1"/>
  <c r="G45" i="2" s="1"/>
  <c r="F45" i="2"/>
  <c r="E45" i="2" a="1"/>
  <c r="E45" i="2" s="1"/>
  <c r="D45" i="2" a="1"/>
  <c r="D45" i="2" s="1"/>
  <c r="C45" i="2" a="1"/>
  <c r="C45" i="2" s="1"/>
  <c r="B45" i="2" a="1"/>
  <c r="B45" i="2" s="1"/>
  <c r="O44" i="2"/>
  <c r="N44" i="2"/>
  <c r="M44" i="2"/>
  <c r="L44" i="2"/>
  <c r="K44" i="2"/>
  <c r="J44" i="2"/>
  <c r="I44" i="2"/>
  <c r="H44" i="2"/>
  <c r="G44" i="2" a="1"/>
  <c r="G44" i="2" s="1"/>
  <c r="F44" i="2"/>
  <c r="E44" i="2" a="1"/>
  <c r="E44" i="2" s="1"/>
  <c r="D44" i="2" a="1"/>
  <c r="D44" i="2" s="1"/>
  <c r="C44" i="2" a="1"/>
  <c r="C44" i="2" s="1"/>
  <c r="B44" i="2" a="1"/>
  <c r="B44" i="2" s="1"/>
  <c r="O43" i="2"/>
  <c r="N43" i="2"/>
  <c r="M43" i="2"/>
  <c r="L43" i="2"/>
  <c r="K43" i="2"/>
  <c r="J43" i="2"/>
  <c r="I43" i="2"/>
  <c r="H43" i="2"/>
  <c r="G43" i="2" a="1"/>
  <c r="G43" i="2" s="1"/>
  <c r="F43" i="2"/>
  <c r="E43" i="2" a="1"/>
  <c r="E43" i="2" s="1"/>
  <c r="D43" i="2" a="1"/>
  <c r="D43" i="2" s="1"/>
  <c r="C43" i="2" a="1"/>
  <c r="C43" i="2" s="1"/>
  <c r="B43" i="2" a="1"/>
  <c r="B43" i="2" s="1"/>
  <c r="O42" i="2"/>
  <c r="N42" i="2"/>
  <c r="M42" i="2"/>
  <c r="L42" i="2"/>
  <c r="K42" i="2"/>
  <c r="J42" i="2"/>
  <c r="I42" i="2"/>
  <c r="H42" i="2"/>
  <c r="G42" i="2" a="1"/>
  <c r="G42" i="2" s="1"/>
  <c r="F42" i="2"/>
  <c r="E42" i="2" a="1"/>
  <c r="E42" i="2" s="1"/>
  <c r="D42" i="2" a="1"/>
  <c r="D42" i="2" s="1"/>
  <c r="C42" i="2" a="1"/>
  <c r="C42" i="2" s="1"/>
  <c r="B42" i="2" a="1"/>
  <c r="B42" i="2" s="1"/>
  <c r="O41" i="2"/>
  <c r="N41" i="2"/>
  <c r="M41" i="2"/>
  <c r="L41" i="2"/>
  <c r="K41" i="2"/>
  <c r="J41" i="2"/>
  <c r="I41" i="2"/>
  <c r="H41" i="2"/>
  <c r="G41" i="2" a="1"/>
  <c r="G41" i="2" s="1"/>
  <c r="F41" i="2"/>
  <c r="E41" i="2" a="1"/>
  <c r="E41" i="2" s="1"/>
  <c r="D41" i="2" a="1"/>
  <c r="D41" i="2" s="1"/>
  <c r="C41" i="2" a="1"/>
  <c r="C41" i="2" s="1"/>
  <c r="B41" i="2" a="1"/>
  <c r="B41" i="2" s="1"/>
  <c r="O40" i="2"/>
  <c r="N40" i="2"/>
  <c r="M40" i="2"/>
  <c r="L40" i="2"/>
  <c r="K40" i="2"/>
  <c r="J40" i="2"/>
  <c r="I40" i="2"/>
  <c r="H40" i="2"/>
  <c r="G40" i="2" a="1"/>
  <c r="G40" i="2" s="1"/>
  <c r="F40" i="2"/>
  <c r="E40" i="2" a="1"/>
  <c r="E40" i="2" s="1"/>
  <c r="D40" i="2" a="1"/>
  <c r="D40" i="2" s="1"/>
  <c r="C40" i="2" a="1"/>
  <c r="C40" i="2" s="1"/>
  <c r="B40" i="2" a="1"/>
  <c r="B40" i="2" s="1"/>
  <c r="O39" i="2"/>
  <c r="N39" i="2"/>
  <c r="M39" i="2"/>
  <c r="L39" i="2"/>
  <c r="K39" i="2"/>
  <c r="J39" i="2"/>
  <c r="I39" i="2"/>
  <c r="H39" i="2"/>
  <c r="G39" i="2" a="1"/>
  <c r="G39" i="2" s="1"/>
  <c r="F39" i="2"/>
  <c r="E39" i="2" a="1"/>
  <c r="E39" i="2" s="1"/>
  <c r="D39" i="2" a="1"/>
  <c r="D39" i="2" s="1"/>
  <c r="C39" i="2" a="1"/>
  <c r="C39" i="2" s="1"/>
  <c r="B39" i="2" a="1"/>
  <c r="B39" i="2" s="1"/>
  <c r="O38" i="2"/>
  <c r="N38" i="2"/>
  <c r="M38" i="2"/>
  <c r="L38" i="2"/>
  <c r="K38" i="2"/>
  <c r="J38" i="2"/>
  <c r="I38" i="2"/>
  <c r="H38" i="2"/>
  <c r="G38" i="2" a="1"/>
  <c r="G38" i="2" s="1"/>
  <c r="F38" i="2"/>
  <c r="E38" i="2" a="1"/>
  <c r="E38" i="2" s="1"/>
  <c r="D38" i="2" a="1"/>
  <c r="D38" i="2" s="1"/>
  <c r="C38" i="2" a="1"/>
  <c r="C38" i="2" s="1"/>
  <c r="B38" i="2" a="1"/>
  <c r="B38" i="2" s="1"/>
  <c r="O37" i="2"/>
  <c r="N37" i="2"/>
  <c r="M37" i="2"/>
  <c r="L37" i="2"/>
  <c r="K37" i="2"/>
  <c r="J37" i="2"/>
  <c r="I37" i="2"/>
  <c r="H37" i="2"/>
  <c r="G37" i="2" a="1"/>
  <c r="G37" i="2" s="1"/>
  <c r="F37" i="2"/>
  <c r="E37" i="2" a="1"/>
  <c r="E37" i="2" s="1"/>
  <c r="D37" i="2" a="1"/>
  <c r="D37" i="2" s="1"/>
  <c r="C37" i="2" a="1"/>
  <c r="C37" i="2" s="1"/>
  <c r="B37" i="2" a="1"/>
  <c r="B37" i="2" s="1"/>
  <c r="O36" i="2"/>
  <c r="N36" i="2"/>
  <c r="M36" i="2"/>
  <c r="L36" i="2"/>
  <c r="K36" i="2"/>
  <c r="J36" i="2"/>
  <c r="I36" i="2"/>
  <c r="H36" i="2"/>
  <c r="G36" i="2" a="1"/>
  <c r="G36" i="2" s="1"/>
  <c r="F36" i="2"/>
  <c r="E36" i="2" a="1"/>
  <c r="E36" i="2" s="1"/>
  <c r="D36" i="2" a="1"/>
  <c r="D36" i="2" s="1"/>
  <c r="C36" i="2" a="1"/>
  <c r="C36" i="2" s="1"/>
  <c r="B36" i="2" a="1"/>
  <c r="B36" i="2" s="1"/>
  <c r="O35" i="2"/>
  <c r="N35" i="2"/>
  <c r="M35" i="2"/>
  <c r="L35" i="2"/>
  <c r="K35" i="2"/>
  <c r="J35" i="2"/>
  <c r="I35" i="2"/>
  <c r="H35" i="2"/>
  <c r="G35" i="2" a="1"/>
  <c r="G35" i="2" s="1"/>
  <c r="F35" i="2"/>
  <c r="E35" i="2" a="1"/>
  <c r="E35" i="2"/>
  <c r="D35" i="2" a="1"/>
  <c r="D35" i="2" s="1"/>
  <c r="C35" i="2" a="1"/>
  <c r="C35" i="2" s="1"/>
  <c r="B35" i="2" a="1"/>
  <c r="B35" i="2" s="1"/>
  <c r="O34" i="2"/>
  <c r="N34" i="2"/>
  <c r="M34" i="2"/>
  <c r="L34" i="2"/>
  <c r="K34" i="2"/>
  <c r="J34" i="2"/>
  <c r="I34" i="2"/>
  <c r="H34" i="2"/>
  <c r="G34" i="2" a="1"/>
  <c r="G34" i="2" s="1"/>
  <c r="F34" i="2"/>
  <c r="E34" i="2" a="1"/>
  <c r="E34" i="2" s="1"/>
  <c r="D34" i="2" a="1"/>
  <c r="D34" i="2" s="1"/>
  <c r="C34" i="2" a="1"/>
  <c r="C34" i="2" s="1"/>
  <c r="B34" i="2" a="1"/>
  <c r="B34" i="2" s="1"/>
  <c r="O33" i="2"/>
  <c r="N33" i="2"/>
  <c r="M33" i="2"/>
  <c r="L33" i="2"/>
  <c r="K33" i="2"/>
  <c r="J33" i="2"/>
  <c r="I33" i="2"/>
  <c r="H33" i="2"/>
  <c r="G33" i="2" a="1"/>
  <c r="G33" i="2" s="1"/>
  <c r="F33" i="2"/>
  <c r="E33" i="2" a="1"/>
  <c r="E33" i="2" s="1"/>
  <c r="D33" i="2" a="1"/>
  <c r="D33" i="2" s="1"/>
  <c r="C33" i="2" a="1"/>
  <c r="C33" i="2" s="1"/>
  <c r="B33" i="2" a="1"/>
  <c r="B33" i="2" s="1"/>
  <c r="O32" i="2"/>
  <c r="N32" i="2"/>
  <c r="M32" i="2"/>
  <c r="L32" i="2"/>
  <c r="K32" i="2"/>
  <c r="J32" i="2"/>
  <c r="I32" i="2"/>
  <c r="H32" i="2"/>
  <c r="G32" i="2" a="1"/>
  <c r="G32" i="2" s="1"/>
  <c r="F32" i="2"/>
  <c r="E32" i="2" a="1"/>
  <c r="E32" i="2" s="1"/>
  <c r="D32" i="2" a="1"/>
  <c r="D32" i="2" s="1"/>
  <c r="C32" i="2" a="1"/>
  <c r="C32" i="2" s="1"/>
  <c r="B32" i="2" a="1"/>
  <c r="B32" i="2" s="1"/>
  <c r="O31" i="2"/>
  <c r="N31" i="2"/>
  <c r="M31" i="2"/>
  <c r="L31" i="2"/>
  <c r="K31" i="2"/>
  <c r="J31" i="2"/>
  <c r="I31" i="2"/>
  <c r="H31" i="2"/>
  <c r="G31" i="2" a="1"/>
  <c r="G31" i="2" s="1"/>
  <c r="F31" i="2"/>
  <c r="E31" i="2" a="1"/>
  <c r="E31" i="2" s="1"/>
  <c r="D31" i="2" a="1"/>
  <c r="D31" i="2" s="1"/>
  <c r="C31" i="2" a="1"/>
  <c r="C31" i="2" s="1"/>
  <c r="B31" i="2" a="1"/>
  <c r="B31" i="2" s="1"/>
  <c r="O30" i="2"/>
  <c r="N30" i="2"/>
  <c r="M30" i="2"/>
  <c r="L30" i="2"/>
  <c r="K30" i="2"/>
  <c r="J30" i="2"/>
  <c r="I30" i="2"/>
  <c r="H30" i="2"/>
  <c r="G30" i="2" a="1"/>
  <c r="G30" i="2" s="1"/>
  <c r="F30" i="2"/>
  <c r="E30" i="2" a="1"/>
  <c r="E30" i="2" s="1"/>
  <c r="D30" i="2" a="1"/>
  <c r="D30" i="2" s="1"/>
  <c r="C30" i="2" a="1"/>
  <c r="C30" i="2" s="1"/>
  <c r="B30" i="2" a="1"/>
  <c r="B30" i="2" s="1"/>
  <c r="O29" i="2"/>
  <c r="N29" i="2"/>
  <c r="M29" i="2"/>
  <c r="L29" i="2"/>
  <c r="K29" i="2"/>
  <c r="J29" i="2"/>
  <c r="I29" i="2"/>
  <c r="H29" i="2"/>
  <c r="G29" i="2" a="1"/>
  <c r="G29" i="2" s="1"/>
  <c r="F29" i="2"/>
  <c r="E29" i="2" a="1"/>
  <c r="E29" i="2" s="1"/>
  <c r="D29" i="2" a="1"/>
  <c r="D29" i="2" s="1"/>
  <c r="C29" i="2" a="1"/>
  <c r="C29" i="2" s="1"/>
  <c r="B29" i="2" a="1"/>
  <c r="B29" i="2"/>
  <c r="O28" i="2"/>
  <c r="N28" i="2"/>
  <c r="M28" i="2"/>
  <c r="L28" i="2"/>
  <c r="K28" i="2"/>
  <c r="J28" i="2"/>
  <c r="I28" i="2"/>
  <c r="H28" i="2"/>
  <c r="G28" i="2" a="1"/>
  <c r="G28" i="2" s="1"/>
  <c r="F28" i="2"/>
  <c r="E28" i="2" a="1"/>
  <c r="E28" i="2" s="1"/>
  <c r="D28" i="2" a="1"/>
  <c r="D28" i="2" s="1"/>
  <c r="C28" i="2" a="1"/>
  <c r="C28" i="2" s="1"/>
  <c r="B28" i="2" a="1"/>
  <c r="B28" i="2" s="1"/>
  <c r="O27" i="2"/>
  <c r="N27" i="2"/>
  <c r="M27" i="2"/>
  <c r="L27" i="2"/>
  <c r="K27" i="2"/>
  <c r="J27" i="2"/>
  <c r="I27" i="2"/>
  <c r="H27" i="2"/>
  <c r="G27" i="2" a="1"/>
  <c r="G27" i="2" s="1"/>
  <c r="F27" i="2"/>
  <c r="E27" i="2" a="1"/>
  <c r="E27" i="2" s="1"/>
  <c r="D27" i="2" a="1"/>
  <c r="D27" i="2" s="1"/>
  <c r="C27" i="2" a="1"/>
  <c r="C27" i="2" s="1"/>
  <c r="B27" i="2" a="1"/>
  <c r="B27" i="2" s="1"/>
  <c r="O26" i="2"/>
  <c r="N26" i="2"/>
  <c r="M26" i="2"/>
  <c r="L26" i="2"/>
  <c r="K26" i="2"/>
  <c r="J26" i="2"/>
  <c r="I26" i="2"/>
  <c r="H26" i="2"/>
  <c r="G26" i="2" a="1"/>
  <c r="G26" i="2" s="1"/>
  <c r="F26" i="2"/>
  <c r="E26" i="2" a="1"/>
  <c r="E26" i="2" s="1"/>
  <c r="D26" i="2" a="1"/>
  <c r="D26" i="2" s="1"/>
  <c r="C26" i="2" a="1"/>
  <c r="C26" i="2" s="1"/>
  <c r="B26" i="2" a="1"/>
  <c r="B26" i="2" s="1"/>
  <c r="O25" i="2"/>
  <c r="N25" i="2"/>
  <c r="M25" i="2"/>
  <c r="L25" i="2"/>
  <c r="K25" i="2"/>
  <c r="J25" i="2"/>
  <c r="I25" i="2"/>
  <c r="H25" i="2"/>
  <c r="G25" i="2" a="1"/>
  <c r="G25" i="2" s="1"/>
  <c r="F25" i="2"/>
  <c r="E25" i="2" a="1"/>
  <c r="E25" i="2" s="1"/>
  <c r="D25" i="2" a="1"/>
  <c r="D25" i="2" s="1"/>
  <c r="C25" i="2" a="1"/>
  <c r="C25" i="2" s="1"/>
  <c r="B25" i="2" a="1"/>
  <c r="B25" i="2" s="1"/>
  <c r="O24" i="2"/>
  <c r="N24" i="2"/>
  <c r="M24" i="2"/>
  <c r="L24" i="2"/>
  <c r="K24" i="2"/>
  <c r="J24" i="2"/>
  <c r="I24" i="2"/>
  <c r="H24" i="2"/>
  <c r="G24" i="2" a="1"/>
  <c r="G24" i="2" s="1"/>
  <c r="F24" i="2"/>
  <c r="E24" i="2" a="1"/>
  <c r="E24" i="2" s="1"/>
  <c r="D24" i="2" a="1"/>
  <c r="D24" i="2" s="1"/>
  <c r="C24" i="2" a="1"/>
  <c r="C24" i="2" s="1"/>
  <c r="B24" i="2" a="1"/>
  <c r="B24" i="2" s="1"/>
  <c r="O23" i="2"/>
  <c r="N23" i="2"/>
  <c r="M23" i="2"/>
  <c r="L23" i="2"/>
  <c r="K23" i="2"/>
  <c r="J23" i="2"/>
  <c r="I23" i="2"/>
  <c r="H23" i="2"/>
  <c r="G23" i="2" a="1"/>
  <c r="G23" i="2" s="1"/>
  <c r="F23" i="2"/>
  <c r="E23" i="2" a="1"/>
  <c r="E23" i="2" s="1"/>
  <c r="D23" i="2" a="1"/>
  <c r="D23" i="2" s="1"/>
  <c r="C23" i="2" a="1"/>
  <c r="C23" i="2" s="1"/>
  <c r="B23" i="2" a="1"/>
  <c r="B23" i="2" s="1"/>
  <c r="O22" i="2"/>
  <c r="N22" i="2"/>
  <c r="M22" i="2"/>
  <c r="L22" i="2"/>
  <c r="K22" i="2"/>
  <c r="J22" i="2"/>
  <c r="I22" i="2"/>
  <c r="H22" i="2"/>
  <c r="G22" i="2" a="1"/>
  <c r="G22" i="2" s="1"/>
  <c r="F22" i="2"/>
  <c r="E22" i="2" a="1"/>
  <c r="E22" i="2" s="1"/>
  <c r="D22" i="2" a="1"/>
  <c r="D22" i="2" s="1"/>
  <c r="C22" i="2" a="1"/>
  <c r="C22" i="2" s="1"/>
  <c r="B22" i="2" a="1"/>
  <c r="B22" i="2" s="1"/>
  <c r="O21" i="2"/>
  <c r="N21" i="2"/>
  <c r="M21" i="2"/>
  <c r="L21" i="2"/>
  <c r="K21" i="2"/>
  <c r="J21" i="2"/>
  <c r="I21" i="2"/>
  <c r="H21" i="2"/>
  <c r="G21" i="2" a="1"/>
  <c r="G21" i="2" s="1"/>
  <c r="F21" i="2"/>
  <c r="E21" i="2" a="1"/>
  <c r="E21" i="2" s="1"/>
  <c r="D21" i="2" a="1"/>
  <c r="D21" i="2" s="1"/>
  <c r="C21" i="2" a="1"/>
  <c r="C21" i="2" s="1"/>
  <c r="B21" i="2" a="1"/>
  <c r="B21" i="2" s="1"/>
  <c r="O20" i="2"/>
  <c r="N20" i="2"/>
  <c r="M20" i="2"/>
  <c r="L20" i="2"/>
  <c r="K20" i="2"/>
  <c r="J20" i="2"/>
  <c r="I20" i="2"/>
  <c r="H20" i="2"/>
  <c r="G20" i="2" a="1"/>
  <c r="G20" i="2" s="1"/>
  <c r="F20" i="2"/>
  <c r="E20" i="2" a="1"/>
  <c r="E20" i="2" s="1"/>
  <c r="D20" i="2" a="1"/>
  <c r="D20" i="2" s="1"/>
  <c r="C20" i="2" a="1"/>
  <c r="C20" i="2" s="1"/>
  <c r="B20" i="2" a="1"/>
  <c r="B20" i="2" s="1"/>
  <c r="O19" i="2"/>
  <c r="N19" i="2"/>
  <c r="M19" i="2"/>
  <c r="L19" i="2"/>
  <c r="K19" i="2"/>
  <c r="J19" i="2"/>
  <c r="I19" i="2"/>
  <c r="H19" i="2"/>
  <c r="G19" i="2" a="1"/>
  <c r="G19" i="2" s="1"/>
  <c r="F19" i="2"/>
  <c r="E19" i="2" a="1"/>
  <c r="E19" i="2"/>
  <c r="D19" i="2" a="1"/>
  <c r="D19" i="2" s="1"/>
  <c r="C19" i="2" a="1"/>
  <c r="C19" i="2" s="1"/>
  <c r="B19" i="2" a="1"/>
  <c r="B19" i="2" s="1"/>
  <c r="O18" i="2"/>
  <c r="N18" i="2"/>
  <c r="M18" i="2"/>
  <c r="L18" i="2"/>
  <c r="K18" i="2"/>
  <c r="J18" i="2"/>
  <c r="I18" i="2"/>
  <c r="H18" i="2"/>
  <c r="G18" i="2" a="1"/>
  <c r="G18" i="2" s="1"/>
  <c r="F18" i="2"/>
  <c r="E18" i="2" a="1"/>
  <c r="E18" i="2" s="1"/>
  <c r="D18" i="2" a="1"/>
  <c r="D18" i="2" s="1"/>
  <c r="C18" i="2" a="1"/>
  <c r="C18" i="2" s="1"/>
  <c r="B18" i="2" a="1"/>
  <c r="B18" i="2" s="1"/>
  <c r="O17" i="2"/>
  <c r="N17" i="2"/>
  <c r="M17" i="2"/>
  <c r="L17" i="2"/>
  <c r="K17" i="2"/>
  <c r="J17" i="2"/>
  <c r="I17" i="2"/>
  <c r="H17" i="2"/>
  <c r="G17" i="2" a="1"/>
  <c r="G17" i="2" s="1"/>
  <c r="F17" i="2"/>
  <c r="E17" i="2" a="1"/>
  <c r="E17" i="2" s="1"/>
  <c r="D17" i="2" a="1"/>
  <c r="D17" i="2" s="1"/>
  <c r="C17" i="2" a="1"/>
  <c r="C17" i="2" s="1"/>
  <c r="B17" i="2" a="1"/>
  <c r="B17" i="2" s="1"/>
  <c r="O16" i="2"/>
  <c r="N16" i="2"/>
  <c r="M16" i="2"/>
  <c r="L16" i="2"/>
  <c r="K16" i="2"/>
  <c r="J16" i="2"/>
  <c r="I16" i="2"/>
  <c r="H16" i="2"/>
  <c r="G16" i="2" a="1"/>
  <c r="G16" i="2" s="1"/>
  <c r="F16" i="2"/>
  <c r="E16" i="2" a="1"/>
  <c r="E16" i="2" s="1"/>
  <c r="D16" i="2" a="1"/>
  <c r="D16" i="2" s="1"/>
  <c r="C16" i="2" a="1"/>
  <c r="C16" i="2" s="1"/>
  <c r="B16" i="2" a="1"/>
  <c r="B16" i="2" s="1"/>
  <c r="O15" i="2"/>
  <c r="N15" i="2"/>
  <c r="M15" i="2"/>
  <c r="L15" i="2"/>
  <c r="K15" i="2"/>
  <c r="J15" i="2"/>
  <c r="I15" i="2"/>
  <c r="H15" i="2"/>
  <c r="G15" i="2" a="1"/>
  <c r="G15" i="2" s="1"/>
  <c r="F15" i="2"/>
  <c r="E15" i="2" a="1"/>
  <c r="E15" i="2" s="1"/>
  <c r="D15" i="2" a="1"/>
  <c r="D15" i="2" s="1"/>
  <c r="C15" i="2" a="1"/>
  <c r="C15" i="2" s="1"/>
  <c r="B15" i="2" a="1"/>
  <c r="B15" i="2" s="1"/>
  <c r="O14" i="2"/>
  <c r="N14" i="2"/>
  <c r="M14" i="2"/>
  <c r="L14" i="2"/>
  <c r="K14" i="2"/>
  <c r="J14" i="2"/>
  <c r="I14" i="2"/>
  <c r="H14" i="2"/>
  <c r="G14" i="2" a="1"/>
  <c r="G14" i="2" s="1"/>
  <c r="F14" i="2"/>
  <c r="E14" i="2" a="1"/>
  <c r="E14" i="2" s="1"/>
  <c r="D14" i="2" a="1"/>
  <c r="D14" i="2" s="1"/>
  <c r="C14" i="2" a="1"/>
  <c r="C14" i="2" s="1"/>
  <c r="B14" i="2" a="1"/>
  <c r="B14" i="2" s="1"/>
  <c r="O13" i="2"/>
  <c r="N13" i="2"/>
  <c r="M13" i="2"/>
  <c r="L13" i="2"/>
  <c r="K13" i="2"/>
  <c r="J13" i="2"/>
  <c r="I13" i="2"/>
  <c r="H13" i="2"/>
  <c r="G13" i="2" a="1"/>
  <c r="G13" i="2" s="1"/>
  <c r="F13" i="2"/>
  <c r="E13" i="2" a="1"/>
  <c r="E13" i="2" s="1"/>
  <c r="D13" i="2" a="1"/>
  <c r="D13" i="2" s="1"/>
  <c r="C13" i="2" a="1"/>
  <c r="C13" i="2" s="1"/>
  <c r="B13" i="2" a="1"/>
  <c r="B13" i="2" s="1"/>
  <c r="O12" i="2"/>
  <c r="N12" i="2"/>
  <c r="M12" i="2"/>
  <c r="L12" i="2"/>
  <c r="K12" i="2"/>
  <c r="J12" i="2"/>
  <c r="I12" i="2"/>
  <c r="H12" i="2"/>
  <c r="G12" i="2" a="1"/>
  <c r="G12" i="2" s="1"/>
  <c r="F12" i="2"/>
  <c r="E12" i="2" a="1"/>
  <c r="E12" i="2" s="1"/>
  <c r="D12" i="2" a="1"/>
  <c r="D12" i="2" s="1"/>
  <c r="C12" i="2" a="1"/>
  <c r="C12" i="2" s="1"/>
  <c r="B12" i="2" a="1"/>
  <c r="B12" i="2" s="1"/>
  <c r="O11" i="2"/>
  <c r="N11" i="2"/>
  <c r="M11" i="2"/>
  <c r="L11" i="2"/>
  <c r="K11" i="2"/>
  <c r="J11" i="2"/>
  <c r="I11" i="2"/>
  <c r="H11" i="2"/>
  <c r="G11" i="2" a="1"/>
  <c r="G11" i="2" s="1"/>
  <c r="F11" i="2"/>
  <c r="E11" i="2" a="1"/>
  <c r="E11" i="2" s="1"/>
  <c r="D11" i="2" a="1"/>
  <c r="D11" i="2" s="1"/>
  <c r="C11" i="2" a="1"/>
  <c r="C11" i="2" s="1"/>
  <c r="B11" i="2" a="1"/>
  <c r="B11" i="2" s="1"/>
  <c r="O10" i="2"/>
  <c r="N10" i="2"/>
  <c r="M10" i="2"/>
  <c r="L10" i="2"/>
  <c r="K10" i="2"/>
  <c r="J10" i="2"/>
  <c r="I10" i="2"/>
  <c r="H10" i="2"/>
  <c r="G10" i="2" a="1"/>
  <c r="G10" i="2" s="1"/>
  <c r="F10" i="2"/>
  <c r="E10" i="2" a="1"/>
  <c r="E10" i="2" s="1"/>
  <c r="D10" i="2" a="1"/>
  <c r="D10" i="2" s="1"/>
  <c r="C10" i="2" a="1"/>
  <c r="C10" i="2" s="1"/>
  <c r="B10" i="2" a="1"/>
  <c r="B10" i="2" s="1"/>
  <c r="O9" i="2"/>
  <c r="N9" i="2"/>
  <c r="M9" i="2"/>
  <c r="L9" i="2"/>
  <c r="K9" i="2"/>
  <c r="J9" i="2"/>
  <c r="I9" i="2"/>
  <c r="H9" i="2"/>
  <c r="G9" i="2" a="1"/>
  <c r="G9" i="2" s="1"/>
  <c r="F9" i="2"/>
  <c r="E9" i="2" a="1"/>
  <c r="E9" i="2" s="1"/>
  <c r="D9" i="2" a="1"/>
  <c r="D9" i="2" s="1"/>
  <c r="C9" i="2" a="1"/>
  <c r="C9" i="2" s="1"/>
  <c r="B9" i="2" a="1"/>
  <c r="B9" i="2" s="1"/>
  <c r="O8" i="2"/>
  <c r="N8" i="2"/>
  <c r="M8" i="2"/>
  <c r="L8" i="2"/>
  <c r="K8" i="2"/>
  <c r="J8" i="2"/>
  <c r="I8" i="2"/>
  <c r="H8" i="2"/>
  <c r="G8" i="2" a="1"/>
  <c r="G8" i="2" s="1"/>
  <c r="F8" i="2"/>
  <c r="E8" i="2" a="1"/>
  <c r="E8" i="2" s="1"/>
  <c r="D8" i="2" a="1"/>
  <c r="D8" i="2" s="1"/>
  <c r="C8" i="2" a="1"/>
  <c r="C8" i="2" s="1"/>
  <c r="B8" i="2" a="1"/>
  <c r="B8" i="2"/>
  <c r="O7" i="2"/>
  <c r="N7" i="2"/>
  <c r="M7" i="2"/>
  <c r="L7" i="2"/>
  <c r="K7" i="2"/>
  <c r="J7" i="2"/>
  <c r="I7" i="2"/>
  <c r="H7" i="2"/>
  <c r="G7" i="2" a="1"/>
  <c r="G7" i="2" s="1"/>
  <c r="F7" i="2"/>
  <c r="E7" i="2" a="1"/>
  <c r="E7" i="2" s="1"/>
  <c r="D7" i="2" a="1"/>
  <c r="D7" i="2" s="1"/>
  <c r="C7" i="2" a="1"/>
  <c r="C7" i="2" s="1"/>
  <c r="B7" i="2" a="1"/>
  <c r="B7" i="2" s="1"/>
  <c r="O6" i="2"/>
  <c r="N6" i="2"/>
  <c r="M6" i="2"/>
  <c r="L6" i="2"/>
  <c r="K6" i="2"/>
  <c r="J6" i="2"/>
  <c r="I6" i="2"/>
  <c r="H6" i="2"/>
  <c r="G6" i="2" a="1"/>
  <c r="G6" i="2" s="1"/>
  <c r="F6" i="2"/>
  <c r="E6" i="2" a="1"/>
  <c r="E6" i="2" s="1"/>
  <c r="D6" i="2" a="1"/>
  <c r="D6" i="2" s="1"/>
  <c r="C6" i="2" a="1"/>
  <c r="C6" i="2" s="1"/>
  <c r="B6" i="2" a="1"/>
  <c r="B6" i="2" s="1"/>
  <c r="O5" i="2"/>
  <c r="N5" i="2"/>
  <c r="M5" i="2"/>
  <c r="L5" i="2"/>
  <c r="K5" i="2"/>
  <c r="J5" i="2"/>
  <c r="I5" i="2"/>
  <c r="H5" i="2"/>
  <c r="G5" i="2" a="1"/>
  <c r="G5" i="2" s="1"/>
  <c r="F5" i="2"/>
  <c r="E5" i="2" a="1"/>
  <c r="E5" i="2" s="1"/>
  <c r="D5" i="2" a="1"/>
  <c r="D5" i="2" s="1"/>
  <c r="C5" i="2" a="1"/>
  <c r="C5" i="2" s="1"/>
  <c r="B5" i="2" a="1"/>
  <c r="B5" i="2" s="1"/>
  <c r="O4" i="2"/>
  <c r="N4" i="2"/>
  <c r="M4" i="2"/>
  <c r="L4" i="2"/>
  <c r="K4" i="2"/>
  <c r="J4" i="2"/>
  <c r="I4" i="2"/>
  <c r="H4" i="2"/>
  <c r="G4" i="2" a="1"/>
  <c r="G4" i="2" s="1"/>
  <c r="F4" i="2"/>
  <c r="E4" i="2" a="1"/>
  <c r="E4" i="2"/>
  <c r="D4" i="2" a="1"/>
  <c r="D4" i="2" s="1"/>
  <c r="C4" i="2" a="1"/>
  <c r="C4" i="2" s="1"/>
  <c r="B4" i="2" a="1"/>
  <c r="B4" i="2" s="1"/>
  <c r="O3" i="2"/>
  <c r="N3" i="2"/>
  <c r="M3" i="2"/>
  <c r="L3" i="2"/>
  <c r="K3" i="2"/>
  <c r="J3" i="2"/>
  <c r="I3" i="2"/>
  <c r="H3" i="2"/>
  <c r="G3" i="2" a="1"/>
  <c r="G3" i="2" s="1"/>
  <c r="F3" i="2"/>
  <c r="E3" i="2" a="1"/>
  <c r="E3" i="2" s="1"/>
  <c r="D3" i="2" a="1"/>
  <c r="D3" i="2" s="1"/>
  <c r="C3" i="2" a="1"/>
  <c r="C3" i="2" s="1"/>
  <c r="B3" i="2" a="1"/>
  <c r="B3" i="2" s="1"/>
  <c r="O2" i="2"/>
  <c r="N2" i="2"/>
  <c r="M2" i="2"/>
  <c r="L2" i="2"/>
  <c r="K2" i="2"/>
  <c r="J2" i="2"/>
  <c r="I2" i="2"/>
  <c r="H2" i="2"/>
  <c r="G2" i="2" a="1"/>
  <c r="G2" i="2" s="1"/>
  <c r="F2" i="2"/>
  <c r="E2" i="2" a="1"/>
  <c r="E2" i="2" s="1"/>
  <c r="D2" i="2" a="1"/>
  <c r="D2" i="2" s="1"/>
  <c r="C2" i="2" a="1"/>
  <c r="C2" i="2" s="1"/>
  <c r="B2" i="2" a="1"/>
  <c r="B2" i="2" s="1"/>
  <c r="A407" i="1"/>
  <c r="A105" i="1" s="1"/>
  <c r="B362" i="1"/>
  <c r="B358" i="1"/>
  <c r="B366" i="1" s="1"/>
  <c r="A322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397" i="1"/>
  <c r="A110" i="1"/>
  <c r="A111" i="1"/>
  <c r="A112" i="1" s="1"/>
  <c r="A221" i="1"/>
  <c r="A222" i="1"/>
  <c r="A223" i="1" s="1"/>
  <c r="A224" i="1" s="1"/>
  <c r="A225" i="1" s="1"/>
  <c r="A226" i="1" s="1"/>
  <c r="A227" i="1" s="1"/>
  <c r="A228" i="1" s="1"/>
  <c r="A229" i="1" s="1"/>
  <c r="A272" i="1"/>
  <c r="A273" i="1" s="1"/>
  <c r="A274" i="1" s="1"/>
  <c r="A275" i="1" s="1"/>
  <c r="A276" i="1" s="1"/>
  <c r="A277" i="1" s="1"/>
  <c r="A278" i="1" s="1"/>
  <c r="A315" i="1"/>
  <c r="A316" i="1"/>
  <c r="A317" i="1" s="1"/>
  <c r="A318" i="1" s="1"/>
  <c r="A367" i="1"/>
  <c r="A368" i="1" s="1"/>
  <c r="A195" i="1"/>
  <c r="A155" i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292" i="1"/>
  <c r="A293" i="1"/>
  <c r="A283" i="1"/>
  <c r="A284" i="1"/>
  <c r="A280" i="1"/>
  <c r="A85" i="1"/>
  <c r="A33" i="1"/>
  <c r="A34" i="1" s="1"/>
  <c r="A35" i="1" s="1"/>
  <c r="A36" i="1" s="1"/>
  <c r="A183" i="1"/>
  <c r="A151" i="1"/>
  <c r="A152" i="1"/>
  <c r="A153" i="1"/>
  <c r="A254" i="1"/>
  <c r="A255" i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71" i="1"/>
  <c r="A72" i="1"/>
  <c r="A73" i="1" s="1"/>
  <c r="A74" i="1" s="1"/>
  <c r="A75" i="1" s="1"/>
  <c r="A76" i="1" s="1"/>
  <c r="A77" i="1" s="1"/>
  <c r="A78" i="1" s="1"/>
  <c r="A189" i="1"/>
  <c r="A190" i="1" s="1"/>
  <c r="A26" i="1"/>
  <c r="A27" i="1"/>
  <c r="A28" i="1"/>
  <c r="A29" i="1" s="1"/>
  <c r="A38" i="1"/>
  <c r="A80" i="1"/>
  <c r="A81" i="1" s="1"/>
  <c r="A82" i="1" s="1"/>
  <c r="A83" i="1" s="1"/>
  <c r="A136" i="1"/>
  <c r="A132" i="1"/>
  <c r="A133" i="1"/>
  <c r="A134" i="1" s="1"/>
  <c r="A20" i="1"/>
  <c r="A307" i="1"/>
  <c r="A308" i="1"/>
  <c r="A309" i="1" s="1"/>
  <c r="A167" i="1"/>
  <c r="A168" i="1" s="1"/>
  <c r="A169" i="1" s="1"/>
  <c r="A170" i="1" s="1"/>
  <c r="A171" i="1" s="1"/>
  <c r="A295" i="1"/>
  <c r="A345" i="1"/>
  <c r="A346" i="1"/>
  <c r="A385" i="1"/>
  <c r="A23" i="1"/>
  <c r="A24" i="1" s="1"/>
  <c r="A147" i="1"/>
  <c r="A148" i="1" s="1"/>
  <c r="A149" i="1" s="1"/>
  <c r="A245" i="1"/>
  <c r="A393" i="1"/>
  <c r="A375" i="1"/>
  <c r="A376" i="1" s="1"/>
  <c r="A377" i="1" s="1"/>
  <c r="A378" i="1" s="1"/>
  <c r="A359" i="1"/>
  <c r="A360" i="1" s="1"/>
  <c r="A361" i="1" s="1"/>
  <c r="A173" i="1"/>
  <c r="A174" i="1"/>
  <c r="A175" i="1" s="1"/>
  <c r="A196" i="1"/>
  <c r="A197" i="1"/>
  <c r="A198" i="1" s="1"/>
  <c r="A199" i="1" s="1"/>
  <c r="A200" i="1" s="1"/>
  <c r="A234" i="1"/>
  <c r="A106" i="1"/>
  <c r="A107" i="1" s="1"/>
  <c r="A114" i="1"/>
  <c r="A115" i="1"/>
  <c r="A116" i="1"/>
  <c r="A117" i="1" s="1"/>
  <c r="A118" i="1" s="1"/>
  <c r="A119" i="1" s="1"/>
  <c r="A57" i="1"/>
  <c r="A58" i="1"/>
  <c r="A59" i="1" s="1"/>
  <c r="A60" i="1" s="1"/>
  <c r="A61" i="1" s="1"/>
  <c r="A62" i="1" s="1"/>
  <c r="A370" i="1"/>
  <c r="A371" i="1" s="1"/>
  <c r="A372" i="1" s="1"/>
  <c r="A373" i="1" s="1"/>
  <c r="A248" i="1"/>
  <c r="A336" i="1"/>
  <c r="A52" i="1"/>
  <c r="A46" i="1"/>
  <c r="A47" i="1" s="1"/>
  <c r="A48" i="1" s="1"/>
  <c r="A399" i="1"/>
  <c r="A235" i="1"/>
  <c r="A412" i="1"/>
  <c r="A413" i="1" s="1"/>
  <c r="A414" i="1" s="1"/>
  <c r="A415" i="1" s="1"/>
  <c r="A416" i="1" s="1"/>
  <c r="A417" i="1" s="1"/>
  <c r="A339" i="1"/>
  <c r="A340" i="1" s="1"/>
  <c r="A341" i="1" s="1"/>
  <c r="A342" i="1" s="1"/>
  <c r="A343" i="1" s="1"/>
  <c r="A137" i="1"/>
  <c r="A138" i="1" s="1"/>
  <c r="A139" i="1" s="1"/>
  <c r="A140" i="1" s="1"/>
  <c r="A141" i="1" s="1"/>
  <c r="A127" i="1"/>
  <c r="A419" i="1"/>
  <c r="A420" i="1" s="1"/>
  <c r="A421" i="1" s="1"/>
  <c r="A422" i="1" s="1"/>
  <c r="A423" i="1" s="1"/>
  <c r="A424" i="1" s="1"/>
  <c r="A236" i="1"/>
  <c r="A237" i="1" s="1"/>
  <c r="A238" i="1" s="1"/>
  <c r="A239" i="1" s="1"/>
  <c r="A240" i="1" s="1"/>
  <c r="A241" i="1" s="1"/>
  <c r="A242" i="1" s="1"/>
  <c r="A42" i="1"/>
  <c r="A303" i="1"/>
  <c r="A387" i="1"/>
  <c r="A249" i="1"/>
  <c r="A4" i="1"/>
  <c r="A349" i="1"/>
  <c r="A350" i="1"/>
  <c r="A286" i="1"/>
  <c r="A287" i="1" s="1"/>
  <c r="A288" i="1" s="1"/>
  <c r="A203" i="1"/>
  <c r="A250" i="1"/>
  <c r="A211" i="1"/>
  <c r="A212" i="1"/>
  <c r="A213" i="1" s="1"/>
  <c r="A144" i="1"/>
  <c r="A31" i="1"/>
  <c r="A64" i="1"/>
  <c r="A65" i="1"/>
  <c r="A66" i="1"/>
  <c r="A67" i="1" s="1"/>
  <c r="A68" i="1" s="1"/>
  <c r="A69" i="1" s="1"/>
  <c r="A400" i="1"/>
  <c r="A401" i="1"/>
  <c r="A402" i="1"/>
  <c r="A403" i="1" s="1"/>
  <c r="A404" i="1" s="1"/>
  <c r="A333" i="1"/>
  <c r="A204" i="1"/>
  <c r="A205" i="1" s="1"/>
  <c r="A206" i="1" s="1"/>
  <c r="A207" i="1" s="1"/>
  <c r="A208" i="1" s="1"/>
  <c r="A209" i="1" s="1"/>
  <c r="A180" i="1"/>
  <c r="A181" i="1"/>
  <c r="A177" i="1"/>
  <c r="A251" i="1"/>
  <c r="A215" i="1"/>
  <c r="A91" i="1"/>
  <c r="A92" i="1" s="1"/>
  <c r="A93" i="1" s="1"/>
  <c r="A94" i="1" s="1"/>
  <c r="A95" i="1" s="1"/>
  <c r="A96" i="1" s="1"/>
  <c r="A97" i="1" s="1"/>
  <c r="A98" i="1" s="1"/>
  <c r="A99" i="1" s="1"/>
  <c r="A184" i="1"/>
  <c r="A296" i="1"/>
  <c r="A87" i="1"/>
  <c r="A88" i="1" s="1"/>
  <c r="A192" i="1"/>
  <c r="A193" i="1"/>
  <c r="A351" i="1"/>
  <c r="A352" i="1" s="1"/>
  <c r="A353" i="1" s="1"/>
  <c r="A354" i="1" s="1"/>
  <c r="A355" i="1" s="1"/>
  <c r="A356" i="1" s="1"/>
  <c r="A363" i="1"/>
  <c r="A364" i="1"/>
  <c r="A365" i="1" s="1"/>
  <c r="A219" i="1"/>
  <c r="A380" i="1"/>
  <c r="A388" i="1"/>
  <c r="A389" i="1" s="1"/>
  <c r="A390" i="1" s="1"/>
  <c r="A391" i="1" s="1"/>
  <c r="A297" i="1"/>
  <c r="A298" i="1" s="1"/>
  <c r="A128" i="1"/>
  <c r="A129" i="1" s="1"/>
  <c r="A130" i="1" s="1"/>
  <c r="A54" i="1"/>
  <c r="A55" i="1"/>
  <c r="A320" i="1"/>
  <c r="A383" i="1"/>
  <c r="A101" i="1"/>
  <c r="A290" i="1"/>
  <c r="A326" i="1"/>
  <c r="A232" i="1"/>
  <c r="A330" i="1"/>
  <c r="A334" i="1"/>
  <c r="A270" i="1"/>
  <c r="A281" i="1"/>
  <c r="A44" i="1"/>
</calcChain>
</file>

<file path=xl/sharedStrings.xml><?xml version="1.0" encoding="utf-8"?>
<sst xmlns="http://schemas.openxmlformats.org/spreadsheetml/2006/main" count="7473" uniqueCount="1380">
  <si>
    <t>Nº</t>
  </si>
  <si>
    <t>LOCALIDAD</t>
  </si>
  <si>
    <t>DEPARTAMENTO</t>
  </si>
  <si>
    <t>BANDA</t>
  </si>
  <si>
    <t>FREC.</t>
  </si>
  <si>
    <t>POTENCIA</t>
  </si>
  <si>
    <t>ESTADO</t>
  </si>
  <si>
    <t>SITUACIÓN DE LA LICENCIA</t>
  </si>
  <si>
    <t>RVM</t>
  </si>
  <si>
    <t>FECHA DE VENCIMIENTO</t>
  </si>
  <si>
    <t>Abancay</t>
  </si>
  <si>
    <t>Apurimac</t>
  </si>
  <si>
    <t>FM</t>
  </si>
  <si>
    <t>AL AIRE</t>
  </si>
  <si>
    <t>Asociación Cultural Bethel</t>
  </si>
  <si>
    <t>Abancay - Tamburco</t>
  </si>
  <si>
    <t>UHF</t>
  </si>
  <si>
    <t>RVM Nº 116-2016-MTC/03</t>
  </si>
  <si>
    <t>Acari (Bella Unión)</t>
  </si>
  <si>
    <t>Arequipa</t>
  </si>
  <si>
    <t>Acobamba</t>
  </si>
  <si>
    <t>Huancavelica</t>
  </si>
  <si>
    <t>Junin</t>
  </si>
  <si>
    <t>Aguaytia -Padre Abad</t>
  </si>
  <si>
    <t>Ucayali</t>
  </si>
  <si>
    <t>Aija</t>
  </si>
  <si>
    <t>Ancash</t>
  </si>
  <si>
    <t>VHF</t>
  </si>
  <si>
    <t>FUERA AL AIRE</t>
  </si>
  <si>
    <t>Alegria - Las Piedras</t>
  </si>
  <si>
    <t>Madre de Dios</t>
  </si>
  <si>
    <t>Milciades Edgardo Narro Pretell</t>
  </si>
  <si>
    <t>Alerta - Tahuamanu</t>
  </si>
  <si>
    <t>Ambo</t>
  </si>
  <si>
    <t>Huanuco</t>
  </si>
  <si>
    <t>Amotape</t>
  </si>
  <si>
    <t>Piura</t>
  </si>
  <si>
    <t>Ananea - RINCONADA</t>
  </si>
  <si>
    <t>Puno</t>
  </si>
  <si>
    <t>Andagua</t>
  </si>
  <si>
    <t>Andahuaylas</t>
  </si>
  <si>
    <t>RVM Nº 686-2015-MTC/03</t>
  </si>
  <si>
    <t>RVM N° 01-2015-MTC/03</t>
  </si>
  <si>
    <t>Andajes</t>
  </si>
  <si>
    <t>Lima</t>
  </si>
  <si>
    <t>RVM Nº 795-2015-MTC/03</t>
  </si>
  <si>
    <t>Andamarca</t>
  </si>
  <si>
    <t>Junín</t>
  </si>
  <si>
    <t>NO INSTALADA</t>
  </si>
  <si>
    <t>Asociacion Horizonte del Valle</t>
  </si>
  <si>
    <t>Anta</t>
  </si>
  <si>
    <t>Cusco</t>
  </si>
  <si>
    <t>RVM N° 466-2014-MTC/03</t>
  </si>
  <si>
    <t>Antabamba</t>
  </si>
  <si>
    <t>PROCESO DE TRAMITE DE TRANSFERENCIA</t>
  </si>
  <si>
    <t>Aplao</t>
  </si>
  <si>
    <t>Arancay</t>
  </si>
  <si>
    <t>AM</t>
  </si>
  <si>
    <t>RVM Nº 1425-2016-MTC/03</t>
  </si>
  <si>
    <t>96.5</t>
  </si>
  <si>
    <t>Arequipa - Miraflores</t>
  </si>
  <si>
    <t>47.1</t>
  </si>
  <si>
    <t>Atalaya - Raymondi</t>
  </si>
  <si>
    <t>Atíco</t>
  </si>
  <si>
    <t>Aucara</t>
  </si>
  <si>
    <t>Ayacucho</t>
  </si>
  <si>
    <t>Aucayacu - Jose Crespo y Castillo</t>
  </si>
  <si>
    <t>Ayabaca</t>
  </si>
  <si>
    <t>RVM Nº 1007-2016-MTC/03</t>
  </si>
  <si>
    <t>Asociacion Cultural Jireh Ayacucho</t>
  </si>
  <si>
    <t>RVM N° 30-2015-MTC/03</t>
  </si>
  <si>
    <t>OM</t>
  </si>
  <si>
    <t>Ayapata</t>
  </si>
  <si>
    <t>Ayaviri</t>
  </si>
  <si>
    <t>Ayna</t>
  </si>
  <si>
    <t>Azangaro</t>
  </si>
  <si>
    <t>Bagua - La Peca</t>
  </si>
  <si>
    <t>Amazonas</t>
  </si>
  <si>
    <t>RVM Nº 227-2015-MTC/03</t>
  </si>
  <si>
    <t>Bagua Grande</t>
  </si>
  <si>
    <t>Bambamarca</t>
  </si>
  <si>
    <t>Cajamarca</t>
  </si>
  <si>
    <t>RVM N° 606-2015-MTC/03</t>
  </si>
  <si>
    <t>Barranca</t>
  </si>
  <si>
    <t>Asociacion Paramonga Visión con Futuro</t>
  </si>
  <si>
    <t>RVM Nº 1150-2016-MTC/03</t>
  </si>
  <si>
    <t>Barranca - San Lorenzo</t>
  </si>
  <si>
    <t>Loreto</t>
  </si>
  <si>
    <t>92.9</t>
  </si>
  <si>
    <t>Boca Colorado</t>
  </si>
  <si>
    <t>Caballococha - Ramón Castilla</t>
  </si>
  <si>
    <t>97.1</t>
  </si>
  <si>
    <t>Cabana</t>
  </si>
  <si>
    <t>ANA FIGUEROA RODRIGUEZ</t>
  </si>
  <si>
    <t>RVM N° 317-2013-MTC/03</t>
  </si>
  <si>
    <t>Cabanilla</t>
  </si>
  <si>
    <t>RVM Nº 757-2015-MTC/03</t>
  </si>
  <si>
    <t>Cachicoto - Monzón</t>
  </si>
  <si>
    <t>Asociación Paramonga Visión con Futuro</t>
  </si>
  <si>
    <t>Cajabamba</t>
  </si>
  <si>
    <t>104.5</t>
  </si>
  <si>
    <t>Calca</t>
  </si>
  <si>
    <t>Callayuc</t>
  </si>
  <si>
    <t>92.5</t>
  </si>
  <si>
    <t>Camaná</t>
  </si>
  <si>
    <t>RVM Nº 473-2015-MTC/03</t>
  </si>
  <si>
    <t>Campanilla</t>
  </si>
  <si>
    <t>San Martin</t>
  </si>
  <si>
    <t>Victor Arispe Qwistgaard</t>
  </si>
  <si>
    <t>RVM N° 684-2015-MTC/03</t>
  </si>
  <si>
    <t>Campoverde</t>
  </si>
  <si>
    <t>RVM N° 542-2014-MTC/03</t>
  </si>
  <si>
    <t>Candarave</t>
  </si>
  <si>
    <t>Tacna</t>
  </si>
  <si>
    <t>RVM N° 170-2015-MTC/03</t>
  </si>
  <si>
    <t>Cangallo</t>
  </si>
  <si>
    <t>Canta</t>
  </si>
  <si>
    <t>Cañete - Imperial</t>
  </si>
  <si>
    <t>Cañete - San Vicente de Cañete</t>
  </si>
  <si>
    <t>Iglesia Fuente de Bendición</t>
  </si>
  <si>
    <t>Caraveli</t>
  </si>
  <si>
    <t>Caraz</t>
  </si>
  <si>
    <t>Francisco Rojas Cordova</t>
  </si>
  <si>
    <t>Carhuamayo</t>
  </si>
  <si>
    <t>Casa Grande</t>
  </si>
  <si>
    <t>La Libertad</t>
  </si>
  <si>
    <t>Casapalca-Chicla</t>
  </si>
  <si>
    <t>Cashapampa-Monzón</t>
  </si>
  <si>
    <t>Casma</t>
  </si>
  <si>
    <t>Cayna</t>
  </si>
  <si>
    <t>Ccorca</t>
  </si>
  <si>
    <t>Asociación de Radio y Televisión Riqchary</t>
  </si>
  <si>
    <t>Celendin</t>
  </si>
  <si>
    <t>Chacas</t>
  </si>
  <si>
    <t>93.7</t>
  </si>
  <si>
    <t>Chachapoyas</t>
  </si>
  <si>
    <t>RVM Nº 226-2015-MTC/03</t>
  </si>
  <si>
    <t>Chala</t>
  </si>
  <si>
    <t>Chalaco</t>
  </si>
  <si>
    <t>Chalhuanca</t>
  </si>
  <si>
    <t>Chavin de Huantar</t>
  </si>
  <si>
    <t>Chavin de Pariarca</t>
  </si>
  <si>
    <t>Chazuta</t>
  </si>
  <si>
    <t>Checacupe</t>
  </si>
  <si>
    <t>Chepén</t>
  </si>
  <si>
    <t>Asociación Horizonte del Valle</t>
  </si>
  <si>
    <t>Chiclayo</t>
  </si>
  <si>
    <t>Lambayeque</t>
  </si>
  <si>
    <t>107.7</t>
  </si>
  <si>
    <t>Chiclayo - San Jose</t>
  </si>
  <si>
    <t>Chimbote</t>
  </si>
  <si>
    <t>RVM N° 121-2015-MTC/03</t>
  </si>
  <si>
    <t>Chincha - Grocio Prado</t>
  </si>
  <si>
    <t>Ica</t>
  </si>
  <si>
    <t>RVM Nº 613-2016-MTC/03</t>
  </si>
  <si>
    <t>Chinchero</t>
  </si>
  <si>
    <t>RVM N° 163-2015-MTC/03</t>
  </si>
  <si>
    <t>Chincheros - Anco - Huallo</t>
  </si>
  <si>
    <t>RVM Nº 623-2013-MTC/03</t>
  </si>
  <si>
    <t>Chinchihuasi</t>
  </si>
  <si>
    <t>Chiquian</t>
  </si>
  <si>
    <t>Nelly Chasnamote Panduro</t>
  </si>
  <si>
    <t>Chivay</t>
  </si>
  <si>
    <t>RVM N° 437-2015-MTC/03</t>
  </si>
  <si>
    <t>Chongoyape</t>
  </si>
  <si>
    <t>Chosica - Lurigancho</t>
  </si>
  <si>
    <t>97.7</t>
  </si>
  <si>
    <t>RVM Nº 303-95-MTC/15.17</t>
  </si>
  <si>
    <t>Chota</t>
  </si>
  <si>
    <t>Chulucanas</t>
  </si>
  <si>
    <t>RVM Nº 586-2016- MTC/03</t>
  </si>
  <si>
    <t>Chuquibamba</t>
  </si>
  <si>
    <t>Chuquibambilla</t>
  </si>
  <si>
    <t>Cieneguilla</t>
  </si>
  <si>
    <t>Codo del Pozuzo</t>
  </si>
  <si>
    <t>Asociación Cultural y Moralizadora de Tarma</t>
  </si>
  <si>
    <t>Colcabamba</t>
  </si>
  <si>
    <t>Combapata</t>
  </si>
  <si>
    <t>Conchucos</t>
  </si>
  <si>
    <t>Constitucion</t>
  </si>
  <si>
    <t>Pasco</t>
  </si>
  <si>
    <t>100.3</t>
  </si>
  <si>
    <t>Contamana</t>
  </si>
  <si>
    <t>Coracora</t>
  </si>
  <si>
    <t>Corongo</t>
  </si>
  <si>
    <t>107.3</t>
  </si>
  <si>
    <t>Cotahuasi</t>
  </si>
  <si>
    <t>Crucero</t>
  </si>
  <si>
    <t>Cuispes - Pedro Ruiz</t>
  </si>
  <si>
    <t>Curahuasi</t>
  </si>
  <si>
    <t>RVM N° 523-2015-MTC/03</t>
  </si>
  <si>
    <t>RVM Nº 062-2014-MTC/03</t>
  </si>
  <si>
    <t>Cutervo</t>
  </si>
  <si>
    <t>Desaguadero</t>
  </si>
  <si>
    <t>94.9</t>
  </si>
  <si>
    <t>El Estrecho - Putumayo</t>
  </si>
  <si>
    <t>99.5</t>
  </si>
  <si>
    <t>Espinar</t>
  </si>
  <si>
    <t>Huacho</t>
  </si>
  <si>
    <t>RVM Nº 894-2016-MTC/03</t>
  </si>
  <si>
    <t>Huacrachuco</t>
  </si>
  <si>
    <t>Huamachuco</t>
  </si>
  <si>
    <t>Huancabamba</t>
  </si>
  <si>
    <t>Huancané</t>
  </si>
  <si>
    <t>Huancapallac</t>
  </si>
  <si>
    <t>Huancarama</t>
  </si>
  <si>
    <t>RVM N° 774-2014-MTC/03</t>
  </si>
  <si>
    <t>Huancarani</t>
  </si>
  <si>
    <t>Huancayo</t>
  </si>
  <si>
    <t>RVM Nº 064-2016-MTC/03</t>
  </si>
  <si>
    <t>Radiodifusora Super Frecuencia E.I.R.L.</t>
  </si>
  <si>
    <t>Huanchay</t>
  </si>
  <si>
    <t>Huando</t>
  </si>
  <si>
    <t>Huanta</t>
  </si>
  <si>
    <t>Huánuco</t>
  </si>
  <si>
    <t>Huaral</t>
  </si>
  <si>
    <t>93.1</t>
  </si>
  <si>
    <t>Huaraz</t>
  </si>
  <si>
    <t>Huari</t>
  </si>
  <si>
    <t>Huariaca</t>
  </si>
  <si>
    <t>Huarmey</t>
  </si>
  <si>
    <t>GLORIA CUADROS CABALLEROS</t>
  </si>
  <si>
    <t>Huarochirí</t>
  </si>
  <si>
    <t>Huasahuasi</t>
  </si>
  <si>
    <t>RVM Nº 866-2015-MTC/03</t>
  </si>
  <si>
    <t>Huayllay</t>
  </si>
  <si>
    <t>RVM N° 366-2015-MTC/03</t>
  </si>
  <si>
    <t>Huaynacotas</t>
  </si>
  <si>
    <t>RVM N° 387-2015-MTC/03</t>
  </si>
  <si>
    <t>Huepetuhe</t>
  </si>
  <si>
    <t>Huicungo</t>
  </si>
  <si>
    <t>Iberia</t>
  </si>
  <si>
    <t>Ica - Salas</t>
  </si>
  <si>
    <t>Ichuña</t>
  </si>
  <si>
    <t>Moquegua</t>
  </si>
  <si>
    <t>Ilave</t>
  </si>
  <si>
    <t>RVM Nº 1101-2016-MTC/03</t>
  </si>
  <si>
    <t>Ilo</t>
  </si>
  <si>
    <t>Iñapari</t>
  </si>
  <si>
    <t>Iquitos</t>
  </si>
  <si>
    <t>Islandia - Yavari</t>
  </si>
  <si>
    <t>Ivochote- Echarate</t>
  </si>
  <si>
    <t>Jaen</t>
  </si>
  <si>
    <t>RVM Nº 583-2015-MTC/03</t>
  </si>
  <si>
    <t>Jauja</t>
  </si>
  <si>
    <t>Juancito - Sarayacu</t>
  </si>
  <si>
    <t>Juanjui</t>
  </si>
  <si>
    <t>Juli</t>
  </si>
  <si>
    <t>Juliaca</t>
  </si>
  <si>
    <t>Asociación Cultural Perú Vida</t>
  </si>
  <si>
    <t>RVM Nº 149-2015-MTC/03</t>
  </si>
  <si>
    <t>Kaquiabamba</t>
  </si>
  <si>
    <t>RVM N° 878-2015-MTC/03</t>
  </si>
  <si>
    <t>Kepashiato</t>
  </si>
  <si>
    <t>RVM N° 589-2015-MTC/03</t>
  </si>
  <si>
    <t>Kosñipata</t>
  </si>
  <si>
    <t>RVM Nº 491-2013-MTC/03</t>
  </si>
  <si>
    <t>La Arena</t>
  </si>
  <si>
    <t>RVM Nº 1137-2016-MTC/ 03</t>
  </si>
  <si>
    <t>La Joya</t>
  </si>
  <si>
    <t>La Merced</t>
  </si>
  <si>
    <t>La Oroya</t>
  </si>
  <si>
    <t>La Pampa</t>
  </si>
  <si>
    <t>La Union</t>
  </si>
  <si>
    <t>RVM Nº 662-2013-MTC/03</t>
  </si>
  <si>
    <t>Laberinto</t>
  </si>
  <si>
    <t>RVM Nº 310-2013-MTC/03</t>
  </si>
  <si>
    <t>Lagunas</t>
  </si>
  <si>
    <t>Lamay</t>
  </si>
  <si>
    <t>Lambrama</t>
  </si>
  <si>
    <t>Lamud</t>
  </si>
  <si>
    <t>Las Lomas</t>
  </si>
  <si>
    <t>Leymebamba</t>
  </si>
  <si>
    <t>RVM Nº 564 -2013-MTC/03</t>
  </si>
  <si>
    <t>100.1</t>
  </si>
  <si>
    <t>Lima Cien Stereo S.A.C.</t>
  </si>
  <si>
    <t>RVM Nº 604-2001-MTC/15.03</t>
  </si>
  <si>
    <t>Lircay</t>
  </si>
  <si>
    <t>Llamellin</t>
  </si>
  <si>
    <t>Locumba</t>
  </si>
  <si>
    <t>Lomas</t>
  </si>
  <si>
    <t>Lonya Grande</t>
  </si>
  <si>
    <t>RVM N° 613-2014-MTC/03</t>
  </si>
  <si>
    <t>Los Organos</t>
  </si>
  <si>
    <t>Lunahuana</t>
  </si>
  <si>
    <t>RVM N° 83-2015-MTC/03</t>
  </si>
  <si>
    <t>Macusani</t>
  </si>
  <si>
    <t>Mala</t>
  </si>
  <si>
    <t>RVM Nº 588-2016-MTC/03</t>
  </si>
  <si>
    <t>Máncora</t>
  </si>
  <si>
    <t>RVM N° 90-2015-MTC/03</t>
  </si>
  <si>
    <t>Maranura</t>
  </si>
  <si>
    <t>Marcapata</t>
  </si>
  <si>
    <t>Marcas</t>
  </si>
  <si>
    <t>Marcona</t>
  </si>
  <si>
    <t>RVM Nº 096-2016-MTC/03</t>
  </si>
  <si>
    <t>Masisea</t>
  </si>
  <si>
    <t>Mazamari</t>
  </si>
  <si>
    <t>Mazan</t>
  </si>
  <si>
    <t>Mazuko - Inambari</t>
  </si>
  <si>
    <t>Mendoza - San Nicolas</t>
  </si>
  <si>
    <t>Mollendo</t>
  </si>
  <si>
    <t>Radio Oasis S. C R. L.</t>
  </si>
  <si>
    <t>RM Nº 300-95-MTC</t>
  </si>
  <si>
    <t>Mollepata</t>
  </si>
  <si>
    <t>RVM Nº 230-2014-MTC/03</t>
  </si>
  <si>
    <t>Monzon</t>
  </si>
  <si>
    <t>104.7</t>
  </si>
  <si>
    <t>RVM Nº 879-2016-MTC/03</t>
  </si>
  <si>
    <t>Morrope</t>
  </si>
  <si>
    <t>Motupe</t>
  </si>
  <si>
    <t>Moyobamba</t>
  </si>
  <si>
    <t>RVM Nº 427-2015-MTC/03</t>
  </si>
  <si>
    <t>Nauta</t>
  </si>
  <si>
    <t>RVM Nº 132-2013-MTC/03</t>
  </si>
  <si>
    <t>Nazca</t>
  </si>
  <si>
    <t>RVM Nº 419-2005-MTC/03</t>
  </si>
  <si>
    <t>Nepeña</t>
  </si>
  <si>
    <t>RVM N° 573-2015-MTC/03</t>
  </si>
  <si>
    <t>Nueva Cajamarca</t>
  </si>
  <si>
    <t>Nueva Requena</t>
  </si>
  <si>
    <t>Nuñoa</t>
  </si>
  <si>
    <t>Ocobamba</t>
  </si>
  <si>
    <t>Ocongate</t>
  </si>
  <si>
    <t>Ocoña</t>
  </si>
  <si>
    <t>RVM N° 107-2013-MTC/03</t>
  </si>
  <si>
    <t>Olleros</t>
  </si>
  <si>
    <t>RVM N° 732-2015-MTC/03</t>
  </si>
  <si>
    <t>Olmos</t>
  </si>
  <si>
    <t>Omate</t>
  </si>
  <si>
    <t>RVM Nº 667-2013-MTC/03</t>
  </si>
  <si>
    <t>Orcopampa</t>
  </si>
  <si>
    <t>Otuzco</t>
  </si>
  <si>
    <t>106.1</t>
  </si>
  <si>
    <t>Oxapampa</t>
  </si>
  <si>
    <t>Oyon</t>
  </si>
  <si>
    <t>Pacasmayo</t>
  </si>
  <si>
    <t>Pacucha</t>
  </si>
  <si>
    <t>RVM N° 802-2015-MTC/03</t>
  </si>
  <si>
    <t>Paita</t>
  </si>
  <si>
    <t>Palca</t>
  </si>
  <si>
    <t>Palcazu</t>
  </si>
  <si>
    <t>Palma Real - Echerate</t>
  </si>
  <si>
    <t>Palpa</t>
  </si>
  <si>
    <t>Pampa Cangallo - Los Morochucos</t>
  </si>
  <si>
    <t>Pampacolca / Machaguay</t>
  </si>
  <si>
    <t>RVM N° 82-2015-MTC/03</t>
  </si>
  <si>
    <t>Pamparomas</t>
  </si>
  <si>
    <t>Rodolfo Enrique Mejia Ciurlizza</t>
  </si>
  <si>
    <t>Pampas</t>
  </si>
  <si>
    <t>Pampas - Daniel Hernandez</t>
  </si>
  <si>
    <t>Pangoa</t>
  </si>
  <si>
    <t>Parcoy</t>
  </si>
  <si>
    <t>94.1</t>
  </si>
  <si>
    <t>Pariacoto - Yautan</t>
  </si>
  <si>
    <t>Parobamba</t>
  </si>
  <si>
    <t>Paruro</t>
  </si>
  <si>
    <t>Pasco - Chaupimarca</t>
  </si>
  <si>
    <t>Asociacion de Comun. de Radio y TV Pasco</t>
  </si>
  <si>
    <t>Pataz</t>
  </si>
  <si>
    <t>Paucartambo</t>
  </si>
  <si>
    <t>Paucartambo - Huamayaco</t>
  </si>
  <si>
    <t>Pausa</t>
  </si>
  <si>
    <t>Pazos</t>
  </si>
  <si>
    <t>RVM N° 79-2015-MTC/03</t>
  </si>
  <si>
    <t>Pebas</t>
  </si>
  <si>
    <t>95.9</t>
  </si>
  <si>
    <t>Pedregal - Majes</t>
  </si>
  <si>
    <t>RVM Nº 115-2016-MTC/03</t>
  </si>
  <si>
    <t>Pedro Galvez - Chancay - San Marcos</t>
  </si>
  <si>
    <t>Pedro Galvez - Ichocan</t>
  </si>
  <si>
    <t>Perene</t>
  </si>
  <si>
    <t>Pichanaki</t>
  </si>
  <si>
    <t>Picota</t>
  </si>
  <si>
    <t>Pinra</t>
  </si>
  <si>
    <t>95.3</t>
  </si>
  <si>
    <t>Pisco</t>
  </si>
  <si>
    <t>Telecomunicaciones Pisco</t>
  </si>
  <si>
    <t>Piscobamba</t>
  </si>
  <si>
    <t>RVM N° 566-2015-MTC/03</t>
  </si>
  <si>
    <t>101.9</t>
  </si>
  <si>
    <t>Planchon - Las Piedras</t>
  </si>
  <si>
    <t>Pomabamba</t>
  </si>
  <si>
    <t>Pomacanchi</t>
  </si>
  <si>
    <t>RVM N° 748-2014-MTC/03</t>
  </si>
  <si>
    <t>Poroto - Simbal</t>
  </si>
  <si>
    <t>103.7</t>
  </si>
  <si>
    <t>RD. Nº1074-2023-MTC/28</t>
  </si>
  <si>
    <t>Pozuzo</t>
  </si>
  <si>
    <t>Pucallpa</t>
  </si>
  <si>
    <t>Pucallpa - Calleria</t>
  </si>
  <si>
    <t>RVM Nº 1113-2018-MTC/03</t>
  </si>
  <si>
    <t>PUCARA</t>
  </si>
  <si>
    <t>Puerto Bermudez</t>
  </si>
  <si>
    <t>Puerto Inca</t>
  </si>
  <si>
    <t>101.7</t>
  </si>
  <si>
    <t>Puerto Maldonado - Tambopata</t>
  </si>
  <si>
    <t>RVM Nº 1117-2016-MTC/03</t>
  </si>
  <si>
    <t>Puerto Ocopa - Rio Tambo</t>
  </si>
  <si>
    <t>Pukiri - Madre de Dios</t>
  </si>
  <si>
    <t>Asociacion Cultural Perú Vida</t>
  </si>
  <si>
    <t>RVM Nº 014-2004-MTC/03</t>
  </si>
  <si>
    <t>Punta de Bombon</t>
  </si>
  <si>
    <t>Puquina</t>
  </si>
  <si>
    <t>RVM Nº 026-2014-MTC/03</t>
  </si>
  <si>
    <t>Puquio</t>
  </si>
  <si>
    <t>RVM Nº 479-2013-MTC/03</t>
  </si>
  <si>
    <t>Putina</t>
  </si>
  <si>
    <t>Quillabamba - Maranura</t>
  </si>
  <si>
    <t>Quince Mil</t>
  </si>
  <si>
    <t>Quiruvilca</t>
  </si>
  <si>
    <t>Ranracancha</t>
  </si>
  <si>
    <t>RVM N° 311-2015-MTC/03</t>
  </si>
  <si>
    <t>Requena</t>
  </si>
  <si>
    <t>RVM N° 604-2015-MTC/03</t>
  </si>
  <si>
    <t>Roque</t>
  </si>
  <si>
    <t>Salamanca</t>
  </si>
  <si>
    <t>Salvacion - Manu</t>
  </si>
  <si>
    <t>San Alejandro - Irazola</t>
  </si>
  <si>
    <t>San Ignacio</t>
  </si>
  <si>
    <t>RVM N° 85-2015-MTC/03</t>
  </si>
  <si>
    <t>San Jacinto - Ignacio Escudero</t>
  </si>
  <si>
    <t>San Jose de Sisa</t>
  </si>
  <si>
    <t>San Juan de Bigote - Morropon</t>
  </si>
  <si>
    <t>San Lorenzo - Tahuamanu</t>
  </si>
  <si>
    <t>San Mateo</t>
  </si>
  <si>
    <t>San Miguel</t>
  </si>
  <si>
    <t>San Miguel de Pallaques</t>
  </si>
  <si>
    <t>San Pablo de Loreto</t>
  </si>
  <si>
    <t>101.3</t>
  </si>
  <si>
    <t>San Pedro de Cachora</t>
  </si>
  <si>
    <t>San Pedro de Cajas</t>
  </si>
  <si>
    <t>San Ramon</t>
  </si>
  <si>
    <t xml:space="preserve">Radio 1 Television E.I.R.L. </t>
  </si>
  <si>
    <t>Sancos</t>
  </si>
  <si>
    <t>Sandia</t>
  </si>
  <si>
    <t>Santa</t>
  </si>
  <si>
    <t>Santa Clotilde - Napo</t>
  </si>
  <si>
    <t>RVM Nº 233-2014-MTC/03</t>
  </si>
  <si>
    <t>Santa Cruz</t>
  </si>
  <si>
    <t>RVM N° 237-2014-MTC/03</t>
  </si>
  <si>
    <t>Santa Eulalia</t>
  </si>
  <si>
    <t>Santa Lucia</t>
  </si>
  <si>
    <t>Santa Maria de Nanay</t>
  </si>
  <si>
    <t>94.5</t>
  </si>
  <si>
    <t>Santa Rosa</t>
  </si>
  <si>
    <t>RVM N° 420-2015-MTC/03</t>
  </si>
  <si>
    <t>Santa Rosa de Quives</t>
  </si>
  <si>
    <t>RVM Nº 433-2013-MTC/03</t>
  </si>
  <si>
    <t>Santiago de Chuco</t>
  </si>
  <si>
    <t>Santo Tomas</t>
  </si>
  <si>
    <t>Saramiriza - Manseruche</t>
  </si>
  <si>
    <t>JULIAN ALVARO MORON</t>
  </si>
  <si>
    <t>Sarayacu</t>
  </si>
  <si>
    <t>Satipo</t>
  </si>
  <si>
    <t>RD N° 2026-2016-MTC/28</t>
  </si>
  <si>
    <t>Sayan</t>
  </si>
  <si>
    <t>Sechura</t>
  </si>
  <si>
    <t>RVM N° 664-2014-MTC/03</t>
  </si>
  <si>
    <t>Shiringayoc, Las Piedras Mavila</t>
  </si>
  <si>
    <t>Sicuani</t>
  </si>
  <si>
    <t>RVM Nº 23-2015-MTC/03</t>
  </si>
  <si>
    <t>Sihuas</t>
  </si>
  <si>
    <t>Sondorillo</t>
  </si>
  <si>
    <t>RVM Nº 536-2013-MTC/03</t>
  </si>
  <si>
    <t>Soplin Vargas - Teniente Manuel Clavero</t>
  </si>
  <si>
    <t>98.3</t>
  </si>
  <si>
    <t>Succha</t>
  </si>
  <si>
    <t>Sullana</t>
  </si>
  <si>
    <t>RVM Nº 778-2016-MTC/03</t>
  </si>
  <si>
    <t>Tabalosos</t>
  </si>
  <si>
    <t>Producciones Musicales Nayely Internacional S.C.R.L.</t>
  </si>
  <si>
    <t>Tacna - Alto de la Alianza</t>
  </si>
  <si>
    <t>Tacna - La Yarada , Los Palos</t>
  </si>
  <si>
    <t>RVM N° 242-2013-MTC/03</t>
  </si>
  <si>
    <t>Talara - Pariñas</t>
  </si>
  <si>
    <t>Tambo</t>
  </si>
  <si>
    <t>Tambobamba</t>
  </si>
  <si>
    <t>Tamshiyacu - Fernando Lores</t>
  </si>
  <si>
    <t>Tarapoto</t>
  </si>
  <si>
    <t>Tarata</t>
  </si>
  <si>
    <t>Tarma</t>
  </si>
  <si>
    <t>RVM Nº 335-2016-MTC/03</t>
  </si>
  <si>
    <t>Asociacion Cultural y Moralizadora de Tarma</t>
  </si>
  <si>
    <t>Taurija</t>
  </si>
  <si>
    <t>96.9</t>
  </si>
  <si>
    <t>Tayabamba</t>
  </si>
  <si>
    <t>Tembladera</t>
  </si>
  <si>
    <t>99.7</t>
  </si>
  <si>
    <t>RD. Nº3018-2023-MTC/28</t>
  </si>
  <si>
    <t>Ticapampa</t>
  </si>
  <si>
    <t>Tingo María - Rupa Rupa</t>
  </si>
  <si>
    <t>Tocache</t>
  </si>
  <si>
    <t>RVM Nº 404-2005-MTC/03</t>
  </si>
  <si>
    <t>Torata</t>
  </si>
  <si>
    <t>Totora - Mamara</t>
  </si>
  <si>
    <t>Trujillo</t>
  </si>
  <si>
    <t>96.1</t>
  </si>
  <si>
    <t>Tumbes</t>
  </si>
  <si>
    <t>RD Nº 2077-2017-MTC/28</t>
  </si>
  <si>
    <t>Umari</t>
  </si>
  <si>
    <t>Urcos - Cusco</t>
  </si>
  <si>
    <t>Urubamba</t>
  </si>
  <si>
    <t>RVM N° 89-2015-MTC/03</t>
  </si>
  <si>
    <t>Usquil</t>
  </si>
  <si>
    <t>Valle Amauta - Ate</t>
  </si>
  <si>
    <t>Vilcabamba</t>
  </si>
  <si>
    <t>Villa Rica</t>
  </si>
  <si>
    <t>Villa Trompeteros</t>
  </si>
  <si>
    <t>Virú</t>
  </si>
  <si>
    <t>Yanatile</t>
  </si>
  <si>
    <t>04/042035</t>
  </si>
  <si>
    <t>Yauli</t>
  </si>
  <si>
    <t>Yauyos</t>
  </si>
  <si>
    <t>Yavari - Santa Rosa</t>
  </si>
  <si>
    <t>William Garcia Menacho</t>
  </si>
  <si>
    <t>Yungay</t>
  </si>
  <si>
    <t>Yunguyo</t>
  </si>
  <si>
    <t>Yurimaguas</t>
  </si>
  <si>
    <t>Zaña</t>
  </si>
  <si>
    <t>Zarumilla</t>
  </si>
  <si>
    <t>Zorritos</t>
  </si>
  <si>
    <t>nº</t>
  </si>
  <si>
    <t>DPTO.</t>
  </si>
  <si>
    <t>PRESB.</t>
  </si>
  <si>
    <t>F.A</t>
  </si>
  <si>
    <t>INCIDENCIAS</t>
  </si>
  <si>
    <t>MOTIVO</t>
  </si>
  <si>
    <t>OBSERVACION</t>
  </si>
  <si>
    <t>ID</t>
  </si>
  <si>
    <t>RESPONSABLE</t>
  </si>
  <si>
    <t>NIVEL</t>
  </si>
  <si>
    <t>PRESUP S/.</t>
  </si>
  <si>
    <t>PRESUP $</t>
  </si>
  <si>
    <t>LAT</t>
  </si>
  <si>
    <t>LNG</t>
  </si>
  <si>
    <t>GMS</t>
  </si>
  <si>
    <t>77.61974722222222°W 9.781163888888889°S</t>
  </si>
  <si>
    <t>R - 1</t>
  </si>
  <si>
    <t>R - 2</t>
  </si>
  <si>
    <t>81.05366944444444°W 4.90725°S</t>
  </si>
  <si>
    <t>R - 3</t>
  </si>
  <si>
    <t>79.71786111111112°W 4.635722222222221°S</t>
  </si>
  <si>
    <t>R - 4</t>
  </si>
  <si>
    <t>R - 5</t>
  </si>
  <si>
    <t>78.50805555555556°W 5.636388888888888°S</t>
  </si>
  <si>
    <t>R - 6</t>
  </si>
  <si>
    <t>78.50866666666667°W 5.635972222222222°S</t>
  </si>
  <si>
    <t>R - 7</t>
  </si>
  <si>
    <t>78.43900000000001°W 5.763138888888889°S</t>
  </si>
  <si>
    <t>R - 8</t>
  </si>
  <si>
    <t>78.50863888888888°W 6.699366666666667°S</t>
  </si>
  <si>
    <t>R - 9</t>
  </si>
  <si>
    <t>78.00719444444445°W 8.39325°S</t>
  </si>
  <si>
    <t>R - 10</t>
  </si>
  <si>
    <t>R - 11</t>
  </si>
  <si>
    <t>78.03941666666667°W 7.623472222222222°S</t>
  </si>
  <si>
    <t>R - 12</t>
  </si>
  <si>
    <t>78.53113888888889°W 7.146972222222223°S</t>
  </si>
  <si>
    <t>R - 13</t>
  </si>
  <si>
    <t>R - 14</t>
  </si>
  <si>
    <t>78.90791666666668°W 6.186805555555556°S</t>
  </si>
  <si>
    <t>R - 15</t>
  </si>
  <si>
    <t>76.65058333333334°W 7.490583333333333°S</t>
  </si>
  <si>
    <t>R - 16</t>
  </si>
  <si>
    <t>77.7888611111111°W 9.043166666666666°S</t>
  </si>
  <si>
    <t>R - 17</t>
  </si>
  <si>
    <t>77.78888888888889°W 9.043194444444444°S</t>
  </si>
  <si>
    <t>R - 18</t>
  </si>
  <si>
    <t>79.1926388888889°W 7.740472222222222°S</t>
  </si>
  <si>
    <t>R - 19</t>
  </si>
  <si>
    <t>78.30322222222222°W 9.48025°S</t>
  </si>
  <si>
    <t>R - 20</t>
  </si>
  <si>
    <t>78.11119444444444°W 6.881194444444445°S</t>
  </si>
  <si>
    <t>R - 21</t>
  </si>
  <si>
    <t>78.11502777777777°W 6.883388888888889°S</t>
  </si>
  <si>
    <t>R - 22</t>
  </si>
  <si>
    <t>77.38027777777778°W 9.162972222222223°S</t>
  </si>
  <si>
    <t>R - 23</t>
  </si>
  <si>
    <t>77.87272222222222°W 6.210222222222223°S</t>
  </si>
  <si>
    <t>R - 24</t>
  </si>
  <si>
    <t>79.79258055555556°W 5.039291666666666°S</t>
  </si>
  <si>
    <t>R - 25</t>
  </si>
  <si>
    <t>77.17994444444444°W 9.571944444444444°S</t>
  </si>
  <si>
    <t>R - 26</t>
  </si>
  <si>
    <t>76.13986666666668°W 6.57595°S</t>
  </si>
  <si>
    <t>R - 27</t>
  </si>
  <si>
    <t>79.46883611111112°W 7.233411111111111°S</t>
  </si>
  <si>
    <t>R - 28</t>
  </si>
  <si>
    <t>R - 29</t>
  </si>
  <si>
    <t>79.87294444444444°W 6.7836388888888886°S</t>
  </si>
  <si>
    <t>R - 30</t>
  </si>
  <si>
    <t>75.32113888888888°W 11.07788888888889°S</t>
  </si>
  <si>
    <t>R - 31</t>
  </si>
  <si>
    <t>79.90930555555556°W 6.778083333333333°S</t>
  </si>
  <si>
    <t>R - 32</t>
  </si>
  <si>
    <t>78.59127777777778°W 9.0775°S</t>
  </si>
  <si>
    <t>R - 33</t>
  </si>
  <si>
    <t>78.59136111111111°W 9.077555555555556°S</t>
  </si>
  <si>
    <t>R - 34</t>
  </si>
  <si>
    <t>79.38961111111112°W 6.63875°S</t>
  </si>
  <si>
    <t>R - 35</t>
  </si>
  <si>
    <t>78.65390000000001°W 6.545016666666666°S</t>
  </si>
  <si>
    <t>R - 36</t>
  </si>
  <si>
    <t>80.1969888888889°W 5.121836111111111°S</t>
  </si>
  <si>
    <t>R - 37</t>
  </si>
  <si>
    <t>77.85089166666666°W 8.265511111111111°S</t>
  </si>
  <si>
    <t>R - 38</t>
  </si>
  <si>
    <t>R - 39</t>
  </si>
  <si>
    <t>77.94141666666667°W 5.927944444444445°S</t>
  </si>
  <si>
    <t>R - 40</t>
  </si>
  <si>
    <t>78.80247222222222°W 6.372972222222222°S</t>
  </si>
  <si>
    <t>R - 41</t>
  </si>
  <si>
    <t>77.13988888888889°W 8.601305555555555°S</t>
  </si>
  <si>
    <t>R - 42</t>
  </si>
  <si>
    <t>78.0491111111111°W 7.813055555555556°S</t>
  </si>
  <si>
    <t>R - 43</t>
  </si>
  <si>
    <t>79.43376944444445°W 5.242905555555556°S</t>
  </si>
  <si>
    <t>R - 44</t>
  </si>
  <si>
    <t>R - 45</t>
  </si>
  <si>
    <t>77.81619444444445°W 9.72263888888889°S</t>
  </si>
  <si>
    <t>R - 46</t>
  </si>
  <si>
    <t>77.51661111111112°W 9.519861111111112°S</t>
  </si>
  <si>
    <t>R - 47</t>
  </si>
  <si>
    <t>77.51661111111112°W 9.519805555555557°S</t>
  </si>
  <si>
    <t>R - 48</t>
  </si>
  <si>
    <t>77.17625000000001°W 9.348111111111113°S</t>
  </si>
  <si>
    <t>R - 49</t>
  </si>
  <si>
    <t>78.15033333333334°W 10.07413888888889°S</t>
  </si>
  <si>
    <t>R - 50</t>
  </si>
  <si>
    <t>R - 51</t>
  </si>
  <si>
    <t>76.77938333333333°W 7.331180555555555°S</t>
  </si>
  <si>
    <t>R - 52</t>
  </si>
  <si>
    <t>78.81939166666666°W 5.6980305555555555°S</t>
  </si>
  <si>
    <t>R - 53</t>
  </si>
  <si>
    <t>76.74133333333333°W 7.192861111111111°S</t>
  </si>
  <si>
    <t>R - 54</t>
  </si>
  <si>
    <t>80.69488611111112°W 5.375783333333333°S</t>
  </si>
  <si>
    <t>R - 55</t>
  </si>
  <si>
    <t>77.8883888888889°W 8.688744444444445°S</t>
  </si>
  <si>
    <t>R - 56</t>
  </si>
  <si>
    <t>77.98372222222223°W 6.117999999999999°S</t>
  </si>
  <si>
    <t>R - 57</t>
  </si>
  <si>
    <t>80.23047222222222°W 4.654111111111112°S</t>
  </si>
  <si>
    <t>R - 58</t>
  </si>
  <si>
    <t>R - 59</t>
  </si>
  <si>
    <t>77.80661111111111°W 6.692805555555556°S</t>
  </si>
  <si>
    <t>R - 60</t>
  </si>
  <si>
    <t>77.01783333333333°W 9.098391666666668°S</t>
  </si>
  <si>
    <t>R - 61</t>
  </si>
  <si>
    <t>78.45436111111111°W 6.088666666666667°S</t>
  </si>
  <si>
    <t>R - 62</t>
  </si>
  <si>
    <t>81.1258611111111°W 4.183833333333333°S</t>
  </si>
  <si>
    <t>R - 63</t>
  </si>
  <si>
    <t>81.04638888888888°W 4.109083333333333°S</t>
  </si>
  <si>
    <t>R - 64</t>
  </si>
  <si>
    <t>77.48127777777778°W 6.389833333333334°S</t>
  </si>
  <si>
    <t>R - 65</t>
  </si>
  <si>
    <t>80.01097222222222°W 6.537388888888889°S</t>
  </si>
  <si>
    <t>R - 66</t>
  </si>
  <si>
    <t>79.72993611111112°W 6.164922222222223°S</t>
  </si>
  <si>
    <t>R - 67</t>
  </si>
  <si>
    <t>76.96991666666666°W 6.0337499999999995°S</t>
  </si>
  <si>
    <t>R - 68</t>
  </si>
  <si>
    <t>R - 69</t>
  </si>
  <si>
    <t>78.28427777777777°W 9.145555555555555°S</t>
  </si>
  <si>
    <t>R - 70</t>
  </si>
  <si>
    <t>77.30536111111111°W 5.941361111111111°S</t>
  </si>
  <si>
    <t>R - 71</t>
  </si>
  <si>
    <t>77.4736638888889°W 9.66526111111111°S</t>
  </si>
  <si>
    <t>R - 72</t>
  </si>
  <si>
    <t>79.72444444444444°W 5.9944444444444445°S</t>
  </si>
  <si>
    <t>R - 73</t>
  </si>
  <si>
    <t>78.57133611111111°W 7.907491666666667°S</t>
  </si>
  <si>
    <t>R - 74</t>
  </si>
  <si>
    <t>79.55958333333334°W 7.416866666666667°S</t>
  </si>
  <si>
    <t>R - 75</t>
  </si>
  <si>
    <t>81.09091666666666°W 5.103194444444444°S</t>
  </si>
  <si>
    <t>R - 76</t>
  </si>
  <si>
    <t>77.97956388888889°W 9.073241666666666°S</t>
  </si>
  <si>
    <t>R - 77</t>
  </si>
  <si>
    <t>77.47333333333333°W 8.013666666666667°S</t>
  </si>
  <si>
    <t>R - 78</t>
  </si>
  <si>
    <t>77.88541666666667°W 9.546944444444444°S</t>
  </si>
  <si>
    <t>R - 79</t>
  </si>
  <si>
    <t>77.43005555555555°W 8.697166666666666°S</t>
  </si>
  <si>
    <t>R - 80</t>
  </si>
  <si>
    <t>77.59646666666666°W 7.762538888888889°S</t>
  </si>
  <si>
    <t>R - 81</t>
  </si>
  <si>
    <t>78.17391666666667°W 7.334888888888889°S</t>
  </si>
  <si>
    <t>R - 82</t>
  </si>
  <si>
    <t>78.09963888888889°W 7.381113888888889°S</t>
  </si>
  <si>
    <t>R - 83</t>
  </si>
  <si>
    <t>76.33091666666667°W 6.924416666666667°S</t>
  </si>
  <si>
    <t>R - 84</t>
  </si>
  <si>
    <t>R - 85</t>
  </si>
  <si>
    <t>77.36854722222222°W 8.86376111111111°S</t>
  </si>
  <si>
    <t>R - 86</t>
  </si>
  <si>
    <t>80.6320611111111°W 5.203144444444445°S</t>
  </si>
  <si>
    <t>R - 87</t>
  </si>
  <si>
    <t>80.6426388888889°W 5.133249999999999°S</t>
  </si>
  <si>
    <t>R - 88</t>
  </si>
  <si>
    <t>80.64186111111111°W 5.133527777777778°S</t>
  </si>
  <si>
    <t>R - 89</t>
  </si>
  <si>
    <t>77.46788333333333°W 8.819658333333333°S</t>
  </si>
  <si>
    <t>R - 90</t>
  </si>
  <si>
    <t>78.80758333333333°W 8.059022222222223°S</t>
  </si>
  <si>
    <t>R - 91</t>
  </si>
  <si>
    <t>78.30655°W 8.001483333333333°S</t>
  </si>
  <si>
    <t>R - 92</t>
  </si>
  <si>
    <t>76.76193611111111°W 6.3282638888888885°S</t>
  </si>
  <si>
    <t>R - 93</t>
  </si>
  <si>
    <t>79.01175°W 5.125166666666666°S</t>
  </si>
  <si>
    <t>R - 94</t>
  </si>
  <si>
    <t>80.87819444444443°W 4.846888888888889°S</t>
  </si>
  <si>
    <t>R - 95</t>
  </si>
  <si>
    <t>76.68745277777778°W 6.620277777777778°S</t>
  </si>
  <si>
    <t>R - 96</t>
  </si>
  <si>
    <t>79.84065833333332°W 5.324425°S</t>
  </si>
  <si>
    <t>R - 97</t>
  </si>
  <si>
    <t>78.82378055555556°W 6.999408333333333°S</t>
  </si>
  <si>
    <t>R - 98</t>
  </si>
  <si>
    <t>78.61468333333333°W 8.989452777777776°S</t>
  </si>
  <si>
    <t>R - 99</t>
  </si>
  <si>
    <t>78.95738333333334°W 6.636233333333333°S</t>
  </si>
  <si>
    <t>R - 100</t>
  </si>
  <si>
    <t>78.19183333333334°W 8.164333333333333°S</t>
  </si>
  <si>
    <t>R - 101</t>
  </si>
  <si>
    <t>80.81883333333333°W 5.571°S</t>
  </si>
  <si>
    <t>R - 102</t>
  </si>
  <si>
    <t>80.81797222222222°W 5.571722222222222°S</t>
  </si>
  <si>
    <t>R - 103</t>
  </si>
  <si>
    <t>77.66497500000001°W 8.531611111111111°S</t>
  </si>
  <si>
    <t>R - 104</t>
  </si>
  <si>
    <t>77.62891666666665°W 8.558972222222224°S</t>
  </si>
  <si>
    <t>R - 105</t>
  </si>
  <si>
    <t>79.49138888888889°W 5.338333333333333°S</t>
  </si>
  <si>
    <t>R - 106</t>
  </si>
  <si>
    <t>77.64916666666667°W 9.825166666666666°S</t>
  </si>
  <si>
    <t>R - 107</t>
  </si>
  <si>
    <t>80.69783333333334°W 4.897805555555555°S</t>
  </si>
  <si>
    <t>R - 108</t>
  </si>
  <si>
    <t>76.64183333333334°W 6.388361111111111°S</t>
  </si>
  <si>
    <t>R - 109</t>
  </si>
  <si>
    <t>81.25486111111111°W 4.592361111111111°S</t>
  </si>
  <si>
    <t>R - 110</t>
  </si>
  <si>
    <t>76.358475°W 6.458611111111111°S</t>
  </si>
  <si>
    <t>R - 111</t>
  </si>
  <si>
    <t>R - 112</t>
  </si>
  <si>
    <t>77.42261666666667°W 8.306550000000001°S</t>
  </si>
  <si>
    <t>R - 113</t>
  </si>
  <si>
    <t>77.32423333333332°W 8.251333333333333°S</t>
  </si>
  <si>
    <t>R - 114</t>
  </si>
  <si>
    <t>79.13231666666665°W 7.253116666666667°S</t>
  </si>
  <si>
    <t>R - 115</t>
  </si>
  <si>
    <t>77.43055555555556°W 9.758055555555556°S</t>
  </si>
  <si>
    <t>R - 116</t>
  </si>
  <si>
    <t>77.43572222222222°W 9.760972222222222°S</t>
  </si>
  <si>
    <t>R - 117</t>
  </si>
  <si>
    <t>76.50444444444445°W 8.185555555555556°S</t>
  </si>
  <si>
    <t>R - 118</t>
  </si>
  <si>
    <t>79.01690833333333°W 8.107208333333332°S</t>
  </si>
  <si>
    <t>R - 119</t>
  </si>
  <si>
    <t>R - 120</t>
  </si>
  <si>
    <t>80.41511111111112°W 3.5728805555555554°S</t>
  </si>
  <si>
    <t>R - 121</t>
  </si>
  <si>
    <t>R - 122</t>
  </si>
  <si>
    <t>78.41360277777778°W 7.813586111111111°S</t>
  </si>
  <si>
    <t>R - 123</t>
  </si>
  <si>
    <t>78.75075°W 8.417555555555555°S</t>
  </si>
  <si>
    <t>R - 124</t>
  </si>
  <si>
    <t>77.72746111111111°W 9.130544444444444°S</t>
  </si>
  <si>
    <t>R - 125</t>
  </si>
  <si>
    <t>R - 126</t>
  </si>
  <si>
    <t>79.59305555555555°W 5.9055°S</t>
  </si>
  <si>
    <t>R - 127</t>
  </si>
  <si>
    <t>80.26576666666666°W 3.500277777777778°S</t>
  </si>
  <si>
    <t>R - 128</t>
  </si>
  <si>
    <t>80.67944444444444°W 3.687252777777778°S</t>
  </si>
  <si>
    <t>R - 129</t>
  </si>
  <si>
    <t>74.58019444444444°W 12.847555555555557°S</t>
  </si>
  <si>
    <t>C - 1</t>
  </si>
  <si>
    <t>75.66297777777778°W 11.351602777777778°S</t>
  </si>
  <si>
    <t>C - 2</t>
  </si>
  <si>
    <t>75.51663888888889°W 9.034805555555556°S</t>
  </si>
  <si>
    <t>C - 3</t>
  </si>
  <si>
    <t>76.1976138888889°W 10.129166666666666°S</t>
  </si>
  <si>
    <t>C - 4</t>
  </si>
  <si>
    <t>76.91402777777779°W 10.79075°S</t>
  </si>
  <si>
    <t>C - 5</t>
  </si>
  <si>
    <t>C - 6</t>
  </si>
  <si>
    <t>C - 7</t>
  </si>
  <si>
    <t>73.75886111111112°W 10.739805555555554°S</t>
  </si>
  <si>
    <t>C - 8</t>
  </si>
  <si>
    <t>73.97522222222223°W 14.27975°S</t>
  </si>
  <si>
    <t>C - 9</t>
  </si>
  <si>
    <t>76.11872222222222°W 8.930361111111111°S</t>
  </si>
  <si>
    <t>C - 10</t>
  </si>
  <si>
    <t>76.11855555555555°W 8.930305555555554°S</t>
  </si>
  <si>
    <t>C - 11</t>
  </si>
  <si>
    <t>74.24422222222222°W 13.158444444444445°S</t>
  </si>
  <si>
    <t>C - 12</t>
  </si>
  <si>
    <t>74.24166666666667°W 13.155000000000001°S</t>
  </si>
  <si>
    <t>C - 13</t>
  </si>
  <si>
    <t>74.1934138888889°W 13.509313888888888°S</t>
  </si>
  <si>
    <t>C - 14</t>
  </si>
  <si>
    <t>73.78846944444444°W 12.628847222222223°S</t>
  </si>
  <si>
    <t>C - 15</t>
  </si>
  <si>
    <t>73.83052777777777°W 12.596333333333334°S</t>
  </si>
  <si>
    <t>C - 16</t>
  </si>
  <si>
    <t>77.74755555555555°W 10.725861111111112°S</t>
  </si>
  <si>
    <t>C - 17</t>
  </si>
  <si>
    <t>77.75994444444444°W 10.754972222222221°S</t>
  </si>
  <si>
    <t>C - 18</t>
  </si>
  <si>
    <t>76.54057777777777°W 4.834486111111111°S</t>
  </si>
  <si>
    <t>C - 19</t>
  </si>
  <si>
    <t>70.51744444444445°W 3.917402777777778°S</t>
  </si>
  <si>
    <t>C - 20</t>
  </si>
  <si>
    <t>76.20986111111111°W 9.21561111111111°S</t>
  </si>
  <si>
    <t>C - 21</t>
  </si>
  <si>
    <t>74.81297222222221°W 8.48225°S</t>
  </si>
  <si>
    <t>C - 22</t>
  </si>
  <si>
    <t>74.14095°W 13.608669444444445°S</t>
  </si>
  <si>
    <t>C - 23</t>
  </si>
  <si>
    <t>76.62268333333333°W 11.46846388888889°S</t>
  </si>
  <si>
    <t>C - 24</t>
  </si>
  <si>
    <t>76.37410555555554°W 13.062330555555556°S</t>
  </si>
  <si>
    <t>C - 25</t>
  </si>
  <si>
    <t>C - 26</t>
  </si>
  <si>
    <t>76.05780833333333°W 10.926058333333332°S</t>
  </si>
  <si>
    <t>C - 27</t>
  </si>
  <si>
    <t>C - 28</t>
  </si>
  <si>
    <t>76.23852222222223°W 11.651305555555556°S</t>
  </si>
  <si>
    <t>C - 29</t>
  </si>
  <si>
    <t>76.32708333333333°W 9.231333333333334°S</t>
  </si>
  <si>
    <t>C - 30</t>
  </si>
  <si>
    <t>76.38436111111112°W 10.275777777777778°S</t>
  </si>
  <si>
    <t>C - 31</t>
  </si>
  <si>
    <t>76.79942222222222°W 9.517644444444445°S</t>
  </si>
  <si>
    <t>C - 32</t>
  </si>
  <si>
    <t>74.59502777777777°W 12.532272222222224°S</t>
  </si>
  <si>
    <t>C - 33</t>
  </si>
  <si>
    <t>77.15975°W 10.15538888888889°S</t>
  </si>
  <si>
    <t>C - 34</t>
  </si>
  <si>
    <t>76.69994722222222°W 11.941041666666667°S</t>
  </si>
  <si>
    <t>C - 35</t>
  </si>
  <si>
    <t>76.81722222222221°W 12.110805555555554°S</t>
  </si>
  <si>
    <t>C - 36</t>
  </si>
  <si>
    <t>75.46425°W 9.671277777777776°S</t>
  </si>
  <si>
    <t>C - 37</t>
  </si>
  <si>
    <t>74.68558333333334°W 12.417944444444444°S</t>
  </si>
  <si>
    <t>C - 38</t>
  </si>
  <si>
    <t>75.0158°W 9.841497222222223°S</t>
  </si>
  <si>
    <t>C - 39</t>
  </si>
  <si>
    <t>75.01158333333333°W 7.342111111111111°S</t>
  </si>
  <si>
    <t>C - 40</t>
  </si>
  <si>
    <t>73.75198333333333°W 15.015483333333334°S</t>
  </si>
  <si>
    <t>C - 41</t>
  </si>
  <si>
    <t>C - 42</t>
  </si>
  <si>
    <t>72.66888055555556°W 2.4526861111111113°S</t>
  </si>
  <si>
    <t>C - 43</t>
  </si>
  <si>
    <t>77.59454444444444°W 11.131327777777779°S</t>
  </si>
  <si>
    <t>C - 44</t>
  </si>
  <si>
    <t>77.56638888888888°W 11.109472222222221°S</t>
  </si>
  <si>
    <t>C - 45</t>
  </si>
  <si>
    <t>C - 46</t>
  </si>
  <si>
    <t>74.969525°W 12.789927777777777°S</t>
  </si>
  <si>
    <t>C - 47</t>
  </si>
  <si>
    <t>75.19958333333334°W 12.065666666666667°S</t>
  </si>
  <si>
    <t>C - 48</t>
  </si>
  <si>
    <t>75.18936111111111°W 12.090944444444444°S</t>
  </si>
  <si>
    <t>C - 49</t>
  </si>
  <si>
    <t>C - 50</t>
  </si>
  <si>
    <t>74.95182777777778°W 12.569288888888888°S</t>
  </si>
  <si>
    <t>C - 51</t>
  </si>
  <si>
    <t>74.22847222222222°W 12.937555555555555°S</t>
  </si>
  <si>
    <t>C - 52</t>
  </si>
  <si>
    <t>76.24402777777777°W 9.921222222222221°S</t>
  </si>
  <si>
    <t>C - 53</t>
  </si>
  <si>
    <t>76.24411111111111°W 9.921194444444444°S</t>
  </si>
  <si>
    <t>C - 54</t>
  </si>
  <si>
    <t>77.21111111111111°W 11.503166666666667°S</t>
  </si>
  <si>
    <t>C - 55</t>
  </si>
  <si>
    <t>C - 56</t>
  </si>
  <si>
    <t>76.18355°W 10.448952777777778°S</t>
  </si>
  <si>
    <t>C - 57</t>
  </si>
  <si>
    <t>76.23134722222223°W 12.13945°S</t>
  </si>
  <si>
    <t>C - 58</t>
  </si>
  <si>
    <t>75.63646666666668°W 11.276530555555556°S</t>
  </si>
  <si>
    <t>C - 59</t>
  </si>
  <si>
    <t>76.36513888888888°W 11.002472222222222°S</t>
  </si>
  <si>
    <t>C - 60</t>
  </si>
  <si>
    <t>73.27632222222222°W 3.7783944444444444°S</t>
  </si>
  <si>
    <t>C - 61</t>
  </si>
  <si>
    <t>70.04169444444445°W 4.353083333333333°S</t>
  </si>
  <si>
    <t>C - 62</t>
  </si>
  <si>
    <t>75.49555555555555°W 11.786944444444444°S</t>
  </si>
  <si>
    <t>C - 63</t>
  </si>
  <si>
    <t>74.86077777777777°W 6.057472222222222°S</t>
  </si>
  <si>
    <t>C - 64</t>
  </si>
  <si>
    <t>75.9906388888889°W 11.158413888888889°S</t>
  </si>
  <si>
    <t>C - 65</t>
  </si>
  <si>
    <t>C - 66</t>
  </si>
  <si>
    <t>75.90400000000001°W 11.518361111111112°S</t>
  </si>
  <si>
    <t>C - 67</t>
  </si>
  <si>
    <t>76.798°W 9.825222222222221°S</t>
  </si>
  <si>
    <t>C - 68</t>
  </si>
  <si>
    <t>75.66866666666667°W 5.2255°S</t>
  </si>
  <si>
    <t>C - 69</t>
  </si>
  <si>
    <t>77.02638888888889°W 12.181833333333334°S</t>
  </si>
  <si>
    <t>C - 70</t>
  </si>
  <si>
    <t>C - 71</t>
  </si>
  <si>
    <t>77.0303888888889°W 12.180388888888888°S</t>
  </si>
  <si>
    <t>C - 72</t>
  </si>
  <si>
    <t>C - 73</t>
  </si>
  <si>
    <t>74.60166666666666°W 12.987499999999999°S</t>
  </si>
  <si>
    <t>C - 74</t>
  </si>
  <si>
    <t>76.15480555555555°W 12.976055555555556°S</t>
  </si>
  <si>
    <t>C - 75</t>
  </si>
  <si>
    <t>76.63074999999999°W 12.65461111111111°S</t>
  </si>
  <si>
    <t>C - 76</t>
  </si>
  <si>
    <t>74.4099638888889°W 12.888466666666666°S</t>
  </si>
  <si>
    <t>C - 77</t>
  </si>
  <si>
    <t>74.30749999999999°W 8.60388888888889°S</t>
  </si>
  <si>
    <t>C - 78</t>
  </si>
  <si>
    <t>74.5291111111111°W 11.332527777777777°S</t>
  </si>
  <si>
    <t>C - 79</t>
  </si>
  <si>
    <t>74.52594444444445°W 11.33613888888889°S</t>
  </si>
  <si>
    <t>C - 80</t>
  </si>
  <si>
    <t>73.08722222222222°W 3.4978166666666666°S</t>
  </si>
  <si>
    <t>C - 81</t>
  </si>
  <si>
    <t>75.99275°W 9.30075°S</t>
  </si>
  <si>
    <t>C - 82</t>
  </si>
  <si>
    <t>73.57013888888889°W 4.502416666666667°S</t>
  </si>
  <si>
    <t>C - 83</t>
  </si>
  <si>
    <t>74.85390833333332°W 8.321266666666666°S</t>
  </si>
  <si>
    <t>C - 84</t>
  </si>
  <si>
    <t>75.40658333333334°W 10.580388888888889°S</t>
  </si>
  <si>
    <t>C - 85</t>
  </si>
  <si>
    <t>76.76897222222222°W 10.665944444444445°S</t>
  </si>
  <si>
    <t>C - 86</t>
  </si>
  <si>
    <t>75.56627777777777°W 11.342972222222222°S</t>
  </si>
  <si>
    <t>C - 87</t>
  </si>
  <si>
    <t>75.14897222222223°W 10.180833333333332°S</t>
  </si>
  <si>
    <t>C - 88</t>
  </si>
  <si>
    <t>C - 89</t>
  </si>
  <si>
    <t>74.81753333333333°W 12.324083333333332°S</t>
  </si>
  <si>
    <t>C - 90</t>
  </si>
  <si>
    <t>74.86122222222221°W 12.395027777777777°S</t>
  </si>
  <si>
    <t>C - 91</t>
  </si>
  <si>
    <t>C - 92</t>
  </si>
  <si>
    <t>74.50425°W 11.423°S</t>
  </si>
  <si>
    <t>C - 93</t>
  </si>
  <si>
    <t>C - 94</t>
  </si>
  <si>
    <t>76.26176111111111°W 10.694097222222222°S</t>
  </si>
  <si>
    <t>C - 95</t>
  </si>
  <si>
    <t>75.81533333333333°W 10.772°S</t>
  </si>
  <si>
    <t>C - 96</t>
  </si>
  <si>
    <t>C - 97</t>
  </si>
  <si>
    <t>73.345°W 15.28288888888889°S</t>
  </si>
  <si>
    <t>C - 98</t>
  </si>
  <si>
    <t>75.07287777777778°W 12.259822222222223°S</t>
  </si>
  <si>
    <t>C - 99</t>
  </si>
  <si>
    <t>71.85719444444445°W 3.3190277777777775°S</t>
  </si>
  <si>
    <t>C - 100</t>
  </si>
  <si>
    <t>75.23111111111112°W 10.942777777777778°S</t>
  </si>
  <si>
    <t>C - 101</t>
  </si>
  <si>
    <t>C - 102</t>
  </si>
  <si>
    <t>74.87858333333332°W 10.934916666666666°S</t>
  </si>
  <si>
    <t>C - 103</t>
  </si>
  <si>
    <t>75.54971111111111°W 10.071811111111112°S</t>
  </si>
  <si>
    <t>C - 104</t>
  </si>
  <si>
    <t>74.53372222222222°W 8.383125°S</t>
  </si>
  <si>
    <t>C - 105</t>
  </si>
  <si>
    <t>74.53372222222222°W 8.383194444444445°S</t>
  </si>
  <si>
    <t>C - 106</t>
  </si>
  <si>
    <t>74.33597222222222°W 15.031694444444446°S</t>
  </si>
  <si>
    <t>C - 107</t>
  </si>
  <si>
    <t>74.96026666666667°W 9.375272222222224°S</t>
  </si>
  <si>
    <t>C - 108</t>
  </si>
  <si>
    <t>74.29117777777778°W 11.10966111111111°S</t>
  </si>
  <si>
    <t>C - 109</t>
  </si>
  <si>
    <t>74.13030555555555°W 14.68805°S</t>
  </si>
  <si>
    <t>C - 110</t>
  </si>
  <si>
    <t>73.84672222222221°W 5.065138888888889°S</t>
  </si>
  <si>
    <t>C - 111</t>
  </si>
  <si>
    <t>75.21947222222222°W 8.829555555555554°S</t>
  </si>
  <si>
    <t>C - 112</t>
  </si>
  <si>
    <t>76.30425°W 11.761519444444444°S</t>
  </si>
  <si>
    <t>C - 113</t>
  </si>
  <si>
    <t>73.9401°W 13.01126111111111°S</t>
  </si>
  <si>
    <t>C - 114</t>
  </si>
  <si>
    <t>73.98102777777778°W 13.006083333333333°S</t>
  </si>
  <si>
    <t>C - 115</t>
  </si>
  <si>
    <t>71.1031611111111°W 4.0210944444444445°S</t>
  </si>
  <si>
    <t>C - 116</t>
  </si>
  <si>
    <t>75.86226944444444°W 11.2416°S</t>
  </si>
  <si>
    <t>C - 117</t>
  </si>
  <si>
    <t>C - 118</t>
  </si>
  <si>
    <t>74.33655555555555°W 13.919805555555556°S</t>
  </si>
  <si>
    <t>C - 119</t>
  </si>
  <si>
    <t>73.6846°W 2.4900277777777777°S</t>
  </si>
  <si>
    <t>C - 120</t>
  </si>
  <si>
    <t>76.66944444444445°W 11.913333333333334°S</t>
  </si>
  <si>
    <t>C - 121</t>
  </si>
  <si>
    <t>73.6969888888889°W 3.887261111111111°S</t>
  </si>
  <si>
    <t>C - 122</t>
  </si>
  <si>
    <t>73.73655555555555°W 12.687472222222222°S</t>
  </si>
  <si>
    <t>C - 123</t>
  </si>
  <si>
    <t>C - 124</t>
  </si>
  <si>
    <t>76.96394722222223°W 11.722061111111111°S</t>
  </si>
  <si>
    <t>C - 125</t>
  </si>
  <si>
    <t>72.43137222222222°W 4.572402777777778°S</t>
  </si>
  <si>
    <t>C - 126</t>
  </si>
  <si>
    <t>C - 127</t>
  </si>
  <si>
    <t>74.63183333333333°W 11.264277777777778°S</t>
  </si>
  <si>
    <t>C - 128</t>
  </si>
  <si>
    <t>77.24654722222222°W 11.145433333333333°S</t>
  </si>
  <si>
    <t>C - 129</t>
  </si>
  <si>
    <t>74.67704444444445°W 0.3719333333333333°S</t>
  </si>
  <si>
    <t>C - 130</t>
  </si>
  <si>
    <t>74.02018611111112°W 12.95296111111111°S</t>
  </si>
  <si>
    <t>C - 131</t>
  </si>
  <si>
    <t>73.15641666666667°W 4.002944444444444°S</t>
  </si>
  <si>
    <t>C - 132</t>
  </si>
  <si>
    <t>75.69113888888889°W 11.4095°S</t>
  </si>
  <si>
    <t>C - 133</t>
  </si>
  <si>
    <t>75.68777777777778°W 11.409444444444444°S</t>
  </si>
  <si>
    <t>C - 134</t>
  </si>
  <si>
    <t>C - 135</t>
  </si>
  <si>
    <t>C - 136</t>
  </si>
  <si>
    <t>76.01794444444444°W 9.865083333333333°S</t>
  </si>
  <si>
    <t>C - 137</t>
  </si>
  <si>
    <t>76.90555277777779°W 12.036522222222223°S</t>
  </si>
  <si>
    <t>C - 138</t>
  </si>
  <si>
    <t>75.25872222222222°W 10.750361111111111°S</t>
  </si>
  <si>
    <t>C - 139</t>
  </si>
  <si>
    <t>75.25361111111111°W 10.723055555555556°S</t>
  </si>
  <si>
    <t>C - 140</t>
  </si>
  <si>
    <t>75.06183333333333°W 3.803722222222222°S</t>
  </si>
  <si>
    <t>C - 141</t>
  </si>
  <si>
    <t>74.84277222222222°W 12.77241388888889°S</t>
  </si>
  <si>
    <t>C - 142</t>
  </si>
  <si>
    <t>75.91638888888889°W 12.460574999999999°S</t>
  </si>
  <si>
    <t>C - 143</t>
  </si>
  <si>
    <t>C - 144</t>
  </si>
  <si>
    <t>69.95847222222223°W 4.223333333333334°S</t>
  </si>
  <si>
    <t>C - 145</t>
  </si>
  <si>
    <t>76.10988888888889°W 5.90701388888889°S</t>
  </si>
  <si>
    <t>C - 146</t>
  </si>
  <si>
    <t>72.88400277777778°W 13.620391666666666°S</t>
  </si>
  <si>
    <t>E - 1</t>
  </si>
  <si>
    <t>E - 2</t>
  </si>
  <si>
    <t>74.67488888888889°W 15.459024999999999°S</t>
  </si>
  <si>
    <t>E - 3</t>
  </si>
  <si>
    <t>69.11794444444443°W 12.12113888888889°S</t>
  </si>
  <si>
    <t>E - 4</t>
  </si>
  <si>
    <t>69.23519444444445°W 11.6615°S</t>
  </si>
  <si>
    <t>E - 5</t>
  </si>
  <si>
    <t>69.44387777777779°W 14.633105555555556°S</t>
  </si>
  <si>
    <t>E - 6</t>
  </si>
  <si>
    <t>72.35717222222222°W 15.496366666666665°S</t>
  </si>
  <si>
    <t>E - 7</t>
  </si>
  <si>
    <t>73.38644444444445°W 13.661388888888888°S</t>
  </si>
  <si>
    <t>E - 8</t>
  </si>
  <si>
    <t>73.38277777777778°W 13.658611111111112°S</t>
  </si>
  <si>
    <t>E - 9</t>
  </si>
  <si>
    <t>72.1493888888889°W 13.464611111111111°S</t>
  </si>
  <si>
    <t>E - 10</t>
  </si>
  <si>
    <t>72.87134722222221°W 14.369227777777779°S</t>
  </si>
  <si>
    <t>E - 11</t>
  </si>
  <si>
    <t>72.87141666666666°W 14.369222222222223°S</t>
  </si>
  <si>
    <t>E - 12</t>
  </si>
  <si>
    <t>72.4961611111111°W 16.07585°S</t>
  </si>
  <si>
    <t>E - 13</t>
  </si>
  <si>
    <t>71.58202777777777°W 16.40458333333333°S</t>
  </si>
  <si>
    <t>E - 14</t>
  </si>
  <si>
    <t>E - 15</t>
  </si>
  <si>
    <t>71.52341666666666°W 16.393694444444446°S</t>
  </si>
  <si>
    <t>E - 16</t>
  </si>
  <si>
    <t>E - 17</t>
  </si>
  <si>
    <t>73.61229444444444°W 16.22465833333333°S</t>
  </si>
  <si>
    <t>E - 18</t>
  </si>
  <si>
    <t>70.31894444444444°W 13.774222222222223°S</t>
  </si>
  <si>
    <t>E - 19</t>
  </si>
  <si>
    <t>70.59758333333333°W 14.8805°S</t>
  </si>
  <si>
    <t>E - 20</t>
  </si>
  <si>
    <t>70.19172222222223°W 14.900833333333333°S</t>
  </si>
  <si>
    <t>E - 21</t>
  </si>
  <si>
    <t>70.39486388888889°W 12.621022222222223°S</t>
  </si>
  <si>
    <t>E - 22</t>
  </si>
  <si>
    <t>70.34777777777778°W 15.625277777777779°S</t>
  </si>
  <si>
    <t>E - 23</t>
  </si>
  <si>
    <t>71.92861666666667°W 13.291583333333334°S</t>
  </si>
  <si>
    <t>E - 24</t>
  </si>
  <si>
    <t>72.71233333333333°W 16.622333333333334°S</t>
  </si>
  <si>
    <t>E - 25</t>
  </si>
  <si>
    <t>72.71225°W 16.622444444444444°S</t>
  </si>
  <si>
    <t>E - 26</t>
  </si>
  <si>
    <t>70.25171388888889°W 17.264630555555556°S</t>
  </si>
  <si>
    <t>E - 27</t>
  </si>
  <si>
    <t>73.37691666666666°W 15.775583333333334°S</t>
  </si>
  <si>
    <t>E - 28</t>
  </si>
  <si>
    <t>72.06614722222221°W 13.583558333333334°S</t>
  </si>
  <si>
    <t>E - 29</t>
  </si>
  <si>
    <t>E - 30</t>
  </si>
  <si>
    <t>74.25080555555556°W 15.851611111111112°S</t>
  </si>
  <si>
    <t>E - 31</t>
  </si>
  <si>
    <t>73.24994444444445°W 14.295583333333333°S</t>
  </si>
  <si>
    <t>E - 32</t>
  </si>
  <si>
    <t>71.41664444444444°W 13.97086388888889°S</t>
  </si>
  <si>
    <t>E - 33</t>
  </si>
  <si>
    <t>76.14555555555556°W 13.408055555555556°S</t>
  </si>
  <si>
    <t>E - 34</t>
  </si>
  <si>
    <t>72.04998333333333°W 13.393597222222223°S</t>
  </si>
  <si>
    <t>E - 35</t>
  </si>
  <si>
    <t>73.70480555555555°W 13.526250000000001°S</t>
  </si>
  <si>
    <t>E - 36</t>
  </si>
  <si>
    <t>71.5988611111111°W 15.637333333333332°S</t>
  </si>
  <si>
    <t>E - 37</t>
  </si>
  <si>
    <t>72.66283333333334°W 15.841750000000001°S</t>
  </si>
  <si>
    <t>E - 38</t>
  </si>
  <si>
    <t>72.715°W 14.104166666666666°S</t>
  </si>
  <si>
    <t>E - 39</t>
  </si>
  <si>
    <t>71.43346666666667°W 14.09995°S</t>
  </si>
  <si>
    <t>E - 40</t>
  </si>
  <si>
    <t>72.89280000000001°W 15.221633333333333°S</t>
  </si>
  <si>
    <t>E - 41</t>
  </si>
  <si>
    <t>70.01963888888889°W 14.359055555555555°S</t>
  </si>
  <si>
    <t>E - 42</t>
  </si>
  <si>
    <t>72.696325°W 13.536741666666666°S</t>
  </si>
  <si>
    <t>E - 43</t>
  </si>
  <si>
    <t>E - 44</t>
  </si>
  <si>
    <t>71.99530555555556°W 13.512916666666667°S</t>
  </si>
  <si>
    <t>E - 45</t>
  </si>
  <si>
    <t>72.01355555555556°W 13.529416666666668°S</t>
  </si>
  <si>
    <t>E - 46</t>
  </si>
  <si>
    <t>69.03975°W 16.561666666666667°S</t>
  </si>
  <si>
    <t>E - 47</t>
  </si>
  <si>
    <t>69.03983333333333°W 16.561666666666667°S</t>
  </si>
  <si>
    <t>E - 48</t>
  </si>
  <si>
    <t>71.39576666666667°W 14.789633333333333°S</t>
  </si>
  <si>
    <t>E - 49</t>
  </si>
  <si>
    <t>69.76447222222222°W 15.20261111111111°S</t>
  </si>
  <si>
    <t>E - 50</t>
  </si>
  <si>
    <t>73.05467222222222°W 13.645925°S</t>
  </si>
  <si>
    <t>E - 51</t>
  </si>
  <si>
    <t>71.65236111111112°W 13.509611111111111°S</t>
  </si>
  <si>
    <t>E - 52</t>
  </si>
  <si>
    <t>72.7725°W 15.145333333333333°S</t>
  </si>
  <si>
    <t>E - 53</t>
  </si>
  <si>
    <t>70.5254°W 12.996102777777777°S</t>
  </si>
  <si>
    <t>E - 54</t>
  </si>
  <si>
    <t>69.48852777777778°W 11.4075°S</t>
  </si>
  <si>
    <t>E - 55</t>
  </si>
  <si>
    <t>E - 56</t>
  </si>
  <si>
    <t>75.78475°W 13.994416666666666°S</t>
  </si>
  <si>
    <t>E - 57</t>
  </si>
  <si>
    <t>E - 58</t>
  </si>
  <si>
    <t>70.53916666666666°W 16.143055555555556°S</t>
  </si>
  <si>
    <t>E - 59</t>
  </si>
  <si>
    <t>69.63079444444443°W 16.09336111111111°S</t>
  </si>
  <si>
    <t>E - 60</t>
  </si>
  <si>
    <t>71.35076388888888°W 17.662816666666664°S</t>
  </si>
  <si>
    <t>E - 61</t>
  </si>
  <si>
    <t>69.57463888888888°W 10.954138888888888°S</t>
  </si>
  <si>
    <t>E - 62</t>
  </si>
  <si>
    <t>72.96611666666666°W 12.457827777777776°S</t>
  </si>
  <si>
    <t>E - 63</t>
  </si>
  <si>
    <t>69.44009444444445°W 16.204308333333334°S</t>
  </si>
  <si>
    <t>E - 64</t>
  </si>
  <si>
    <t>E - 65</t>
  </si>
  <si>
    <t>70.13719722222223°W 15.49799722222222°S</t>
  </si>
  <si>
    <t>E - 66</t>
  </si>
  <si>
    <t>73.28608333333334°W 13.539305555555556°S</t>
  </si>
  <si>
    <t>E - 67</t>
  </si>
  <si>
    <t>73.20168333333334°W 12.638483333333333°S</t>
  </si>
  <si>
    <t>E - 68</t>
  </si>
  <si>
    <t>71.42305555555556°W 12.96661111111111°S</t>
  </si>
  <si>
    <t>E - 69</t>
  </si>
  <si>
    <t>E - 70</t>
  </si>
  <si>
    <t>71.82502777777778°W 16.4325°S</t>
  </si>
  <si>
    <t>E - 71</t>
  </si>
  <si>
    <t>69.57530555555554°W 12.729277777777778°S</t>
  </si>
  <si>
    <t>E - 72</t>
  </si>
  <si>
    <t>E - 73</t>
  </si>
  <si>
    <t>71.9226388888889°W 13.364472222222222°S</t>
  </si>
  <si>
    <t>E - 74</t>
  </si>
  <si>
    <t>72.76888888888888°W 13.870716666666667°S</t>
  </si>
  <si>
    <t>E - 75</t>
  </si>
  <si>
    <t>70.76319444444445°W 17.612333333333336°S</t>
  </si>
  <si>
    <t>E - 76</t>
  </si>
  <si>
    <t>74.84191944444444°W 15.561613888888889°S</t>
  </si>
  <si>
    <t>E - 77</t>
  </si>
  <si>
    <t>70.42780555555557°W 14.06463888888889°S</t>
  </si>
  <si>
    <t>E - 78</t>
  </si>
  <si>
    <t>72.66075000000001°W 12.952527777777776°S</t>
  </si>
  <si>
    <t>E - 79</t>
  </si>
  <si>
    <t>70.978525°W 13.591405555555555°S</t>
  </si>
  <si>
    <t>E - 80</t>
  </si>
  <si>
    <t>75.15944444444445°W 15.359722222222222°S</t>
  </si>
  <si>
    <t>E - 81</t>
  </si>
  <si>
    <t>70.37394444444443°W 13.100527777777778°S</t>
  </si>
  <si>
    <t>E - 82</t>
  </si>
  <si>
    <t>E - 83</t>
  </si>
  <si>
    <t>72.01805555555555°W 17.0175°S</t>
  </si>
  <si>
    <t>E - 84</t>
  </si>
  <si>
    <t>72.52772222222222°W 13.507472222222223°S</t>
  </si>
  <si>
    <t>E - 85</t>
  </si>
  <si>
    <t>72.53588333333333°W 13.51068888888889°S</t>
  </si>
  <si>
    <t>E - 86</t>
  </si>
  <si>
    <t>70.93972222222223°W 17.197944444444445°S</t>
  </si>
  <si>
    <t>E - 87</t>
  </si>
  <si>
    <t>70.93991666666668°W 17.197944444444445°S</t>
  </si>
  <si>
    <t>E - 88</t>
  </si>
  <si>
    <t>74.9376388888889°W 14.815611111111112°S</t>
  </si>
  <si>
    <t>E - 89</t>
  </si>
  <si>
    <t>E - 90</t>
  </si>
  <si>
    <t>70.63794444444446°W 14.479833333333334°S</t>
  </si>
  <si>
    <t>E - 91</t>
  </si>
  <si>
    <t>73.58555555555554°W 13.45561111111111°S</t>
  </si>
  <si>
    <t>E - 92</t>
  </si>
  <si>
    <t>E - 93</t>
  </si>
  <si>
    <t>71.38488333333333°W 13.63185°S</t>
  </si>
  <si>
    <t>E - 94</t>
  </si>
  <si>
    <t>73.10674166666666°W 16.436005555555557°S</t>
  </si>
  <si>
    <t>E - 95</t>
  </si>
  <si>
    <t>70.96191666666667°W 16.6475°S</t>
  </si>
  <si>
    <t>E - 96</t>
  </si>
  <si>
    <t>72.33729722222222°W 15.269930555555556°S</t>
  </si>
  <si>
    <t>E - 97</t>
  </si>
  <si>
    <t>E - 98</t>
  </si>
  <si>
    <t>73.29936111111111°W 13.618194444444445°S</t>
  </si>
  <si>
    <t>E - 99</t>
  </si>
  <si>
    <t>E - 100</t>
  </si>
  <si>
    <t>72.70145555555555°W 12.648525°S</t>
  </si>
  <si>
    <t>E - 101</t>
  </si>
  <si>
    <t>75.19655555555556°W 14.52325°S</t>
  </si>
  <si>
    <t>E - 102</t>
  </si>
  <si>
    <t>72.50598611111111°W 15.648183333333332°S</t>
  </si>
  <si>
    <t>E - 103</t>
  </si>
  <si>
    <t>71.85030555555555°W 13.761333333333333°S</t>
  </si>
  <si>
    <t>E - 104</t>
  </si>
  <si>
    <t>71.58683888888888°W 13.308075°S</t>
  </si>
  <si>
    <t>E - 105</t>
  </si>
  <si>
    <t>E - 106</t>
  </si>
  <si>
    <t>72.20975°W 16.337666666666667°S</t>
  </si>
  <si>
    <t>E - 107</t>
  </si>
  <si>
    <t>E - 108</t>
  </si>
  <si>
    <t>76.18338333333334°W 13.713063888888888°S</t>
  </si>
  <si>
    <t>E - 109</t>
  </si>
  <si>
    <t>E - 110</t>
  </si>
  <si>
    <t>69.15277777777779°W 12.274805555555556°S</t>
  </si>
  <si>
    <t>E - 111</t>
  </si>
  <si>
    <t>71.59197222222221°W 13.98661111111111°S</t>
  </si>
  <si>
    <t>E - 112</t>
  </si>
  <si>
    <t>70.33597222222222°W 15.031694444444446°S</t>
  </si>
  <si>
    <t>E - 113</t>
  </si>
  <si>
    <t>69.18732222222222°W 12.59298888888889°S</t>
  </si>
  <si>
    <t>E - 114</t>
  </si>
  <si>
    <t>E - 115</t>
  </si>
  <si>
    <t>70.5258361111111°W 12.78795°S</t>
  </si>
  <si>
    <t>E - 116</t>
  </si>
  <si>
    <t>70.01786388888888°W 15.812341666666667°S</t>
  </si>
  <si>
    <t>E - 117</t>
  </si>
  <si>
    <t>E - 118</t>
  </si>
  <si>
    <t>71.80802777777778°W 17.166638888888887°S</t>
  </si>
  <si>
    <t>E - 119</t>
  </si>
  <si>
    <t>71.18443055555556°W 16.628594444444445°S</t>
  </si>
  <si>
    <t>E - 120</t>
  </si>
  <si>
    <t>69.87216388888888°W 14.920005555555555°S</t>
  </si>
  <si>
    <t>E - 121</t>
  </si>
  <si>
    <t>72.68898333333334°W 12.849233333333334°S</t>
  </si>
  <si>
    <t>E - 122</t>
  </si>
  <si>
    <t>70.75852222222223°W 13.230541666666667°S</t>
  </si>
  <si>
    <t>E - 123</t>
  </si>
  <si>
    <t>E - 124</t>
  </si>
  <si>
    <t>72.82377777777778°W 15.502233333333333°S</t>
  </si>
  <si>
    <t>E - 125</t>
  </si>
  <si>
    <t>71.35538888888888°W 12.834861111111111°S</t>
  </si>
  <si>
    <t>E - 126</t>
  </si>
  <si>
    <t>69.3236111111111°W 11.452166666666667°S</t>
  </si>
  <si>
    <t>E - 127</t>
  </si>
  <si>
    <t>72.81333333333333°W 13.510027777777777°S</t>
  </si>
  <si>
    <t>E - 128</t>
  </si>
  <si>
    <t>69.4623888888889°W 14.321861111111112°S</t>
  </si>
  <si>
    <t>E - 129</t>
  </si>
  <si>
    <t>70.60533333333333°W 15.689027777777778°S</t>
  </si>
  <si>
    <t>E - 130</t>
  </si>
  <si>
    <t>72.07358333333333°W 14.450055555555554°S</t>
  </si>
  <si>
    <t>E - 131</t>
  </si>
  <si>
    <t>E - 132</t>
  </si>
  <si>
    <t>69.11952777777778°W 11.93525°S</t>
  </si>
  <si>
    <t>E - 133</t>
  </si>
  <si>
    <t>71.24671666666667°W 14.260619444444444°S</t>
  </si>
  <si>
    <t>E - 134</t>
  </si>
  <si>
    <t>E - 135</t>
  </si>
  <si>
    <t>E - 136</t>
  </si>
  <si>
    <t>70.26133333333334°W 17.99325°S</t>
  </si>
  <si>
    <t>E - 137</t>
  </si>
  <si>
    <t>70.25469444444444°W 18.086194444444445°S</t>
  </si>
  <si>
    <t>E - 138</t>
  </si>
  <si>
    <t>72.56149444444443°W 14.261277777777778°S</t>
  </si>
  <si>
    <t>E - 139</t>
  </si>
  <si>
    <t>70.0412°W 17.482533333333333°S</t>
  </si>
  <si>
    <t>E - 140</t>
  </si>
  <si>
    <t>70.04144444444444°W 17.46822222222222°S</t>
  </si>
  <si>
    <t>E - 141</t>
  </si>
  <si>
    <t>70.87783333333333°W 17.103722222222224°S</t>
  </si>
  <si>
    <t>E - 142</t>
  </si>
  <si>
    <t>72.62727222222222°W 14.0808°S</t>
  </si>
  <si>
    <t>E - 143</t>
  </si>
  <si>
    <t>71.64344444444446°W 13.623416666666667°S</t>
  </si>
  <si>
    <t>E - 144</t>
  </si>
  <si>
    <t>72.11094444444444°W 13.31038888888889°S</t>
  </si>
  <si>
    <t>E - 145</t>
  </si>
  <si>
    <t>E - 146</t>
  </si>
  <si>
    <t>72.17161111111112°W 13.940305555555556°S</t>
  </si>
  <si>
    <t>E - 147</t>
  </si>
  <si>
    <t>72.31310833333333°W 12.687141666666667°S</t>
  </si>
  <si>
    <t>E - 148</t>
  </si>
  <si>
    <t>69.0893611111111°W 16.257166666666667°S</t>
  </si>
  <si>
    <t>E - 149</t>
  </si>
  <si>
    <t>Correo</t>
  </si>
  <si>
    <t>Contraseña</t>
  </si>
  <si>
    <t>malvarado@betheltv.tv</t>
  </si>
  <si>
    <t>MA43</t>
  </si>
  <si>
    <t>acueto@betheltv.tv</t>
  </si>
  <si>
    <t>AC23</t>
  </si>
  <si>
    <t>abautista@betheltv.tv</t>
  </si>
  <si>
    <t>AB99</t>
  </si>
  <si>
    <t>iarenas@betheltv.tv</t>
  </si>
  <si>
    <t>IA01</t>
  </si>
  <si>
    <t>rcastillo@betheltv.tv</t>
  </si>
  <si>
    <t>RC51</t>
  </si>
  <si>
    <t>spurizaca@betheltv.tv</t>
  </si>
  <si>
    <t>SP07</t>
  </si>
  <si>
    <t>hunocc@betheltv.tv</t>
  </si>
  <si>
    <t>HU67</t>
  </si>
  <si>
    <t>cramos@betheltv.tv</t>
  </si>
  <si>
    <t>CR66</t>
  </si>
  <si>
    <t>jespiritu@betheltv.tv</t>
  </si>
  <si>
    <t>JE01</t>
  </si>
  <si>
    <t>mlorenzo@betheltv.tv</t>
  </si>
  <si>
    <t>ML79</t>
  </si>
  <si>
    <t>rbravo@betheltv.tv</t>
  </si>
  <si>
    <t>RB51</t>
  </si>
  <si>
    <t>nsilva@betheltv.tv</t>
  </si>
  <si>
    <t>NS23</t>
  </si>
  <si>
    <t>cpanduro@betheltv.tv</t>
  </si>
  <si>
    <t>CP48</t>
  </si>
  <si>
    <t>gdelarosa@betheltv.tv</t>
  </si>
  <si>
    <t>GD17</t>
  </si>
  <si>
    <t>lsiancas@betheltv.tv</t>
  </si>
  <si>
    <t>LS47</t>
  </si>
  <si>
    <t>cipanaque@betheltv.tv</t>
  </si>
  <si>
    <t>CI04</t>
  </si>
  <si>
    <t>mespinoza@betheltv.tv</t>
  </si>
  <si>
    <t>ME65</t>
  </si>
  <si>
    <t>apomallanque@betheltv.tv</t>
  </si>
  <si>
    <t>AP95</t>
  </si>
  <si>
    <t>ehuaynates@betheltv.tv</t>
  </si>
  <si>
    <t>EH63</t>
  </si>
  <si>
    <t>sayala@betheltv.tv</t>
  </si>
  <si>
    <t>SA41</t>
  </si>
  <si>
    <t>jsinchi@betheltv.tv</t>
  </si>
  <si>
    <t>JS13</t>
  </si>
  <si>
    <t>mangeles@betheltv.tv</t>
  </si>
  <si>
    <t>MA01</t>
  </si>
  <si>
    <t xml:space="preserve">bbarba@betheltv.tv </t>
  </si>
  <si>
    <t>BB01</t>
  </si>
  <si>
    <t xml:space="preserve">vurbina@betheltv.tv </t>
  </si>
  <si>
    <t>VU01</t>
  </si>
  <si>
    <t>Admin</t>
  </si>
  <si>
    <t>USUARIOS</t>
  </si>
  <si>
    <t>ULTIMO ACCESO</t>
  </si>
  <si>
    <t>JESPIritu@betheltv.tv</t>
  </si>
  <si>
    <t>bbarba@betheltv.tv</t>
  </si>
  <si>
    <t>vurbina@betheltv.tv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</si>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</sst>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/m/yyyy"/>
    <numFmt numFmtId="166" formatCode="m/d/yyyy\ h:mm:ss"/>
  </numFmts>
  <fonts count="24" x14ac:knownFonts="1">
    <font>
      <sz val="11"/>
      <color theme="1"/>
      <name val="Calibri"/>
      <scheme val="minor"/>
    </font>
    <font>
      <b/>
      <sz val="11"/>
      <color rgb="FFFFFFFF"/>
      <name val="Times New Roman"/>
    </font>
    <font>
      <sz val="11"/>
      <color rgb="FF000000"/>
      <name val="Times New Roman"/>
    </font>
    <font>
      <sz val="12"/>
      <color rgb="FF0000FF"/>
      <name val="Times New Roman"/>
    </font>
    <font>
      <b/>
      <i/>
      <sz val="11"/>
      <color rgb="FF000000"/>
      <name val="Times New Roman"/>
    </font>
    <font>
      <sz val="11"/>
      <color rgb="FF000000"/>
      <name val="Times New Roman"/>
    </font>
    <font>
      <sz val="10"/>
      <color rgb="FF000000"/>
      <name val="Times New Roman"/>
    </font>
    <font>
      <sz val="11"/>
      <color rgb="FF0000FF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  <font>
      <sz val="12"/>
      <color theme="1"/>
      <name val="Times New Roman"/>
    </font>
    <font>
      <b/>
      <sz val="10"/>
      <color rgb="FFFFFFFF"/>
      <name val="Arial"/>
    </font>
    <font>
      <b/>
      <sz val="10"/>
      <color rgb="FFFFFFFF"/>
      <name val="Montserrat"/>
    </font>
    <font>
      <b/>
      <sz val="11"/>
      <color rgb="FFFFFFFF"/>
      <name val="Calibri"/>
    </font>
    <font>
      <sz val="11"/>
      <color theme="1"/>
      <name val="Calibri"/>
      <scheme val="minor"/>
    </font>
    <font>
      <u/>
      <sz val="11"/>
      <color rgb="FF1155CC"/>
      <name val="Calibri"/>
      <scheme val="minor"/>
    </font>
    <font>
      <u/>
      <sz val="11"/>
      <color rgb="FF1155CC"/>
      <name val="Calibri"/>
      <scheme val="minor"/>
    </font>
    <font>
      <u/>
      <sz val="11"/>
      <color rgb="FF1155CC"/>
      <name val="Calibri"/>
      <scheme val="minor"/>
    </font>
    <font>
      <u/>
      <sz val="11"/>
      <color rgb="FF1155CC"/>
      <name val="Calibri"/>
      <scheme val="minor"/>
    </font>
    <font>
      <b/>
      <sz val="14"/>
      <color theme="1"/>
      <name val="Calibri"/>
      <scheme val="minor"/>
    </font>
    <font>
      <sz val="11"/>
      <color rgb="FFFFFFFF"/>
      <name val="Calibri"/>
      <scheme val="minor"/>
    </font>
    <font>
      <sz val="11"/>
      <color theme="1"/>
      <name val="Roboto"/>
    </font>
    <font>
      <sz val="14"/>
      <color theme="1"/>
      <name val="Calibri"/>
      <scheme val="minor"/>
    </font>
    <font>
      <b/>
      <sz val="11"/>
      <color rgb="FFFFFFFF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563C1"/>
        <bgColor rgb="FF0563C1"/>
      </patternFill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E7E6E6"/>
        <bgColor rgb="FFE7E6E6"/>
      </patternFill>
    </fill>
    <fill>
      <patternFill patternType="solid">
        <fgColor rgb="FF666666"/>
        <bgColor rgb="FF66666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2" fillId="5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7" fillId="0" borderId="2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wrapText="1"/>
    </xf>
    <xf numFmtId="0" fontId="6" fillId="0" borderId="3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/>
    <xf numFmtId="0" fontId="10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/>
    </xf>
    <xf numFmtId="0" fontId="2" fillId="0" borderId="0" xfId="0" applyFont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1" fillId="8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0" fontId="14" fillId="0" borderId="0" xfId="0" applyFont="1"/>
    <xf numFmtId="0" fontId="15" fillId="0" borderId="0" xfId="0" applyFont="1" applyAlignment="1"/>
    <xf numFmtId="0" fontId="14" fillId="0" borderId="0" xfId="0" applyFont="1" applyAlignment="1"/>
    <xf numFmtId="0" fontId="16" fillId="0" borderId="0" xfId="0" applyFont="1" applyAlignment="1"/>
    <xf numFmtId="0" fontId="14" fillId="9" borderId="0" xfId="0" applyFont="1" applyFill="1"/>
    <xf numFmtId="0" fontId="14" fillId="10" borderId="0" xfId="0" applyFont="1" applyFill="1"/>
    <xf numFmtId="49" fontId="14" fillId="0" borderId="0" xfId="0" applyNumberFormat="1" applyFont="1"/>
    <xf numFmtId="49" fontId="14" fillId="0" borderId="0" xfId="0" applyNumberFormat="1" applyFont="1" applyAlignment="1">
      <alignment horizontal="center"/>
    </xf>
    <xf numFmtId="0" fontId="17" fillId="0" borderId="0" xfId="0" applyFont="1" applyAlignment="1"/>
    <xf numFmtId="0" fontId="18" fillId="0" borderId="0" xfId="0" applyFont="1" applyAlignment="1"/>
    <xf numFmtId="49" fontId="19" fillId="0" borderId="0" xfId="0" applyNumberFormat="1" applyFont="1"/>
    <xf numFmtId="49" fontId="19" fillId="0" borderId="0" xfId="0" applyNumberFormat="1" applyFont="1" applyAlignment="1">
      <alignment horizontal="left"/>
    </xf>
    <xf numFmtId="0" fontId="20" fillId="0" borderId="0" xfId="0" applyFont="1"/>
    <xf numFmtId="49" fontId="21" fillId="0" borderId="0" xfId="0" applyNumberFormat="1" applyFont="1" applyAlignment="1">
      <alignment horizontal="left"/>
    </xf>
    <xf numFmtId="49" fontId="22" fillId="0" borderId="0" xfId="0" applyNumberFormat="1" applyFont="1"/>
    <xf numFmtId="0" fontId="22" fillId="0" borderId="0" xfId="0" applyFont="1" applyAlignment="1">
      <alignment horizontal="left"/>
    </xf>
    <xf numFmtId="0" fontId="22" fillId="0" borderId="0" xfId="0" applyFont="1"/>
    <xf numFmtId="0" fontId="22" fillId="0" borderId="0" xfId="0" applyFont="1" applyAlignment="1"/>
    <xf numFmtId="49" fontId="22" fillId="0" borderId="0" xfId="0" applyNumberFormat="1" applyFont="1" applyAlignment="1">
      <alignment horizontal="left"/>
    </xf>
    <xf numFmtId="0" fontId="23" fillId="11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166" fontId="14" fillId="0" borderId="0" xfId="0" applyNumberFormat="1" applyFont="1" applyAlignment="1">
      <alignment horizontal="left"/>
    </xf>
    <xf numFmtId="0" fontId="2" fillId="6" borderId="3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4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3C47D"/>
  </sheetPr>
  <dimension ref="A1:K1275"/>
  <sheetViews>
    <sheetView tabSelected="1" zoomScale="85" zoomScaleNormal="85" workbookViewId="0">
      <pane ySplit="1" topLeftCell="A20" activePane="bottomLeft" state="frozen"/>
      <selection pane="bottomLeft" activeCell="O23" sqref="O23"/>
    </sheetView>
  </sheetViews>
  <sheetFormatPr baseColWidth="10" defaultColWidth="14.44140625" defaultRowHeight="15" customHeight="1" x14ac:dyDescent="0.3"/>
  <cols>
    <col min="1" max="1" width="6.109375" customWidth="1"/>
    <col min="2" max="2" width="8" customWidth="1"/>
    <col min="3" max="3" width="24.5546875" customWidth="1"/>
    <col min="4" max="4" width="13.5546875" customWidth="1"/>
    <col min="5" max="5" width="6.109375" customWidth="1"/>
    <col min="6" max="6" width="6.88671875" customWidth="1"/>
    <col min="7" max="7" width="14" hidden="1" customWidth="1"/>
    <col min="8" max="8" width="13" hidden="1" customWidth="1"/>
    <col min="9" max="9" width="47.44140625" customWidth="1"/>
    <col min="10" max="10" width="23.88671875" customWidth="1"/>
    <col min="11" max="11" width="23.44140625" customWidth="1"/>
  </cols>
  <sheetData>
    <row r="1" spans="1:11" ht="27.6" x14ac:dyDescent="0.3">
      <c r="A1" s="1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28.2" x14ac:dyDescent="0.3">
      <c r="A2" s="3">
        <v>48</v>
      </c>
      <c r="B2" s="3">
        <v>4</v>
      </c>
      <c r="C2" s="14" t="s">
        <v>83</v>
      </c>
      <c r="D2" s="5" t="s">
        <v>44</v>
      </c>
      <c r="E2" s="5" t="s">
        <v>12</v>
      </c>
      <c r="F2" s="5">
        <v>97.5</v>
      </c>
      <c r="G2" s="6">
        <v>950</v>
      </c>
      <c r="H2" s="7" t="s">
        <v>13</v>
      </c>
      <c r="I2" s="8" t="s">
        <v>14</v>
      </c>
      <c r="J2" s="10" t="s">
        <v>85</v>
      </c>
      <c r="K2" s="9">
        <v>45730</v>
      </c>
    </row>
    <row r="3" spans="1:11" ht="28.2" x14ac:dyDescent="0.3">
      <c r="A3" s="3">
        <v>61</v>
      </c>
      <c r="B3" s="3">
        <v>6</v>
      </c>
      <c r="C3" s="11" t="s">
        <v>104</v>
      </c>
      <c r="D3" s="12" t="s">
        <v>19</v>
      </c>
      <c r="E3" s="12" t="s">
        <v>12</v>
      </c>
      <c r="F3" s="12">
        <v>91.7</v>
      </c>
      <c r="G3" s="13">
        <v>100</v>
      </c>
      <c r="H3" s="7" t="s">
        <v>13</v>
      </c>
      <c r="I3" s="8" t="s">
        <v>14</v>
      </c>
      <c r="J3" s="10" t="s">
        <v>105</v>
      </c>
      <c r="K3" s="9">
        <v>45741</v>
      </c>
    </row>
    <row r="4" spans="1:11" ht="28.2" x14ac:dyDescent="0.3">
      <c r="A4" s="3">
        <f>A3+1</f>
        <v>62</v>
      </c>
      <c r="B4" s="3">
        <v>28</v>
      </c>
      <c r="C4" s="15" t="s">
        <v>311</v>
      </c>
      <c r="D4" s="12" t="s">
        <v>107</v>
      </c>
      <c r="E4" s="12" t="s">
        <v>12</v>
      </c>
      <c r="F4" s="12">
        <v>94.5</v>
      </c>
      <c r="G4" s="16">
        <v>950</v>
      </c>
      <c r="H4" s="7" t="s">
        <v>13</v>
      </c>
      <c r="I4" s="8" t="s">
        <v>14</v>
      </c>
      <c r="J4" s="10" t="s">
        <v>312</v>
      </c>
      <c r="K4" s="9">
        <v>45742</v>
      </c>
    </row>
    <row r="5" spans="1:11" ht="28.2" x14ac:dyDescent="0.3">
      <c r="A5" s="3">
        <v>101</v>
      </c>
      <c r="B5" s="3">
        <v>10</v>
      </c>
      <c r="C5" s="11" t="s">
        <v>155</v>
      </c>
      <c r="D5" s="12" t="s">
        <v>51</v>
      </c>
      <c r="E5" s="12" t="s">
        <v>27</v>
      </c>
      <c r="F5" s="12">
        <v>10</v>
      </c>
      <c r="G5" s="13">
        <v>50</v>
      </c>
      <c r="H5" s="7" t="s">
        <v>13</v>
      </c>
      <c r="I5" s="8" t="s">
        <v>14</v>
      </c>
      <c r="J5" s="10" t="s">
        <v>156</v>
      </c>
      <c r="K5" s="9">
        <v>45781</v>
      </c>
    </row>
    <row r="6" spans="1:11" ht="28.2" x14ac:dyDescent="0.3">
      <c r="A6" s="3">
        <v>65</v>
      </c>
      <c r="B6" s="3">
        <v>8</v>
      </c>
      <c r="C6" s="11" t="s">
        <v>112</v>
      </c>
      <c r="D6" s="12" t="s">
        <v>113</v>
      </c>
      <c r="E6" s="12" t="s">
        <v>12</v>
      </c>
      <c r="F6" s="12">
        <v>97.5</v>
      </c>
      <c r="G6" s="13">
        <v>50</v>
      </c>
      <c r="H6" s="7" t="s">
        <v>13</v>
      </c>
      <c r="I6" s="8" t="s">
        <v>14</v>
      </c>
      <c r="J6" s="10" t="s">
        <v>114</v>
      </c>
      <c r="K6" s="9">
        <v>45788</v>
      </c>
    </row>
    <row r="7" spans="1:11" ht="28.2" x14ac:dyDescent="0.3">
      <c r="A7" s="3">
        <v>54</v>
      </c>
      <c r="B7" s="3">
        <v>5</v>
      </c>
      <c r="C7" s="11" t="s">
        <v>95</v>
      </c>
      <c r="D7" s="12" t="s">
        <v>38</v>
      </c>
      <c r="E7" s="12" t="s">
        <v>12</v>
      </c>
      <c r="F7" s="12">
        <v>89.3</v>
      </c>
      <c r="G7" s="13">
        <v>50</v>
      </c>
      <c r="H7" s="7" t="s">
        <v>13</v>
      </c>
      <c r="I7" s="8" t="s">
        <v>14</v>
      </c>
      <c r="J7" s="10" t="s">
        <v>96</v>
      </c>
      <c r="K7" s="9">
        <v>45841</v>
      </c>
    </row>
    <row r="8" spans="1:11" ht="28.2" x14ac:dyDescent="0.3">
      <c r="A8" s="3">
        <v>107</v>
      </c>
      <c r="B8" s="3">
        <v>12</v>
      </c>
      <c r="C8" s="15" t="s">
        <v>165</v>
      </c>
      <c r="D8" s="12" t="s">
        <v>44</v>
      </c>
      <c r="E8" s="12" t="s">
        <v>12</v>
      </c>
      <c r="F8" s="12" t="s">
        <v>166</v>
      </c>
      <c r="G8" s="13">
        <v>250</v>
      </c>
      <c r="H8" s="68" t="s">
        <v>13</v>
      </c>
      <c r="I8" s="8" t="s">
        <v>14</v>
      </c>
      <c r="J8" s="10" t="s">
        <v>167</v>
      </c>
      <c r="K8" s="9">
        <v>45848</v>
      </c>
    </row>
    <row r="9" spans="1:11" ht="15.6" x14ac:dyDescent="0.3">
      <c r="A9" s="3">
        <f>A8+1</f>
        <v>108</v>
      </c>
      <c r="B9" s="3">
        <v>27</v>
      </c>
      <c r="C9" s="11" t="s">
        <v>301</v>
      </c>
      <c r="D9" s="12" t="s">
        <v>19</v>
      </c>
      <c r="E9" s="12" t="s">
        <v>12</v>
      </c>
      <c r="F9" s="12">
        <v>93.1</v>
      </c>
      <c r="G9" s="27">
        <v>250</v>
      </c>
      <c r="H9" s="68" t="s">
        <v>13</v>
      </c>
      <c r="I9" s="73" t="s">
        <v>302</v>
      </c>
      <c r="J9" s="10" t="s">
        <v>303</v>
      </c>
      <c r="K9" s="9">
        <v>45848</v>
      </c>
    </row>
    <row r="10" spans="1:11" ht="14.4" x14ac:dyDescent="0.3">
      <c r="A10" s="3">
        <f>A9+1</f>
        <v>109</v>
      </c>
      <c r="B10" s="3">
        <v>14</v>
      </c>
      <c r="C10" s="15" t="s">
        <v>208</v>
      </c>
      <c r="D10" s="12" t="s">
        <v>22</v>
      </c>
      <c r="E10" s="12" t="s">
        <v>57</v>
      </c>
      <c r="F10" s="12">
        <v>1050</v>
      </c>
      <c r="G10" s="13">
        <v>740</v>
      </c>
      <c r="H10" s="7" t="s">
        <v>13</v>
      </c>
      <c r="I10" s="24" t="s">
        <v>14</v>
      </c>
      <c r="J10" s="25" t="s">
        <v>209</v>
      </c>
      <c r="K10" s="26">
        <v>45855</v>
      </c>
    </row>
    <row r="11" spans="1:11" ht="14.4" x14ac:dyDescent="0.3">
      <c r="A11" s="3">
        <f>A10+1</f>
        <v>110</v>
      </c>
      <c r="B11" s="3">
        <v>41</v>
      </c>
      <c r="C11" s="15" t="s">
        <v>492</v>
      </c>
      <c r="D11" s="12" t="s">
        <v>107</v>
      </c>
      <c r="E11" s="12" t="s">
        <v>12</v>
      </c>
      <c r="F11" s="12">
        <v>95.7</v>
      </c>
      <c r="G11" s="16">
        <v>500</v>
      </c>
      <c r="H11" s="7" t="s">
        <v>13</v>
      </c>
      <c r="I11" s="24" t="s">
        <v>14</v>
      </c>
      <c r="J11" s="25" t="s">
        <v>493</v>
      </c>
      <c r="K11" s="26">
        <v>45871</v>
      </c>
    </row>
    <row r="12" spans="1:11" ht="28.2" x14ac:dyDescent="0.3">
      <c r="A12" s="3">
        <f>A11+1</f>
        <v>111</v>
      </c>
      <c r="B12" s="3">
        <v>37</v>
      </c>
      <c r="C12" s="11" t="s">
        <v>411</v>
      </c>
      <c r="D12" s="12" t="s">
        <v>11</v>
      </c>
      <c r="E12" s="12" t="s">
        <v>12</v>
      </c>
      <c r="F12" s="12">
        <v>97.1</v>
      </c>
      <c r="G12" s="27">
        <v>50</v>
      </c>
      <c r="H12" s="7" t="s">
        <v>13</v>
      </c>
      <c r="I12" s="8" t="s">
        <v>14</v>
      </c>
      <c r="J12" s="10" t="s">
        <v>412</v>
      </c>
      <c r="K12" s="9">
        <v>45879</v>
      </c>
    </row>
    <row r="13" spans="1:11" ht="28.2" x14ac:dyDescent="0.3">
      <c r="A13" s="3">
        <f>A12+1</f>
        <v>112</v>
      </c>
      <c r="B13" s="3">
        <v>29</v>
      </c>
      <c r="C13" s="11" t="s">
        <v>315</v>
      </c>
      <c r="D13" s="12" t="s">
        <v>153</v>
      </c>
      <c r="E13" s="12" t="s">
        <v>12</v>
      </c>
      <c r="F13" s="12">
        <v>95.9</v>
      </c>
      <c r="G13" s="27">
        <v>250</v>
      </c>
      <c r="H13" s="7" t="s">
        <v>13</v>
      </c>
      <c r="I13" s="8" t="s">
        <v>14</v>
      </c>
      <c r="J13" s="10" t="s">
        <v>316</v>
      </c>
      <c r="K13" s="9">
        <v>45892</v>
      </c>
    </row>
    <row r="14" spans="1:11" ht="28.2" x14ac:dyDescent="0.3">
      <c r="A14" s="3">
        <f>A13+1</f>
        <v>113</v>
      </c>
      <c r="B14" s="3">
        <v>16</v>
      </c>
      <c r="C14" s="15" t="s">
        <v>225</v>
      </c>
      <c r="D14" s="12" t="s">
        <v>180</v>
      </c>
      <c r="E14" s="12" t="s">
        <v>12</v>
      </c>
      <c r="F14" s="12">
        <v>94.1</v>
      </c>
      <c r="G14" s="13">
        <v>130</v>
      </c>
      <c r="H14" s="7" t="s">
        <v>13</v>
      </c>
      <c r="I14" s="70" t="s">
        <v>54</v>
      </c>
      <c r="J14" s="10" t="s">
        <v>226</v>
      </c>
      <c r="K14" s="9">
        <v>45895</v>
      </c>
    </row>
    <row r="15" spans="1:11" ht="28.2" x14ac:dyDescent="0.3">
      <c r="A15" s="3">
        <f>A14+1</f>
        <v>114</v>
      </c>
      <c r="B15" s="3">
        <v>17</v>
      </c>
      <c r="C15" s="11" t="s">
        <v>227</v>
      </c>
      <c r="D15" s="12" t="s">
        <v>19</v>
      </c>
      <c r="E15" s="12" t="s">
        <v>12</v>
      </c>
      <c r="F15" s="12">
        <v>106.3</v>
      </c>
      <c r="G15" s="13">
        <v>250</v>
      </c>
      <c r="H15" s="68" t="s">
        <v>13</v>
      </c>
      <c r="I15" s="8" t="s">
        <v>14</v>
      </c>
      <c r="J15" s="10" t="s">
        <v>228</v>
      </c>
      <c r="K15" s="9">
        <v>45900</v>
      </c>
    </row>
    <row r="16" spans="1:11" ht="28.2" x14ac:dyDescent="0.3">
      <c r="A16" s="3">
        <f>A15+1</f>
        <v>115</v>
      </c>
      <c r="B16" s="3">
        <v>35</v>
      </c>
      <c r="C16" s="11" t="s">
        <v>367</v>
      </c>
      <c r="D16" s="12" t="s">
        <v>19</v>
      </c>
      <c r="E16" s="12" t="s">
        <v>27</v>
      </c>
      <c r="F16" s="12">
        <v>4</v>
      </c>
      <c r="G16" s="27">
        <v>500</v>
      </c>
      <c r="H16" s="7" t="s">
        <v>13</v>
      </c>
      <c r="I16" s="8" t="s">
        <v>14</v>
      </c>
      <c r="J16" s="10" t="s">
        <v>368</v>
      </c>
      <c r="K16" s="9">
        <v>45901</v>
      </c>
    </row>
    <row r="17" spans="1:11" ht="28.2" x14ac:dyDescent="0.3">
      <c r="A17" s="3">
        <f>A16+1</f>
        <v>116</v>
      </c>
      <c r="B17" s="3">
        <v>22</v>
      </c>
      <c r="C17" s="15" t="s">
        <v>257</v>
      </c>
      <c r="D17" s="12" t="s">
        <v>36</v>
      </c>
      <c r="E17" s="12" t="s">
        <v>12</v>
      </c>
      <c r="F17" s="12">
        <v>106.9</v>
      </c>
      <c r="G17" s="16">
        <v>100</v>
      </c>
      <c r="H17" s="7" t="s">
        <v>13</v>
      </c>
      <c r="I17" s="8" t="s">
        <v>14</v>
      </c>
      <c r="J17" s="75" t="s">
        <v>258</v>
      </c>
      <c r="K17" s="9">
        <v>45908</v>
      </c>
    </row>
    <row r="18" spans="1:11" ht="28.2" x14ac:dyDescent="0.3">
      <c r="A18" s="3">
        <f>A17+1</f>
        <v>117</v>
      </c>
      <c r="B18" s="3">
        <v>40</v>
      </c>
      <c r="C18" s="15" t="s">
        <v>445</v>
      </c>
      <c r="D18" s="12" t="s">
        <v>65</v>
      </c>
      <c r="E18" s="12" t="s">
        <v>27</v>
      </c>
      <c r="F18" s="12">
        <v>12</v>
      </c>
      <c r="G18" s="27">
        <v>50</v>
      </c>
      <c r="H18" s="7" t="s">
        <v>13</v>
      </c>
      <c r="I18" s="8" t="s">
        <v>108</v>
      </c>
      <c r="J18" s="10" t="s">
        <v>446</v>
      </c>
      <c r="K18" s="9">
        <v>45908</v>
      </c>
    </row>
    <row r="19" spans="1:11" ht="28.2" x14ac:dyDescent="0.3">
      <c r="A19" s="3">
        <v>105</v>
      </c>
      <c r="B19" s="3">
        <v>11</v>
      </c>
      <c r="C19" s="11" t="s">
        <v>162</v>
      </c>
      <c r="D19" s="12" t="s">
        <v>19</v>
      </c>
      <c r="E19" s="12" t="s">
        <v>12</v>
      </c>
      <c r="F19" s="12">
        <v>93.3</v>
      </c>
      <c r="G19" s="13">
        <v>250</v>
      </c>
      <c r="H19" s="68" t="s">
        <v>13</v>
      </c>
      <c r="I19" s="23" t="s">
        <v>14</v>
      </c>
      <c r="J19" s="10" t="s">
        <v>163</v>
      </c>
      <c r="K19" s="9">
        <v>45909</v>
      </c>
    </row>
    <row r="20" spans="1:11" ht="28.2" x14ac:dyDescent="0.3">
      <c r="A20" s="3">
        <f>A19+1</f>
        <v>106</v>
      </c>
      <c r="B20" s="3">
        <v>19</v>
      </c>
      <c r="C20" s="15" t="s">
        <v>242</v>
      </c>
      <c r="D20" s="12" t="s">
        <v>81</v>
      </c>
      <c r="E20" s="12" t="s">
        <v>12</v>
      </c>
      <c r="F20" s="12">
        <v>100.5</v>
      </c>
      <c r="G20" s="16">
        <v>950</v>
      </c>
      <c r="H20" s="7" t="s">
        <v>13</v>
      </c>
      <c r="I20" s="8" t="s">
        <v>14</v>
      </c>
      <c r="J20" s="75" t="s">
        <v>243</v>
      </c>
      <c r="K20" s="9">
        <v>45909</v>
      </c>
    </row>
    <row r="21" spans="1:11" ht="28.2" x14ac:dyDescent="0.3">
      <c r="A21" s="3">
        <v>2</v>
      </c>
      <c r="B21" s="3">
        <v>1</v>
      </c>
      <c r="C21" s="11" t="s">
        <v>15</v>
      </c>
      <c r="D21" s="12" t="s">
        <v>11</v>
      </c>
      <c r="E21" s="12" t="s">
        <v>16</v>
      </c>
      <c r="F21" s="12">
        <v>33</v>
      </c>
      <c r="G21" s="13">
        <v>50</v>
      </c>
      <c r="H21" s="7" t="s">
        <v>13</v>
      </c>
      <c r="I21" s="8" t="s">
        <v>14</v>
      </c>
      <c r="J21" s="10" t="s">
        <v>17</v>
      </c>
      <c r="K21" s="9">
        <v>45929</v>
      </c>
    </row>
    <row r="22" spans="1:11" ht="28.2" x14ac:dyDescent="0.3">
      <c r="A22" s="3">
        <v>125</v>
      </c>
      <c r="B22" s="3">
        <v>13</v>
      </c>
      <c r="C22" s="11" t="s">
        <v>189</v>
      </c>
      <c r="D22" s="12" t="s">
        <v>11</v>
      </c>
      <c r="E22" s="12" t="s">
        <v>27</v>
      </c>
      <c r="F22" s="12">
        <v>9</v>
      </c>
      <c r="G22" s="13">
        <v>50</v>
      </c>
      <c r="H22" s="68" t="s">
        <v>13</v>
      </c>
      <c r="I22" s="23" t="s">
        <v>108</v>
      </c>
      <c r="J22" s="10" t="s">
        <v>190</v>
      </c>
      <c r="K22" s="19">
        <v>45932</v>
      </c>
    </row>
    <row r="23" spans="1:11" ht="28.2" x14ac:dyDescent="0.3">
      <c r="A23" s="3">
        <f>A22+1</f>
        <v>126</v>
      </c>
      <c r="B23" s="3">
        <v>36</v>
      </c>
      <c r="C23" s="15" t="s">
        <v>378</v>
      </c>
      <c r="D23" s="12" t="s">
        <v>26</v>
      </c>
      <c r="E23" s="12" t="s">
        <v>12</v>
      </c>
      <c r="F23" s="12">
        <v>97.9</v>
      </c>
      <c r="G23" s="16">
        <v>250</v>
      </c>
      <c r="H23" s="7" t="s">
        <v>13</v>
      </c>
      <c r="I23" s="70" t="s">
        <v>54</v>
      </c>
      <c r="J23" s="10" t="s">
        <v>379</v>
      </c>
      <c r="K23" s="19">
        <v>45946</v>
      </c>
    </row>
    <row r="24" spans="1:11" ht="28.2" x14ac:dyDescent="0.3">
      <c r="A24" s="3">
        <f>A23+1</f>
        <v>127</v>
      </c>
      <c r="B24" s="3">
        <v>21</v>
      </c>
      <c r="C24" s="11" t="s">
        <v>253</v>
      </c>
      <c r="D24" s="12" t="s">
        <v>51</v>
      </c>
      <c r="E24" s="12" t="s">
        <v>12</v>
      </c>
      <c r="F24" s="12">
        <v>95.5</v>
      </c>
      <c r="G24" s="27">
        <v>50</v>
      </c>
      <c r="H24" s="68" t="s">
        <v>13</v>
      </c>
      <c r="I24" s="23" t="s">
        <v>14</v>
      </c>
      <c r="J24" s="10" t="s">
        <v>254</v>
      </c>
      <c r="K24" s="19">
        <v>45953</v>
      </c>
    </row>
    <row r="25" spans="1:11" ht="28.2" x14ac:dyDescent="0.3">
      <c r="A25" s="3">
        <v>46</v>
      </c>
      <c r="B25" s="3">
        <v>3</v>
      </c>
      <c r="C25" s="15" t="s">
        <v>80</v>
      </c>
      <c r="D25" s="12" t="s">
        <v>81</v>
      </c>
      <c r="E25" s="12" t="s">
        <v>12</v>
      </c>
      <c r="F25" s="12">
        <v>89.7</v>
      </c>
      <c r="G25" s="13">
        <v>250</v>
      </c>
      <c r="H25" s="7" t="s">
        <v>13</v>
      </c>
      <c r="I25" s="8" t="s">
        <v>14</v>
      </c>
      <c r="J25" s="10" t="s">
        <v>82</v>
      </c>
      <c r="K25" s="19">
        <v>45957</v>
      </c>
    </row>
    <row r="26" spans="1:11" ht="28.2" x14ac:dyDescent="0.3">
      <c r="A26" s="3">
        <f>A25+1</f>
        <v>47</v>
      </c>
      <c r="B26" s="3">
        <v>38</v>
      </c>
      <c r="C26" s="15" t="s">
        <v>413</v>
      </c>
      <c r="D26" s="12" t="s">
        <v>87</v>
      </c>
      <c r="E26" s="12" t="s">
        <v>12</v>
      </c>
      <c r="F26" s="12">
        <v>96.7</v>
      </c>
      <c r="G26" s="27">
        <v>500</v>
      </c>
      <c r="H26" s="7" t="s">
        <v>13</v>
      </c>
      <c r="I26" s="8" t="s">
        <v>14</v>
      </c>
      <c r="J26" s="10" t="s">
        <v>414</v>
      </c>
      <c r="K26" s="19">
        <v>45957</v>
      </c>
    </row>
    <row r="27" spans="1:11" ht="28.2" x14ac:dyDescent="0.3">
      <c r="A27" s="3">
        <f>A26+1</f>
        <v>48</v>
      </c>
      <c r="B27" s="3">
        <v>30</v>
      </c>
      <c r="C27" s="15" t="s">
        <v>317</v>
      </c>
      <c r="D27" s="12" t="s">
        <v>26</v>
      </c>
      <c r="E27" s="12" t="s">
        <v>12</v>
      </c>
      <c r="F27" s="12">
        <v>104.7</v>
      </c>
      <c r="G27" s="16">
        <v>250</v>
      </c>
      <c r="H27" s="7" t="s">
        <v>13</v>
      </c>
      <c r="I27" s="21" t="s">
        <v>54</v>
      </c>
      <c r="J27" s="10" t="s">
        <v>318</v>
      </c>
      <c r="K27" s="19">
        <v>45958</v>
      </c>
    </row>
    <row r="28" spans="1:11" ht="28.2" x14ac:dyDescent="0.3">
      <c r="A28" s="3">
        <f>A27+1</f>
        <v>49</v>
      </c>
      <c r="B28" s="3">
        <v>23</v>
      </c>
      <c r="C28" s="15" t="s">
        <v>44</v>
      </c>
      <c r="D28" s="12" t="s">
        <v>44</v>
      </c>
      <c r="E28" s="12" t="s">
        <v>12</v>
      </c>
      <c r="F28" s="12" t="s">
        <v>274</v>
      </c>
      <c r="G28" s="27">
        <v>20000</v>
      </c>
      <c r="H28" s="7" t="s">
        <v>13</v>
      </c>
      <c r="I28" s="8" t="s">
        <v>275</v>
      </c>
      <c r="J28" s="10" t="s">
        <v>276</v>
      </c>
      <c r="K28" s="19">
        <v>45964</v>
      </c>
    </row>
    <row r="29" spans="1:11" ht="28.2" x14ac:dyDescent="0.3">
      <c r="A29" s="3">
        <f>A28+1</f>
        <v>50</v>
      </c>
      <c r="B29" s="3">
        <v>18</v>
      </c>
      <c r="C29" s="11" t="s">
        <v>235</v>
      </c>
      <c r="D29" s="12" t="s">
        <v>38</v>
      </c>
      <c r="E29" s="12" t="s">
        <v>12</v>
      </c>
      <c r="F29" s="12">
        <v>97.3</v>
      </c>
      <c r="G29" s="27">
        <v>250</v>
      </c>
      <c r="H29" s="7" t="s">
        <v>13</v>
      </c>
      <c r="I29" s="8" t="s">
        <v>14</v>
      </c>
      <c r="J29" s="10" t="s">
        <v>236</v>
      </c>
      <c r="K29" s="19">
        <v>45979</v>
      </c>
    </row>
    <row r="30" spans="1:11" ht="28.2" x14ac:dyDescent="0.3">
      <c r="A30" s="3">
        <v>63</v>
      </c>
      <c r="B30" s="3">
        <v>7</v>
      </c>
      <c r="C30" s="15" t="s">
        <v>106</v>
      </c>
      <c r="D30" s="12" t="s">
        <v>107</v>
      </c>
      <c r="E30" s="12" t="s">
        <v>12</v>
      </c>
      <c r="F30" s="12">
        <v>91.7</v>
      </c>
      <c r="G30" s="13">
        <v>150</v>
      </c>
      <c r="H30" s="7" t="s">
        <v>13</v>
      </c>
      <c r="I30" s="8" t="s">
        <v>108</v>
      </c>
      <c r="J30" s="10" t="s">
        <v>109</v>
      </c>
      <c r="K30" s="19">
        <v>45980</v>
      </c>
    </row>
    <row r="31" spans="1:11" ht="28.2" x14ac:dyDescent="0.3">
      <c r="A31" s="3">
        <f>A30+1</f>
        <v>64</v>
      </c>
      <c r="B31" s="3">
        <v>31</v>
      </c>
      <c r="C31" s="15" t="s">
        <v>326</v>
      </c>
      <c r="D31" s="12" t="s">
        <v>26</v>
      </c>
      <c r="E31" s="12" t="s">
        <v>27</v>
      </c>
      <c r="F31" s="12">
        <v>12</v>
      </c>
      <c r="G31" s="16">
        <v>200</v>
      </c>
      <c r="H31" s="67" t="s">
        <v>28</v>
      </c>
      <c r="I31" s="8" t="s">
        <v>14</v>
      </c>
      <c r="J31" s="10" t="s">
        <v>327</v>
      </c>
      <c r="K31" s="19">
        <v>45992</v>
      </c>
    </row>
    <row r="32" spans="1:11" ht="28.2" x14ac:dyDescent="0.3">
      <c r="A32" s="3">
        <v>17</v>
      </c>
      <c r="B32" s="3">
        <v>2</v>
      </c>
      <c r="C32" s="15" t="s">
        <v>43</v>
      </c>
      <c r="D32" s="12" t="s">
        <v>44</v>
      </c>
      <c r="E32" s="12" t="s">
        <v>12</v>
      </c>
      <c r="F32" s="12">
        <v>103.1</v>
      </c>
      <c r="G32" s="13">
        <v>50</v>
      </c>
      <c r="H32" s="7" t="s">
        <v>13</v>
      </c>
      <c r="I32" s="8" t="s">
        <v>14</v>
      </c>
      <c r="J32" s="10" t="s">
        <v>45</v>
      </c>
      <c r="K32" s="19">
        <v>46002</v>
      </c>
    </row>
    <row r="33" spans="1:11" ht="28.2" x14ac:dyDescent="0.3">
      <c r="A33" s="3">
        <f>A32+1</f>
        <v>18</v>
      </c>
      <c r="B33" s="3">
        <v>32</v>
      </c>
      <c r="C33" s="11" t="s">
        <v>337</v>
      </c>
      <c r="D33" s="12" t="s">
        <v>11</v>
      </c>
      <c r="E33" s="12" t="s">
        <v>12</v>
      </c>
      <c r="F33" s="12">
        <v>96.5</v>
      </c>
      <c r="G33" s="27">
        <v>50</v>
      </c>
      <c r="H33" s="7" t="s">
        <v>13</v>
      </c>
      <c r="I33" s="71" t="s">
        <v>31</v>
      </c>
      <c r="J33" s="10" t="s">
        <v>338</v>
      </c>
      <c r="K33" s="19">
        <v>46002</v>
      </c>
    </row>
    <row r="34" spans="1:11" ht="28.2" x14ac:dyDescent="0.3">
      <c r="A34" s="3">
        <f>A33+1</f>
        <v>19</v>
      </c>
      <c r="B34" s="3">
        <v>15</v>
      </c>
      <c r="C34" s="15" t="s">
        <v>223</v>
      </c>
      <c r="D34" s="12" t="s">
        <v>22</v>
      </c>
      <c r="E34" s="12" t="s">
        <v>12</v>
      </c>
      <c r="F34" s="12">
        <v>100.5</v>
      </c>
      <c r="G34" s="13">
        <v>250</v>
      </c>
      <c r="H34" s="7" t="s">
        <v>13</v>
      </c>
      <c r="I34" s="8" t="s">
        <v>14</v>
      </c>
      <c r="J34" s="10" t="s">
        <v>224</v>
      </c>
      <c r="K34" s="19">
        <v>46015</v>
      </c>
    </row>
    <row r="35" spans="1:11" ht="28.2" x14ac:dyDescent="0.3">
      <c r="A35" s="3">
        <f>A34+1</f>
        <v>20</v>
      </c>
      <c r="B35" s="3">
        <v>20</v>
      </c>
      <c r="C35" s="11" t="s">
        <v>251</v>
      </c>
      <c r="D35" s="12" t="s">
        <v>11</v>
      </c>
      <c r="E35" s="12" t="s">
        <v>12</v>
      </c>
      <c r="F35" s="12">
        <v>93.7</v>
      </c>
      <c r="G35" s="27">
        <v>50</v>
      </c>
      <c r="H35" s="7" t="s">
        <v>13</v>
      </c>
      <c r="I35" s="8" t="s">
        <v>31</v>
      </c>
      <c r="J35" s="10" t="s">
        <v>252</v>
      </c>
      <c r="K35" s="19">
        <v>46020</v>
      </c>
    </row>
    <row r="36" spans="1:11" ht="14.4" x14ac:dyDescent="0.3">
      <c r="A36" s="3">
        <f>A35+1</f>
        <v>21</v>
      </c>
      <c r="B36" s="14"/>
      <c r="C36" s="15" t="s">
        <v>441</v>
      </c>
      <c r="D36" s="12" t="s">
        <v>44</v>
      </c>
      <c r="E36" s="12" t="s">
        <v>12</v>
      </c>
      <c r="F36" s="12">
        <v>90.9</v>
      </c>
      <c r="G36" s="27">
        <v>50</v>
      </c>
      <c r="H36" s="7" t="s">
        <v>13</v>
      </c>
      <c r="I36" s="8" t="s">
        <v>14</v>
      </c>
      <c r="J36" s="9"/>
      <c r="K36" s="9">
        <v>46035</v>
      </c>
    </row>
    <row r="37" spans="1:11" ht="14.4" x14ac:dyDescent="0.3">
      <c r="A37" s="3">
        <v>79</v>
      </c>
      <c r="B37" s="14"/>
      <c r="C37" s="15" t="s">
        <v>129</v>
      </c>
      <c r="D37" s="12" t="s">
        <v>34</v>
      </c>
      <c r="E37" s="12" t="s">
        <v>12</v>
      </c>
      <c r="F37" s="12">
        <v>92.7</v>
      </c>
      <c r="G37" s="13">
        <v>50</v>
      </c>
      <c r="H37" s="7" t="s">
        <v>13</v>
      </c>
      <c r="I37" s="24" t="s">
        <v>14</v>
      </c>
      <c r="J37" s="9"/>
      <c r="K37" s="9">
        <v>46037</v>
      </c>
    </row>
    <row r="38" spans="1:11" ht="15.6" x14ac:dyDescent="0.3">
      <c r="A38" s="3">
        <f>A37+1</f>
        <v>80</v>
      </c>
      <c r="B38" s="4"/>
      <c r="C38" s="11" t="s">
        <v>237</v>
      </c>
      <c r="D38" s="12" t="s">
        <v>234</v>
      </c>
      <c r="E38" s="12" t="s">
        <v>12</v>
      </c>
      <c r="F38" s="12">
        <v>100.5</v>
      </c>
      <c r="G38" s="27">
        <v>500</v>
      </c>
      <c r="H38" s="7" t="s">
        <v>13</v>
      </c>
      <c r="I38" s="23" t="s">
        <v>14</v>
      </c>
      <c r="J38" s="9"/>
      <c r="K38" s="9">
        <v>46037</v>
      </c>
    </row>
    <row r="39" spans="1:11" ht="28.2" x14ac:dyDescent="0.3">
      <c r="A39" s="3">
        <v>99</v>
      </c>
      <c r="B39" s="14"/>
      <c r="C39" s="15" t="s">
        <v>150</v>
      </c>
      <c r="D39" s="12" t="s">
        <v>26</v>
      </c>
      <c r="E39" s="12" t="s">
        <v>16</v>
      </c>
      <c r="F39" s="12">
        <v>23</v>
      </c>
      <c r="G39" s="13">
        <v>500</v>
      </c>
      <c r="H39" s="17" t="s">
        <v>28</v>
      </c>
      <c r="I39" s="8" t="s">
        <v>14</v>
      </c>
      <c r="J39" s="9"/>
      <c r="K39" s="9">
        <v>46040</v>
      </c>
    </row>
    <row r="40" spans="1:11" ht="14.4" x14ac:dyDescent="0.3">
      <c r="A40" s="3">
        <v>112</v>
      </c>
      <c r="B40" s="14"/>
      <c r="C40" s="15" t="s">
        <v>173</v>
      </c>
      <c r="D40" s="12" t="s">
        <v>44</v>
      </c>
      <c r="E40" s="12" t="s">
        <v>12</v>
      </c>
      <c r="F40" s="12">
        <v>98.7</v>
      </c>
      <c r="G40" s="13">
        <v>250</v>
      </c>
      <c r="H40" s="7" t="s">
        <v>13</v>
      </c>
      <c r="I40" s="8" t="s">
        <v>14</v>
      </c>
      <c r="J40" s="9"/>
      <c r="K40" s="9">
        <v>46050</v>
      </c>
    </row>
    <row r="41" spans="1:11" ht="15.6" x14ac:dyDescent="0.3">
      <c r="A41" s="3">
        <v>133</v>
      </c>
      <c r="B41" s="4"/>
      <c r="C41" s="11" t="s">
        <v>197</v>
      </c>
      <c r="D41" s="12" t="s">
        <v>51</v>
      </c>
      <c r="E41" s="12" t="s">
        <v>12</v>
      </c>
      <c r="F41" s="12">
        <v>94.7</v>
      </c>
      <c r="G41" s="13">
        <v>500</v>
      </c>
      <c r="H41" s="7" t="s">
        <v>13</v>
      </c>
      <c r="I41" s="8" t="s">
        <v>14</v>
      </c>
      <c r="J41" s="9"/>
      <c r="K41" s="9">
        <v>46050</v>
      </c>
    </row>
    <row r="42" spans="1:11" ht="15.6" x14ac:dyDescent="0.3">
      <c r="A42" s="3">
        <f>A41+1</f>
        <v>134</v>
      </c>
      <c r="B42" s="4"/>
      <c r="C42" s="11" t="s">
        <v>299</v>
      </c>
      <c r="D42" s="12" t="s">
        <v>30</v>
      </c>
      <c r="E42" s="12" t="s">
        <v>27</v>
      </c>
      <c r="F42" s="12">
        <v>8</v>
      </c>
      <c r="G42" s="27">
        <v>50</v>
      </c>
      <c r="H42" s="7" t="s">
        <v>13</v>
      </c>
      <c r="I42" s="23" t="s">
        <v>14</v>
      </c>
      <c r="J42" s="9"/>
      <c r="K42" s="9">
        <v>46055</v>
      </c>
    </row>
    <row r="43" spans="1:11" ht="15.6" x14ac:dyDescent="0.3">
      <c r="A43" s="3">
        <v>59</v>
      </c>
      <c r="B43" s="4"/>
      <c r="C43" s="11" t="s">
        <v>101</v>
      </c>
      <c r="D43" s="12" t="s">
        <v>51</v>
      </c>
      <c r="E43" s="12" t="s">
        <v>12</v>
      </c>
      <c r="F43" s="12">
        <v>92.9</v>
      </c>
      <c r="G43" s="16">
        <v>250</v>
      </c>
      <c r="H43" s="7" t="s">
        <v>13</v>
      </c>
      <c r="I43" s="8" t="s">
        <v>14</v>
      </c>
      <c r="J43" s="9"/>
      <c r="K43" s="9">
        <v>46056</v>
      </c>
    </row>
    <row r="44" spans="1:11" ht="14.4" x14ac:dyDescent="0.3">
      <c r="A44" s="3">
        <f>A43+1</f>
        <v>60</v>
      </c>
      <c r="B44" s="14"/>
      <c r="C44" s="15" t="s">
        <v>521</v>
      </c>
      <c r="D44" s="12" t="s">
        <v>498</v>
      </c>
      <c r="E44" s="12" t="s">
        <v>12</v>
      </c>
      <c r="F44" s="12">
        <v>103.3</v>
      </c>
      <c r="G44" s="16">
        <v>250</v>
      </c>
      <c r="H44" s="7" t="s">
        <v>13</v>
      </c>
      <c r="I44" s="8" t="s">
        <v>14</v>
      </c>
      <c r="J44" s="9"/>
      <c r="K44" s="9">
        <v>46056</v>
      </c>
    </row>
    <row r="45" spans="1:11" ht="14.4" x14ac:dyDescent="0.3">
      <c r="A45" s="3">
        <v>34</v>
      </c>
      <c r="B45" s="14"/>
      <c r="C45" s="15" t="s">
        <v>67</v>
      </c>
      <c r="D45" s="12" t="s">
        <v>36</v>
      </c>
      <c r="E45" s="12" t="s">
        <v>27</v>
      </c>
      <c r="F45" s="12">
        <v>2</v>
      </c>
      <c r="G45" s="13">
        <v>50</v>
      </c>
      <c r="H45" s="7" t="s">
        <v>13</v>
      </c>
      <c r="I45" s="8" t="s">
        <v>14</v>
      </c>
      <c r="J45" s="9"/>
      <c r="K45" s="9">
        <v>46072</v>
      </c>
    </row>
    <row r="46" spans="1:11" ht="14.4" x14ac:dyDescent="0.3">
      <c r="A46" s="3">
        <f>A45+1</f>
        <v>35</v>
      </c>
      <c r="B46" s="14"/>
      <c r="C46" s="15" t="s">
        <v>359</v>
      </c>
      <c r="D46" s="12" t="s">
        <v>125</v>
      </c>
      <c r="E46" s="12" t="s">
        <v>12</v>
      </c>
      <c r="F46" s="12">
        <v>98.1</v>
      </c>
      <c r="G46" s="13">
        <v>150</v>
      </c>
      <c r="H46" s="7" t="s">
        <v>13</v>
      </c>
      <c r="I46" s="8" t="s">
        <v>14</v>
      </c>
      <c r="J46" s="9"/>
      <c r="K46" s="9">
        <v>46072</v>
      </c>
    </row>
    <row r="47" spans="1:11" ht="14.4" x14ac:dyDescent="0.3">
      <c r="A47" s="3">
        <f>A46+1</f>
        <v>36</v>
      </c>
      <c r="B47" s="14"/>
      <c r="C47" s="15" t="s">
        <v>457</v>
      </c>
      <c r="D47" s="12" t="s">
        <v>36</v>
      </c>
      <c r="E47" s="12" t="s">
        <v>12</v>
      </c>
      <c r="F47" s="12">
        <v>91.7</v>
      </c>
      <c r="G47" s="16">
        <v>250</v>
      </c>
      <c r="H47" s="7" t="s">
        <v>13</v>
      </c>
      <c r="I47" s="8" t="s">
        <v>14</v>
      </c>
      <c r="J47" s="9"/>
      <c r="K47" s="9">
        <v>46083</v>
      </c>
    </row>
    <row r="48" spans="1:11" ht="15.6" x14ac:dyDescent="0.3">
      <c r="A48" s="3">
        <f>A47+1</f>
        <v>37</v>
      </c>
      <c r="B48" s="4"/>
      <c r="C48" s="11" t="s">
        <v>280</v>
      </c>
      <c r="D48" s="12" t="s">
        <v>19</v>
      </c>
      <c r="E48" s="12" t="s">
        <v>12</v>
      </c>
      <c r="F48" s="12">
        <v>99.3</v>
      </c>
      <c r="G48" s="27">
        <v>50</v>
      </c>
      <c r="H48" s="7" t="s">
        <v>13</v>
      </c>
      <c r="I48" s="21" t="s">
        <v>54</v>
      </c>
      <c r="J48" s="9"/>
      <c r="K48" s="9">
        <v>46103</v>
      </c>
    </row>
    <row r="49" spans="1:11" ht="14.4" x14ac:dyDescent="0.3">
      <c r="A49" s="3">
        <v>116</v>
      </c>
      <c r="B49" s="14"/>
      <c r="C49" s="15" t="s">
        <v>178</v>
      </c>
      <c r="D49" s="12" t="s">
        <v>26</v>
      </c>
      <c r="E49" s="12" t="s">
        <v>27</v>
      </c>
      <c r="F49" s="12">
        <v>10</v>
      </c>
      <c r="G49" s="13">
        <v>50</v>
      </c>
      <c r="H49" s="7" t="s">
        <v>13</v>
      </c>
      <c r="I49" s="70" t="s">
        <v>54</v>
      </c>
      <c r="J49" s="9"/>
      <c r="K49" s="9">
        <v>46116</v>
      </c>
    </row>
    <row r="50" spans="1:11" ht="28.2" x14ac:dyDescent="0.3">
      <c r="A50" s="3">
        <v>80</v>
      </c>
      <c r="B50" s="4"/>
      <c r="C50" s="11" t="s">
        <v>130</v>
      </c>
      <c r="D50" s="12" t="s">
        <v>51</v>
      </c>
      <c r="E50" s="12" t="s">
        <v>27</v>
      </c>
      <c r="F50" s="12">
        <v>8</v>
      </c>
      <c r="G50" s="13">
        <v>50</v>
      </c>
      <c r="H50" s="17" t="s">
        <v>28</v>
      </c>
      <c r="I50" s="8" t="s">
        <v>131</v>
      </c>
      <c r="J50" s="9"/>
      <c r="K50" s="9">
        <v>46119</v>
      </c>
    </row>
    <row r="51" spans="1:11" ht="14.4" x14ac:dyDescent="0.3">
      <c r="A51" s="3">
        <v>103</v>
      </c>
      <c r="B51" s="14"/>
      <c r="C51" s="15" t="s">
        <v>159</v>
      </c>
      <c r="D51" s="12" t="s">
        <v>21</v>
      </c>
      <c r="E51" s="12" t="s">
        <v>12</v>
      </c>
      <c r="F51" s="12">
        <v>104.7</v>
      </c>
      <c r="G51" s="13">
        <v>150</v>
      </c>
      <c r="H51" s="7" t="s">
        <v>13</v>
      </c>
      <c r="I51" s="8" t="s">
        <v>131</v>
      </c>
      <c r="J51" s="9"/>
      <c r="K51" s="9">
        <v>46120</v>
      </c>
    </row>
    <row r="52" spans="1:11" ht="15.6" x14ac:dyDescent="0.3">
      <c r="A52" s="3">
        <f>A51+1</f>
        <v>104</v>
      </c>
      <c r="B52" s="4"/>
      <c r="C52" s="11" t="s">
        <v>279</v>
      </c>
      <c r="D52" s="12" t="s">
        <v>113</v>
      </c>
      <c r="E52" s="12" t="s">
        <v>27</v>
      </c>
      <c r="F52" s="12">
        <v>9</v>
      </c>
      <c r="G52" s="27">
        <v>50</v>
      </c>
      <c r="H52" s="7" t="s">
        <v>13</v>
      </c>
      <c r="I52" s="8" t="s">
        <v>14</v>
      </c>
      <c r="J52" s="9"/>
      <c r="K52" s="9">
        <v>46120</v>
      </c>
    </row>
    <row r="53" spans="1:11" ht="14.4" x14ac:dyDescent="0.3">
      <c r="A53" s="3">
        <v>114</v>
      </c>
      <c r="B53" s="14"/>
      <c r="C53" s="15" t="s">
        <v>176</v>
      </c>
      <c r="D53" s="12" t="s">
        <v>21</v>
      </c>
      <c r="E53" s="12" t="s">
        <v>27</v>
      </c>
      <c r="F53" s="12">
        <v>8</v>
      </c>
      <c r="G53" s="13">
        <v>50</v>
      </c>
      <c r="H53" s="7" t="s">
        <v>13</v>
      </c>
      <c r="I53" s="23" t="s">
        <v>131</v>
      </c>
      <c r="J53" s="9"/>
      <c r="K53" s="9">
        <v>46124</v>
      </c>
    </row>
    <row r="54" spans="1:11" ht="14.4" x14ac:dyDescent="0.3">
      <c r="A54" s="3">
        <f>A53+1</f>
        <v>115</v>
      </c>
      <c r="B54" s="14"/>
      <c r="C54" s="15" t="s">
        <v>498</v>
      </c>
      <c r="D54" s="12" t="s">
        <v>498</v>
      </c>
      <c r="E54" s="12" t="s">
        <v>16</v>
      </c>
      <c r="F54" s="12">
        <v>34</v>
      </c>
      <c r="G54" s="16">
        <v>950</v>
      </c>
      <c r="H54" s="7" t="s">
        <v>13</v>
      </c>
      <c r="I54" s="8" t="s">
        <v>14</v>
      </c>
      <c r="J54" s="9"/>
      <c r="K54" s="9">
        <v>46145</v>
      </c>
    </row>
    <row r="55" spans="1:11" ht="14.4" x14ac:dyDescent="0.3">
      <c r="A55" s="3">
        <f>A54+1</f>
        <v>116</v>
      </c>
      <c r="B55" s="14"/>
      <c r="C55" s="15" t="s">
        <v>431</v>
      </c>
      <c r="D55" s="12" t="s">
        <v>22</v>
      </c>
      <c r="E55" s="12" t="s">
        <v>27</v>
      </c>
      <c r="F55" s="12">
        <v>9</v>
      </c>
      <c r="G55" s="27">
        <v>50</v>
      </c>
      <c r="H55" s="7" t="s">
        <v>13</v>
      </c>
      <c r="I55" s="70" t="s">
        <v>54</v>
      </c>
      <c r="J55" s="9"/>
      <c r="K55" s="9">
        <v>46155</v>
      </c>
    </row>
    <row r="56" spans="1:11" ht="28.2" x14ac:dyDescent="0.3">
      <c r="A56" s="3">
        <v>124</v>
      </c>
      <c r="B56" s="14"/>
      <c r="C56" s="15" t="s">
        <v>188</v>
      </c>
      <c r="D56" s="12" t="s">
        <v>77</v>
      </c>
      <c r="E56" s="12" t="s">
        <v>12</v>
      </c>
      <c r="F56" s="12">
        <v>92.3</v>
      </c>
      <c r="G56" s="13">
        <v>50</v>
      </c>
      <c r="H56" s="67" t="s">
        <v>28</v>
      </c>
      <c r="I56" s="21" t="s">
        <v>54</v>
      </c>
      <c r="J56" s="9"/>
      <c r="K56" s="9">
        <v>46167</v>
      </c>
    </row>
    <row r="57" spans="1:11" ht="14.4" x14ac:dyDescent="0.3">
      <c r="A57" s="3">
        <f>A56+1</f>
        <v>125</v>
      </c>
      <c r="B57" s="14"/>
      <c r="C57" s="15" t="s">
        <v>507</v>
      </c>
      <c r="D57" s="12" t="s">
        <v>180</v>
      </c>
      <c r="E57" s="12" t="s">
        <v>27</v>
      </c>
      <c r="F57" s="12">
        <v>7</v>
      </c>
      <c r="G57" s="27">
        <v>100</v>
      </c>
      <c r="H57" s="7" t="s">
        <v>13</v>
      </c>
      <c r="I57" s="8" t="s">
        <v>14</v>
      </c>
      <c r="J57" s="9"/>
      <c r="K57" s="9">
        <v>46175</v>
      </c>
    </row>
    <row r="58" spans="1:11" ht="14.4" x14ac:dyDescent="0.3">
      <c r="A58" s="3">
        <f>A57+1</f>
        <v>126</v>
      </c>
      <c r="B58" s="14"/>
      <c r="C58" s="15" t="s">
        <v>272</v>
      </c>
      <c r="D58" s="12" t="s">
        <v>77</v>
      </c>
      <c r="E58" s="12" t="s">
        <v>12</v>
      </c>
      <c r="F58" s="12">
        <v>95.9</v>
      </c>
      <c r="G58" s="16">
        <v>150</v>
      </c>
      <c r="H58" s="7" t="s">
        <v>13</v>
      </c>
      <c r="I58" s="70" t="s">
        <v>54</v>
      </c>
      <c r="J58" s="9"/>
      <c r="K58" s="9">
        <v>46180</v>
      </c>
    </row>
    <row r="59" spans="1:11" ht="15.6" x14ac:dyDescent="0.3">
      <c r="A59" s="3">
        <f>A58+1</f>
        <v>127</v>
      </c>
      <c r="B59" s="4"/>
      <c r="C59" s="11" t="s">
        <v>286</v>
      </c>
      <c r="D59" s="12" t="s">
        <v>38</v>
      </c>
      <c r="E59" s="12" t="s">
        <v>12</v>
      </c>
      <c r="F59" s="12">
        <v>97.1</v>
      </c>
      <c r="G59" s="27">
        <v>250</v>
      </c>
      <c r="H59" s="7" t="s">
        <v>13</v>
      </c>
      <c r="I59" s="8" t="s">
        <v>14</v>
      </c>
      <c r="J59" s="9"/>
      <c r="K59" s="9">
        <v>46181</v>
      </c>
    </row>
    <row r="60" spans="1:11" ht="28.2" x14ac:dyDescent="0.3">
      <c r="A60" s="3">
        <f>A59+1</f>
        <v>128</v>
      </c>
      <c r="B60" s="14"/>
      <c r="C60" s="15" t="s">
        <v>344</v>
      </c>
      <c r="D60" s="12" t="s">
        <v>65</v>
      </c>
      <c r="E60" s="12" t="s">
        <v>12</v>
      </c>
      <c r="F60" s="12">
        <v>98.1</v>
      </c>
      <c r="G60" s="13">
        <v>150</v>
      </c>
      <c r="H60" s="7" t="s">
        <v>13</v>
      </c>
      <c r="I60" s="8" t="s">
        <v>14</v>
      </c>
      <c r="J60" s="9"/>
      <c r="K60" s="9">
        <v>46181</v>
      </c>
    </row>
    <row r="61" spans="1:11" ht="14.4" x14ac:dyDescent="0.3">
      <c r="A61" s="3">
        <f>A60+1</f>
        <v>129</v>
      </c>
      <c r="B61" s="14"/>
      <c r="C61" s="15" t="s">
        <v>427</v>
      </c>
      <c r="D61" s="12" t="s">
        <v>81</v>
      </c>
      <c r="E61" s="12" t="s">
        <v>27</v>
      </c>
      <c r="F61" s="12">
        <v>10</v>
      </c>
      <c r="G61" s="16">
        <v>50</v>
      </c>
      <c r="H61" s="7" t="s">
        <v>13</v>
      </c>
      <c r="I61" s="8" t="s">
        <v>14</v>
      </c>
      <c r="J61" s="9"/>
      <c r="K61" s="9">
        <v>46181</v>
      </c>
    </row>
    <row r="62" spans="1:11" ht="14.4" x14ac:dyDescent="0.3">
      <c r="A62" s="3">
        <f>A61+1</f>
        <v>130</v>
      </c>
      <c r="B62" s="14"/>
      <c r="C62" s="15" t="s">
        <v>507</v>
      </c>
      <c r="D62" s="12" t="s">
        <v>180</v>
      </c>
      <c r="E62" s="12" t="s">
        <v>12</v>
      </c>
      <c r="F62" s="12">
        <v>96.9</v>
      </c>
      <c r="G62" s="27">
        <v>250</v>
      </c>
      <c r="H62" s="7" t="s">
        <v>13</v>
      </c>
      <c r="I62" s="8" t="s">
        <v>14</v>
      </c>
      <c r="J62" s="9"/>
      <c r="K62" s="9">
        <v>46181</v>
      </c>
    </row>
    <row r="63" spans="1:11" ht="14.4" x14ac:dyDescent="0.3">
      <c r="A63" s="3">
        <v>77</v>
      </c>
      <c r="B63" s="14"/>
      <c r="C63" s="15" t="s">
        <v>127</v>
      </c>
      <c r="D63" s="12" t="s">
        <v>34</v>
      </c>
      <c r="E63" s="12" t="s">
        <v>12</v>
      </c>
      <c r="F63" s="12">
        <v>99.1</v>
      </c>
      <c r="G63" s="13">
        <v>50</v>
      </c>
      <c r="H63" s="7" t="s">
        <v>13</v>
      </c>
      <c r="I63" s="8" t="s">
        <v>14</v>
      </c>
      <c r="J63" s="9"/>
      <c r="K63" s="9">
        <v>46187</v>
      </c>
    </row>
    <row r="64" spans="1:11" ht="14.4" x14ac:dyDescent="0.3">
      <c r="A64" s="3">
        <f>A63+1</f>
        <v>78</v>
      </c>
      <c r="B64" s="14"/>
      <c r="C64" s="15" t="s">
        <v>486</v>
      </c>
      <c r="D64" s="12" t="s">
        <v>125</v>
      </c>
      <c r="E64" s="12" t="s">
        <v>12</v>
      </c>
      <c r="F64" s="12">
        <v>98.1</v>
      </c>
      <c r="G64" s="16">
        <v>250</v>
      </c>
      <c r="H64" s="7" t="s">
        <v>13</v>
      </c>
      <c r="I64" s="23" t="s">
        <v>14</v>
      </c>
      <c r="J64" s="9"/>
      <c r="K64" s="9">
        <v>46187</v>
      </c>
    </row>
    <row r="65" spans="1:11" ht="15.6" x14ac:dyDescent="0.3">
      <c r="A65" s="3">
        <f>A64+1</f>
        <v>79</v>
      </c>
      <c r="B65" s="4"/>
      <c r="C65" s="11" t="s">
        <v>430</v>
      </c>
      <c r="D65" s="12" t="s">
        <v>11</v>
      </c>
      <c r="E65" s="12" t="s">
        <v>12</v>
      </c>
      <c r="F65" s="12">
        <v>96.3</v>
      </c>
      <c r="G65" s="27">
        <v>50</v>
      </c>
      <c r="H65" s="7" t="s">
        <v>13</v>
      </c>
      <c r="I65" s="71" t="s">
        <v>31</v>
      </c>
      <c r="J65" s="9"/>
      <c r="K65" s="9">
        <v>46188</v>
      </c>
    </row>
    <row r="66" spans="1:11" ht="15.6" x14ac:dyDescent="0.3">
      <c r="A66" s="3">
        <f>A65+1</f>
        <v>80</v>
      </c>
      <c r="B66" s="4"/>
      <c r="C66" s="11" t="s">
        <v>435</v>
      </c>
      <c r="D66" s="12" t="s">
        <v>38</v>
      </c>
      <c r="E66" s="12" t="s">
        <v>12</v>
      </c>
      <c r="F66" s="12">
        <v>98.1</v>
      </c>
      <c r="G66" s="27">
        <v>250</v>
      </c>
      <c r="H66" s="7" t="s">
        <v>13</v>
      </c>
      <c r="I66" s="8" t="s">
        <v>14</v>
      </c>
      <c r="J66" s="9"/>
      <c r="K66" s="9">
        <v>46193</v>
      </c>
    </row>
    <row r="67" spans="1:11" ht="14.4" x14ac:dyDescent="0.3">
      <c r="A67" s="3">
        <f>A66+1</f>
        <v>81</v>
      </c>
      <c r="B67" s="14"/>
      <c r="C67" s="15" t="s">
        <v>445</v>
      </c>
      <c r="D67" s="12" t="s">
        <v>65</v>
      </c>
      <c r="E67" s="12" t="s">
        <v>12</v>
      </c>
      <c r="F67" s="12">
        <v>95.9</v>
      </c>
      <c r="G67" s="27">
        <v>250</v>
      </c>
      <c r="H67" s="7" t="s">
        <v>13</v>
      </c>
      <c r="I67" s="23" t="s">
        <v>14</v>
      </c>
      <c r="J67" s="9"/>
      <c r="K67" s="9">
        <v>46193</v>
      </c>
    </row>
    <row r="68" spans="1:11" ht="15.6" x14ac:dyDescent="0.3">
      <c r="A68" s="3">
        <f>A67+1</f>
        <v>82</v>
      </c>
      <c r="B68" s="4"/>
      <c r="C68" s="11" t="s">
        <v>331</v>
      </c>
      <c r="D68" s="12" t="s">
        <v>19</v>
      </c>
      <c r="E68" s="12" t="s">
        <v>27</v>
      </c>
      <c r="F68" s="12">
        <v>11</v>
      </c>
      <c r="G68" s="27">
        <v>50</v>
      </c>
      <c r="H68" s="7" t="s">
        <v>13</v>
      </c>
      <c r="I68" s="70" t="s">
        <v>54</v>
      </c>
      <c r="J68" s="9"/>
      <c r="K68" s="9">
        <v>46194</v>
      </c>
    </row>
    <row r="69" spans="1:11" ht="28.2" x14ac:dyDescent="0.3">
      <c r="A69" s="3">
        <f>A68+1</f>
        <v>83</v>
      </c>
      <c r="B69" s="14"/>
      <c r="C69" s="15" t="s">
        <v>347</v>
      </c>
      <c r="D69" s="12" t="s">
        <v>26</v>
      </c>
      <c r="E69" s="12" t="s">
        <v>27</v>
      </c>
      <c r="F69" s="12">
        <v>9</v>
      </c>
      <c r="G69" s="13">
        <v>50</v>
      </c>
      <c r="H69" s="22" t="s">
        <v>48</v>
      </c>
      <c r="I69" s="73" t="s">
        <v>348</v>
      </c>
      <c r="J69" s="9"/>
      <c r="K69" s="9">
        <v>46197</v>
      </c>
    </row>
    <row r="70" spans="1:11" ht="28.2" x14ac:dyDescent="0.3">
      <c r="A70" s="3">
        <v>21</v>
      </c>
      <c r="B70" s="4"/>
      <c r="C70" s="11" t="s">
        <v>53</v>
      </c>
      <c r="D70" s="12" t="s">
        <v>11</v>
      </c>
      <c r="E70" s="12" t="s">
        <v>27</v>
      </c>
      <c r="F70" s="12">
        <v>7</v>
      </c>
      <c r="G70" s="13">
        <v>50</v>
      </c>
      <c r="H70" s="17" t="s">
        <v>28</v>
      </c>
      <c r="I70" s="70" t="s">
        <v>54</v>
      </c>
      <c r="J70" s="9"/>
      <c r="K70" s="9">
        <v>46198</v>
      </c>
    </row>
    <row r="71" spans="1:11" ht="14.4" x14ac:dyDescent="0.3">
      <c r="A71" s="3">
        <f>A70+1</f>
        <v>22</v>
      </c>
      <c r="B71" s="14"/>
      <c r="C71" s="15" t="s">
        <v>306</v>
      </c>
      <c r="D71" s="12" t="s">
        <v>34</v>
      </c>
      <c r="E71" s="12" t="s">
        <v>12</v>
      </c>
      <c r="F71" s="12" t="s">
        <v>307</v>
      </c>
      <c r="G71" s="16">
        <v>100</v>
      </c>
      <c r="H71" s="7" t="s">
        <v>13</v>
      </c>
      <c r="I71" s="70" t="s">
        <v>54</v>
      </c>
      <c r="J71" s="9"/>
      <c r="K71" s="9">
        <v>46201</v>
      </c>
    </row>
    <row r="72" spans="1:11" ht="15.6" x14ac:dyDescent="0.3">
      <c r="A72" s="3">
        <f>A71+1</f>
        <v>23</v>
      </c>
      <c r="B72" s="4"/>
      <c r="C72" s="11" t="s">
        <v>231</v>
      </c>
      <c r="D72" s="12" t="s">
        <v>30</v>
      </c>
      <c r="E72" s="12" t="s">
        <v>27</v>
      </c>
      <c r="F72" s="12">
        <v>4</v>
      </c>
      <c r="G72" s="13">
        <v>100</v>
      </c>
      <c r="H72" s="7" t="s">
        <v>13</v>
      </c>
      <c r="I72" s="8" t="s">
        <v>14</v>
      </c>
      <c r="J72" s="9"/>
      <c r="K72" s="9">
        <v>46204</v>
      </c>
    </row>
    <row r="73" spans="1:11" ht="14.4" x14ac:dyDescent="0.3">
      <c r="A73" s="3">
        <f>A72+1</f>
        <v>24</v>
      </c>
      <c r="B73" s="14"/>
      <c r="C73" s="15" t="s">
        <v>340</v>
      </c>
      <c r="D73" s="12" t="s">
        <v>22</v>
      </c>
      <c r="E73" s="12" t="s">
        <v>12</v>
      </c>
      <c r="F73" s="12">
        <v>100.9</v>
      </c>
      <c r="G73" s="27">
        <v>50</v>
      </c>
      <c r="H73" s="7" t="s">
        <v>13</v>
      </c>
      <c r="I73" s="23" t="s">
        <v>14</v>
      </c>
      <c r="J73" s="9"/>
      <c r="K73" s="9">
        <v>46204</v>
      </c>
    </row>
    <row r="74" spans="1:11" ht="14.4" x14ac:dyDescent="0.3">
      <c r="A74" s="3">
        <f>A73+1</f>
        <v>25</v>
      </c>
      <c r="B74" s="14"/>
      <c r="C74" s="15" t="s">
        <v>398</v>
      </c>
      <c r="D74" s="12" t="s">
        <v>22</v>
      </c>
      <c r="E74" s="12" t="s">
        <v>12</v>
      </c>
      <c r="F74" s="12">
        <v>96.7</v>
      </c>
      <c r="G74" s="27">
        <v>100</v>
      </c>
      <c r="H74" s="7" t="s">
        <v>13</v>
      </c>
      <c r="I74" s="8" t="s">
        <v>14</v>
      </c>
      <c r="J74" s="9"/>
      <c r="K74" s="9">
        <v>46204</v>
      </c>
    </row>
    <row r="75" spans="1:11" ht="14.4" x14ac:dyDescent="0.3">
      <c r="A75" s="3">
        <f>A74+1</f>
        <v>26</v>
      </c>
      <c r="B75" s="14"/>
      <c r="C75" s="15" t="s">
        <v>320</v>
      </c>
      <c r="D75" s="12" t="s">
        <v>24</v>
      </c>
      <c r="E75" s="12" t="s">
        <v>12</v>
      </c>
      <c r="F75" s="12">
        <v>98.1</v>
      </c>
      <c r="G75" s="27">
        <v>50</v>
      </c>
      <c r="H75" s="7" t="s">
        <v>13</v>
      </c>
      <c r="I75" s="23" t="s">
        <v>14</v>
      </c>
      <c r="J75" s="9"/>
      <c r="K75" s="9">
        <v>46208</v>
      </c>
    </row>
    <row r="76" spans="1:11" ht="15.6" x14ac:dyDescent="0.3">
      <c r="A76" s="3">
        <f>A75+1</f>
        <v>27</v>
      </c>
      <c r="B76" s="4"/>
      <c r="C76" s="11" t="s">
        <v>409</v>
      </c>
      <c r="D76" s="12" t="s">
        <v>51</v>
      </c>
      <c r="E76" s="12" t="s">
        <v>12</v>
      </c>
      <c r="F76" s="12">
        <v>103.3</v>
      </c>
      <c r="G76" s="27">
        <v>100</v>
      </c>
      <c r="H76" s="7" t="s">
        <v>13</v>
      </c>
      <c r="I76" s="8" t="s">
        <v>131</v>
      </c>
      <c r="J76" s="9"/>
      <c r="K76" s="9">
        <v>46208</v>
      </c>
    </row>
    <row r="77" spans="1:11" ht="15.6" x14ac:dyDescent="0.3">
      <c r="A77" s="3">
        <f>A76+1</f>
        <v>28</v>
      </c>
      <c r="B77" s="4"/>
      <c r="C77" s="11" t="s">
        <v>342</v>
      </c>
      <c r="D77" s="12" t="s">
        <v>51</v>
      </c>
      <c r="E77" s="12" t="s">
        <v>12</v>
      </c>
      <c r="F77" s="12">
        <v>106.3</v>
      </c>
      <c r="G77" s="27">
        <v>50</v>
      </c>
      <c r="H77" s="7" t="s">
        <v>13</v>
      </c>
      <c r="I77" s="70" t="s">
        <v>54</v>
      </c>
      <c r="J77" s="9"/>
      <c r="K77" s="9">
        <v>46222</v>
      </c>
    </row>
    <row r="78" spans="1:11" ht="15.6" x14ac:dyDescent="0.3">
      <c r="A78" s="3">
        <f>A77+1</f>
        <v>29</v>
      </c>
      <c r="B78" s="4"/>
      <c r="C78" s="11" t="s">
        <v>268</v>
      </c>
      <c r="D78" s="12" t="s">
        <v>51</v>
      </c>
      <c r="E78" s="12" t="s">
        <v>27</v>
      </c>
      <c r="F78" s="12">
        <v>10</v>
      </c>
      <c r="G78" s="27">
        <v>50</v>
      </c>
      <c r="H78" s="7" t="s">
        <v>13</v>
      </c>
      <c r="I78" s="8" t="s">
        <v>14</v>
      </c>
      <c r="J78" s="9"/>
      <c r="K78" s="9">
        <v>46226</v>
      </c>
    </row>
    <row r="79" spans="1:11" ht="28.2" x14ac:dyDescent="0.3">
      <c r="A79" s="3">
        <v>108</v>
      </c>
      <c r="B79" s="14"/>
      <c r="C79" s="15" t="s">
        <v>168</v>
      </c>
      <c r="D79" s="12" t="s">
        <v>81</v>
      </c>
      <c r="E79" s="12" t="s">
        <v>12</v>
      </c>
      <c r="F79" s="12">
        <v>101.7</v>
      </c>
      <c r="G79" s="13">
        <v>500</v>
      </c>
      <c r="H79" s="67" t="s">
        <v>28</v>
      </c>
      <c r="I79" s="8" t="s">
        <v>14</v>
      </c>
      <c r="J79" s="9"/>
      <c r="K79" s="9">
        <v>46228</v>
      </c>
    </row>
    <row r="80" spans="1:11" ht="28.2" x14ac:dyDescent="0.3">
      <c r="A80" s="3">
        <f>A79+1</f>
        <v>109</v>
      </c>
      <c r="B80" s="14"/>
      <c r="C80" s="15" t="s">
        <v>351</v>
      </c>
      <c r="D80" s="12" t="s">
        <v>22</v>
      </c>
      <c r="E80" s="12" t="s">
        <v>12</v>
      </c>
      <c r="F80" s="12">
        <v>90.9</v>
      </c>
      <c r="G80" s="13">
        <v>60</v>
      </c>
      <c r="H80" s="67" t="s">
        <v>28</v>
      </c>
      <c r="I80" s="8" t="s">
        <v>14</v>
      </c>
      <c r="J80" s="9"/>
      <c r="K80" s="9">
        <v>46228</v>
      </c>
    </row>
    <row r="81" spans="1:11" ht="14.4" x14ac:dyDescent="0.3">
      <c r="A81" s="3">
        <f>A80+1</f>
        <v>110</v>
      </c>
      <c r="B81" s="14"/>
      <c r="C81" s="15" t="s">
        <v>361</v>
      </c>
      <c r="D81" s="12" t="s">
        <v>180</v>
      </c>
      <c r="E81" s="12" t="s">
        <v>12</v>
      </c>
      <c r="F81" s="12">
        <v>95.7</v>
      </c>
      <c r="G81" s="13">
        <v>250</v>
      </c>
      <c r="H81" s="68" t="s">
        <v>13</v>
      </c>
      <c r="I81" s="21" t="s">
        <v>54</v>
      </c>
      <c r="J81" s="9"/>
      <c r="K81" s="9">
        <v>46230</v>
      </c>
    </row>
    <row r="82" spans="1:11" ht="28.2" x14ac:dyDescent="0.3">
      <c r="A82" s="3">
        <f>A81+1</f>
        <v>111</v>
      </c>
      <c r="B82" s="14"/>
      <c r="C82" s="15" t="s">
        <v>239</v>
      </c>
      <c r="D82" s="12" t="s">
        <v>87</v>
      </c>
      <c r="E82" s="12" t="s">
        <v>16</v>
      </c>
      <c r="F82" s="12">
        <v>41</v>
      </c>
      <c r="G82" s="27">
        <v>950</v>
      </c>
      <c r="H82" s="22" t="s">
        <v>48</v>
      </c>
      <c r="I82" s="23" t="s">
        <v>14</v>
      </c>
      <c r="J82" s="9"/>
      <c r="K82" s="9">
        <v>46236</v>
      </c>
    </row>
    <row r="83" spans="1:11" ht="14.4" x14ac:dyDescent="0.3">
      <c r="A83" s="3">
        <f>A82+1</f>
        <v>112</v>
      </c>
      <c r="B83" s="14"/>
      <c r="C83" s="15" t="s">
        <v>470</v>
      </c>
      <c r="D83" s="12" t="s">
        <v>107</v>
      </c>
      <c r="E83" s="12" t="s">
        <v>12</v>
      </c>
      <c r="F83" s="12">
        <v>93.9</v>
      </c>
      <c r="G83" s="16">
        <v>50</v>
      </c>
      <c r="H83" s="7" t="s">
        <v>13</v>
      </c>
      <c r="I83" s="8" t="s">
        <v>14</v>
      </c>
      <c r="J83" s="9"/>
      <c r="K83" s="9">
        <v>46237</v>
      </c>
    </row>
    <row r="84" spans="1:11" ht="14.4" x14ac:dyDescent="0.3">
      <c r="A84" s="3">
        <v>60</v>
      </c>
      <c r="B84" s="14"/>
      <c r="C84" s="15" t="s">
        <v>102</v>
      </c>
      <c r="D84" s="12" t="s">
        <v>81</v>
      </c>
      <c r="E84" s="12" t="s">
        <v>12</v>
      </c>
      <c r="F84" s="12" t="s">
        <v>103</v>
      </c>
      <c r="G84" s="13">
        <v>250</v>
      </c>
      <c r="H84" s="7" t="s">
        <v>13</v>
      </c>
      <c r="I84" s="8" t="s">
        <v>14</v>
      </c>
      <c r="J84" s="9"/>
      <c r="K84" s="9">
        <v>46257</v>
      </c>
    </row>
    <row r="85" spans="1:11" ht="14.4" x14ac:dyDescent="0.3">
      <c r="A85" s="3">
        <f>A84+1</f>
        <v>61</v>
      </c>
      <c r="B85" s="14"/>
      <c r="C85" s="15" t="s">
        <v>222</v>
      </c>
      <c r="D85" s="12" t="s">
        <v>44</v>
      </c>
      <c r="E85" s="12" t="s">
        <v>12</v>
      </c>
      <c r="F85" s="12">
        <v>102.7</v>
      </c>
      <c r="G85" s="13">
        <v>100</v>
      </c>
      <c r="H85" s="7" t="s">
        <v>13</v>
      </c>
      <c r="I85" s="70" t="s">
        <v>54</v>
      </c>
      <c r="J85" s="9"/>
      <c r="K85" s="9">
        <v>46271</v>
      </c>
    </row>
    <row r="86" spans="1:11" ht="14.4" x14ac:dyDescent="0.3">
      <c r="A86" s="3">
        <v>53</v>
      </c>
      <c r="B86" s="14"/>
      <c r="C86" s="15" t="s">
        <v>92</v>
      </c>
      <c r="D86" s="12" t="s">
        <v>26</v>
      </c>
      <c r="E86" s="12" t="s">
        <v>27</v>
      </c>
      <c r="F86" s="12">
        <v>9</v>
      </c>
      <c r="G86" s="13">
        <v>100</v>
      </c>
      <c r="H86" s="7" t="s">
        <v>13</v>
      </c>
      <c r="I86" s="8" t="s">
        <v>14</v>
      </c>
      <c r="J86" s="9"/>
      <c r="K86" s="9">
        <v>46273</v>
      </c>
    </row>
    <row r="87" spans="1:11" ht="14.4" x14ac:dyDescent="0.3">
      <c r="A87" s="3">
        <f>A86+1</f>
        <v>54</v>
      </c>
      <c r="B87" s="14"/>
      <c r="C87" s="15" t="s">
        <v>388</v>
      </c>
      <c r="D87" s="12" t="s">
        <v>180</v>
      </c>
      <c r="E87" s="12" t="s">
        <v>12</v>
      </c>
      <c r="F87" s="12">
        <v>97.9</v>
      </c>
      <c r="G87" s="27">
        <v>250</v>
      </c>
      <c r="H87" s="7" t="s">
        <v>13</v>
      </c>
      <c r="I87" s="8" t="s">
        <v>14</v>
      </c>
      <c r="J87" s="9"/>
      <c r="K87" s="9">
        <v>46273</v>
      </c>
    </row>
    <row r="88" spans="1:11" ht="14.4" x14ac:dyDescent="0.3">
      <c r="A88" s="3">
        <f>A87+1</f>
        <v>55</v>
      </c>
      <c r="B88" s="14"/>
      <c r="C88" s="15" t="s">
        <v>361</v>
      </c>
      <c r="D88" s="12" t="s">
        <v>180</v>
      </c>
      <c r="E88" s="12" t="s">
        <v>27</v>
      </c>
      <c r="F88" s="12">
        <v>9</v>
      </c>
      <c r="G88" s="13">
        <v>250</v>
      </c>
      <c r="H88" s="7" t="s">
        <v>13</v>
      </c>
      <c r="I88" s="8" t="s">
        <v>14</v>
      </c>
      <c r="J88" s="9"/>
      <c r="K88" s="9">
        <v>46274</v>
      </c>
    </row>
    <row r="89" spans="1:11" ht="14.4" x14ac:dyDescent="0.3">
      <c r="A89" s="3">
        <v>5</v>
      </c>
      <c r="B89" s="14"/>
      <c r="C89" s="15" t="s">
        <v>20</v>
      </c>
      <c r="D89" s="12" t="s">
        <v>22</v>
      </c>
      <c r="E89" s="12" t="s">
        <v>12</v>
      </c>
      <c r="F89" s="12">
        <v>98.9</v>
      </c>
      <c r="G89" s="13">
        <v>250</v>
      </c>
      <c r="H89" s="7" t="s">
        <v>13</v>
      </c>
      <c r="I89" s="8" t="s">
        <v>14</v>
      </c>
      <c r="J89" s="9"/>
      <c r="K89" s="9">
        <v>46277</v>
      </c>
    </row>
    <row r="90" spans="1:11" ht="15.6" x14ac:dyDescent="0.3">
      <c r="A90" s="3">
        <v>111</v>
      </c>
      <c r="B90" s="4"/>
      <c r="C90" s="11" t="s">
        <v>172</v>
      </c>
      <c r="D90" s="12" t="s">
        <v>11</v>
      </c>
      <c r="E90" s="12" t="s">
        <v>12</v>
      </c>
      <c r="F90" s="12">
        <v>95.5</v>
      </c>
      <c r="G90" s="13">
        <v>250</v>
      </c>
      <c r="H90" s="7" t="s">
        <v>13</v>
      </c>
      <c r="I90" s="23" t="s">
        <v>14</v>
      </c>
      <c r="J90" s="9"/>
      <c r="K90" s="9">
        <v>46277</v>
      </c>
    </row>
    <row r="91" spans="1:11" ht="28.2" x14ac:dyDescent="0.3">
      <c r="A91" s="3">
        <f>A90+1</f>
        <v>112</v>
      </c>
      <c r="B91" s="14"/>
      <c r="C91" s="15" t="s">
        <v>362</v>
      </c>
      <c r="D91" s="12" t="s">
        <v>65</v>
      </c>
      <c r="E91" s="12" t="s">
        <v>12</v>
      </c>
      <c r="F91" s="12">
        <v>96.1</v>
      </c>
      <c r="G91" s="27">
        <v>250</v>
      </c>
      <c r="H91" s="67" t="s">
        <v>28</v>
      </c>
      <c r="I91" s="8" t="s">
        <v>14</v>
      </c>
      <c r="J91" s="9"/>
      <c r="K91" s="9">
        <v>46277</v>
      </c>
    </row>
    <row r="92" spans="1:11" ht="14.4" x14ac:dyDescent="0.3">
      <c r="A92" s="3">
        <f>A91+1</f>
        <v>113</v>
      </c>
      <c r="B92" s="14"/>
      <c r="C92" s="15" t="s">
        <v>373</v>
      </c>
      <c r="D92" s="12" t="s">
        <v>107</v>
      </c>
      <c r="E92" s="12" t="s">
        <v>12</v>
      </c>
      <c r="F92" s="12">
        <v>101.7</v>
      </c>
      <c r="G92" s="16">
        <v>250</v>
      </c>
      <c r="H92" s="68" t="s">
        <v>13</v>
      </c>
      <c r="I92" s="8" t="s">
        <v>14</v>
      </c>
      <c r="J92" s="9"/>
      <c r="K92" s="9">
        <v>46277</v>
      </c>
    </row>
    <row r="93" spans="1:11" ht="14.4" x14ac:dyDescent="0.3">
      <c r="A93" s="3">
        <f>A92+1</f>
        <v>114</v>
      </c>
      <c r="B93" s="14"/>
      <c r="C93" s="15" t="s">
        <v>415</v>
      </c>
      <c r="D93" s="12" t="s">
        <v>107</v>
      </c>
      <c r="E93" s="12" t="s">
        <v>12</v>
      </c>
      <c r="F93" s="12">
        <v>96.7</v>
      </c>
      <c r="G93" s="16">
        <v>50</v>
      </c>
      <c r="H93" s="7" t="s">
        <v>13</v>
      </c>
      <c r="I93" s="23" t="s">
        <v>14</v>
      </c>
      <c r="J93" s="9"/>
      <c r="K93" s="9">
        <v>46277</v>
      </c>
    </row>
    <row r="94" spans="1:11" ht="14.4" x14ac:dyDescent="0.3">
      <c r="A94" s="3">
        <f>A93+1</f>
        <v>115</v>
      </c>
      <c r="B94" s="14"/>
      <c r="C94" s="15" t="s">
        <v>449</v>
      </c>
      <c r="D94" s="12" t="s">
        <v>125</v>
      </c>
      <c r="E94" s="12" t="s">
        <v>27</v>
      </c>
      <c r="F94" s="12">
        <v>9</v>
      </c>
      <c r="G94" s="16">
        <v>50</v>
      </c>
      <c r="H94" s="7" t="s">
        <v>13</v>
      </c>
      <c r="I94" s="21" t="s">
        <v>54</v>
      </c>
      <c r="J94" s="9"/>
      <c r="K94" s="9">
        <v>46281</v>
      </c>
    </row>
    <row r="95" spans="1:11" ht="28.2" x14ac:dyDescent="0.3">
      <c r="A95" s="3">
        <f>A94+1</f>
        <v>116</v>
      </c>
      <c r="B95" s="14"/>
      <c r="C95" s="15" t="s">
        <v>512</v>
      </c>
      <c r="D95" s="12" t="s">
        <v>21</v>
      </c>
      <c r="E95" s="12" t="s">
        <v>12</v>
      </c>
      <c r="F95" s="12">
        <v>100.7</v>
      </c>
      <c r="G95" s="27">
        <v>150</v>
      </c>
      <c r="H95" s="67" t="s">
        <v>28</v>
      </c>
      <c r="I95" s="23" t="s">
        <v>14</v>
      </c>
      <c r="J95" s="9"/>
      <c r="K95" s="9">
        <v>46287</v>
      </c>
    </row>
    <row r="96" spans="1:11" ht="15.6" x14ac:dyDescent="0.3">
      <c r="A96" s="3">
        <f>A95+1</f>
        <v>117</v>
      </c>
      <c r="B96" s="4"/>
      <c r="C96" s="11" t="s">
        <v>356</v>
      </c>
      <c r="D96" s="12" t="s">
        <v>51</v>
      </c>
      <c r="E96" s="12" t="s">
        <v>27</v>
      </c>
      <c r="F96" s="12">
        <v>4</v>
      </c>
      <c r="G96" s="13">
        <v>50</v>
      </c>
      <c r="H96" s="7" t="s">
        <v>13</v>
      </c>
      <c r="I96" s="8" t="s">
        <v>131</v>
      </c>
      <c r="J96" s="9"/>
      <c r="K96" s="9">
        <v>46289</v>
      </c>
    </row>
    <row r="97" spans="1:11" ht="15.6" x14ac:dyDescent="0.3">
      <c r="A97" s="3">
        <f>A96+1</f>
        <v>118</v>
      </c>
      <c r="B97" s="4"/>
      <c r="C97" s="11" t="s">
        <v>442</v>
      </c>
      <c r="D97" s="12" t="s">
        <v>38</v>
      </c>
      <c r="E97" s="12" t="s">
        <v>12</v>
      </c>
      <c r="F97" s="12">
        <v>98.1</v>
      </c>
      <c r="G97" s="27">
        <v>50</v>
      </c>
      <c r="H97" s="7" t="s">
        <v>13</v>
      </c>
      <c r="I97" s="8" t="s">
        <v>14</v>
      </c>
      <c r="J97" s="9"/>
      <c r="K97" s="9">
        <v>46294</v>
      </c>
    </row>
    <row r="98" spans="1:11" ht="14.4" x14ac:dyDescent="0.3">
      <c r="A98" s="3">
        <f>A97+1</f>
        <v>119</v>
      </c>
      <c r="B98" s="14"/>
      <c r="C98" s="15" t="s">
        <v>382</v>
      </c>
      <c r="D98" s="12" t="s">
        <v>26</v>
      </c>
      <c r="E98" s="12" t="s">
        <v>12</v>
      </c>
      <c r="F98" s="12">
        <v>91.1</v>
      </c>
      <c r="G98" s="16">
        <v>250</v>
      </c>
      <c r="H98" s="7" t="s">
        <v>13</v>
      </c>
      <c r="I98" s="8" t="s">
        <v>14</v>
      </c>
      <c r="J98" s="9"/>
      <c r="K98" s="9">
        <v>46295</v>
      </c>
    </row>
    <row r="99" spans="1:11" ht="15.6" x14ac:dyDescent="0.3">
      <c r="A99" s="3">
        <f>A98+1</f>
        <v>120</v>
      </c>
      <c r="B99" s="4"/>
      <c r="C99" s="11" t="s">
        <v>424</v>
      </c>
      <c r="D99" s="12" t="s">
        <v>30</v>
      </c>
      <c r="E99" s="12" t="s">
        <v>12</v>
      </c>
      <c r="F99" s="12">
        <v>93.7</v>
      </c>
      <c r="G99" s="27">
        <v>100</v>
      </c>
      <c r="H99" s="7" t="s">
        <v>13</v>
      </c>
      <c r="I99" s="23" t="s">
        <v>14</v>
      </c>
      <c r="J99" s="9"/>
      <c r="K99" s="9">
        <v>46295</v>
      </c>
    </row>
    <row r="100" spans="1:11" ht="15.6" x14ac:dyDescent="0.3">
      <c r="A100" s="3">
        <v>123</v>
      </c>
      <c r="B100" s="4"/>
      <c r="C100" s="11" t="s">
        <v>187</v>
      </c>
      <c r="D100" s="12" t="s">
        <v>38</v>
      </c>
      <c r="E100" s="12" t="s">
        <v>12</v>
      </c>
      <c r="F100" s="12">
        <v>98.1</v>
      </c>
      <c r="G100" s="13">
        <v>250</v>
      </c>
      <c r="H100" s="68" t="s">
        <v>13</v>
      </c>
      <c r="I100" s="8" t="s">
        <v>14</v>
      </c>
      <c r="J100" s="9"/>
      <c r="K100" s="9">
        <v>46299</v>
      </c>
    </row>
    <row r="101" spans="1:11" ht="28.2" x14ac:dyDescent="0.3">
      <c r="A101" s="3">
        <f>A100+1</f>
        <v>124</v>
      </c>
      <c r="B101" s="14"/>
      <c r="C101" s="15" t="s">
        <v>478</v>
      </c>
      <c r="D101" s="12" t="s">
        <v>87</v>
      </c>
      <c r="E101" s="12" t="s">
        <v>12</v>
      </c>
      <c r="F101" s="12">
        <v>97.7</v>
      </c>
      <c r="G101" s="27">
        <v>100</v>
      </c>
      <c r="H101" s="7" t="s">
        <v>13</v>
      </c>
      <c r="I101" s="8" t="s">
        <v>14</v>
      </c>
      <c r="J101" s="9"/>
      <c r="K101" s="9">
        <v>46300</v>
      </c>
    </row>
    <row r="102" spans="1:11" ht="15.6" x14ac:dyDescent="0.3">
      <c r="A102" s="3">
        <v>20</v>
      </c>
      <c r="B102" s="4"/>
      <c r="C102" s="11" t="s">
        <v>53</v>
      </c>
      <c r="D102" s="12" t="s">
        <v>11</v>
      </c>
      <c r="E102" s="12" t="s">
        <v>12</v>
      </c>
      <c r="F102" s="12">
        <v>97.9</v>
      </c>
      <c r="G102" s="13">
        <v>250</v>
      </c>
      <c r="H102" s="7" t="s">
        <v>13</v>
      </c>
      <c r="I102" s="8" t="s">
        <v>14</v>
      </c>
      <c r="J102" s="9"/>
      <c r="K102" s="9">
        <v>46308</v>
      </c>
    </row>
    <row r="103" spans="1:11" ht="14.4" x14ac:dyDescent="0.3">
      <c r="A103" s="3">
        <v>135</v>
      </c>
      <c r="B103" s="14"/>
      <c r="C103" s="15" t="s">
        <v>200</v>
      </c>
      <c r="D103" s="12" t="s">
        <v>34</v>
      </c>
      <c r="E103" s="12" t="s">
        <v>27</v>
      </c>
      <c r="F103" s="12">
        <v>9</v>
      </c>
      <c r="G103" s="16">
        <v>50</v>
      </c>
      <c r="H103" s="7" t="s">
        <v>13</v>
      </c>
      <c r="I103" s="8" t="s">
        <v>14</v>
      </c>
      <c r="J103" s="9"/>
      <c r="K103" s="9">
        <v>46312</v>
      </c>
    </row>
    <row r="104" spans="1:11" ht="14.4" x14ac:dyDescent="0.3">
      <c r="A104" s="3">
        <v>33</v>
      </c>
      <c r="B104" s="14"/>
      <c r="C104" s="15" t="s">
        <v>67</v>
      </c>
      <c r="D104" s="12" t="s">
        <v>36</v>
      </c>
      <c r="E104" s="12" t="s">
        <v>12</v>
      </c>
      <c r="F104" s="12">
        <v>96.9</v>
      </c>
      <c r="G104" s="13">
        <v>250</v>
      </c>
      <c r="H104" s="7" t="s">
        <v>13</v>
      </c>
      <c r="I104" s="23" t="s">
        <v>14</v>
      </c>
      <c r="J104" s="9"/>
      <c r="K104" s="9">
        <v>46321</v>
      </c>
    </row>
    <row r="105" spans="1:11" ht="15.6" x14ac:dyDescent="0.3">
      <c r="A105" s="3">
        <f>A104+1</f>
        <v>34</v>
      </c>
      <c r="B105" s="4"/>
      <c r="C105" s="11" t="s">
        <v>207</v>
      </c>
      <c r="D105" s="12" t="s">
        <v>51</v>
      </c>
      <c r="E105" s="12" t="s">
        <v>12</v>
      </c>
      <c r="F105" s="12">
        <v>92.3</v>
      </c>
      <c r="G105" s="13">
        <v>50</v>
      </c>
      <c r="H105" s="7" t="s">
        <v>13</v>
      </c>
      <c r="I105" s="23" t="s">
        <v>131</v>
      </c>
      <c r="J105" s="9"/>
      <c r="K105" s="9">
        <v>46326</v>
      </c>
    </row>
    <row r="106" spans="1:11" ht="14.4" x14ac:dyDescent="0.3">
      <c r="A106" s="3">
        <f>A105+1</f>
        <v>35</v>
      </c>
      <c r="B106" s="14"/>
      <c r="C106" s="15" t="s">
        <v>271</v>
      </c>
      <c r="D106" s="12" t="s">
        <v>36</v>
      </c>
      <c r="E106" s="12" t="s">
        <v>12</v>
      </c>
      <c r="F106" s="12">
        <v>101.5</v>
      </c>
      <c r="G106" s="16">
        <v>250</v>
      </c>
      <c r="H106" s="7" t="s">
        <v>13</v>
      </c>
      <c r="I106" s="8" t="s">
        <v>14</v>
      </c>
      <c r="J106" s="9"/>
      <c r="K106" s="9">
        <v>46326</v>
      </c>
    </row>
    <row r="107" spans="1:11" ht="14.4" x14ac:dyDescent="0.3">
      <c r="A107" s="3">
        <f>A106+1</f>
        <v>36</v>
      </c>
      <c r="B107" s="14"/>
      <c r="C107" s="15" t="s">
        <v>370</v>
      </c>
      <c r="D107" s="12" t="s">
        <v>81</v>
      </c>
      <c r="E107" s="12" t="s">
        <v>27</v>
      </c>
      <c r="F107" s="12">
        <v>9</v>
      </c>
      <c r="G107" s="16">
        <v>100</v>
      </c>
      <c r="H107" s="7" t="s">
        <v>13</v>
      </c>
      <c r="I107" s="71" t="s">
        <v>31</v>
      </c>
      <c r="J107" s="9"/>
      <c r="K107" s="9">
        <v>46372</v>
      </c>
    </row>
    <row r="108" spans="1:11" ht="28.2" x14ac:dyDescent="0.3">
      <c r="A108" s="3">
        <v>129</v>
      </c>
      <c r="B108" s="14"/>
      <c r="C108" s="15" t="s">
        <v>192</v>
      </c>
      <c r="D108" s="12" t="s">
        <v>81</v>
      </c>
      <c r="E108" s="12" t="s">
        <v>12</v>
      </c>
      <c r="F108" s="12">
        <v>100.5</v>
      </c>
      <c r="G108" s="13">
        <v>300</v>
      </c>
      <c r="H108" s="67" t="s">
        <v>28</v>
      </c>
      <c r="I108" s="8" t="s">
        <v>14</v>
      </c>
      <c r="J108" s="9"/>
      <c r="K108" s="9">
        <v>46374</v>
      </c>
    </row>
    <row r="109" spans="1:11" ht="28.2" x14ac:dyDescent="0.3">
      <c r="A109" s="3">
        <v>14</v>
      </c>
      <c r="B109" s="4"/>
      <c r="C109" s="11" t="s">
        <v>39</v>
      </c>
      <c r="D109" s="12" t="s">
        <v>19</v>
      </c>
      <c r="E109" s="12" t="s">
        <v>12</v>
      </c>
      <c r="F109" s="12">
        <v>93.1</v>
      </c>
      <c r="G109" s="13">
        <v>50</v>
      </c>
      <c r="H109" s="17" t="s">
        <v>28</v>
      </c>
      <c r="I109" s="8" t="s">
        <v>14</v>
      </c>
      <c r="J109" s="9"/>
      <c r="K109" s="9">
        <v>46375</v>
      </c>
    </row>
    <row r="110" spans="1:11" ht="14.4" x14ac:dyDescent="0.3">
      <c r="A110" s="3">
        <f>A109+1</f>
        <v>15</v>
      </c>
      <c r="B110" s="14"/>
      <c r="C110" s="15" t="s">
        <v>212</v>
      </c>
      <c r="D110" s="12" t="s">
        <v>21</v>
      </c>
      <c r="E110" s="12" t="s">
        <v>12</v>
      </c>
      <c r="F110" s="12">
        <v>98.3</v>
      </c>
      <c r="G110" s="13">
        <v>250</v>
      </c>
      <c r="H110" s="7" t="s">
        <v>13</v>
      </c>
      <c r="I110" s="8" t="s">
        <v>14</v>
      </c>
      <c r="J110" s="9"/>
      <c r="K110" s="9">
        <v>46375</v>
      </c>
    </row>
    <row r="111" spans="1:11" ht="15.6" x14ac:dyDescent="0.3">
      <c r="A111" s="3">
        <f>A110+1</f>
        <v>16</v>
      </c>
      <c r="B111" s="4"/>
      <c r="C111" s="11" t="s">
        <v>233</v>
      </c>
      <c r="D111" s="12" t="s">
        <v>234</v>
      </c>
      <c r="E111" s="12" t="s">
        <v>12</v>
      </c>
      <c r="F111" s="12">
        <v>93.9</v>
      </c>
      <c r="G111" s="27">
        <v>100</v>
      </c>
      <c r="H111" s="7" t="s">
        <v>13</v>
      </c>
      <c r="I111" s="70" t="s">
        <v>54</v>
      </c>
      <c r="J111" s="9"/>
      <c r="K111" s="9">
        <v>46375</v>
      </c>
    </row>
    <row r="112" spans="1:11" ht="28.2" x14ac:dyDescent="0.3">
      <c r="A112" s="3">
        <f>A111+1</f>
        <v>17</v>
      </c>
      <c r="B112" s="14"/>
      <c r="C112" s="15" t="s">
        <v>211</v>
      </c>
      <c r="D112" s="12" t="s">
        <v>26</v>
      </c>
      <c r="E112" s="12" t="s">
        <v>12</v>
      </c>
      <c r="F112" s="12">
        <v>104.5</v>
      </c>
      <c r="G112" s="13">
        <v>50</v>
      </c>
      <c r="H112" s="69" t="s">
        <v>48</v>
      </c>
      <c r="I112" s="71" t="s">
        <v>31</v>
      </c>
      <c r="J112" s="9"/>
      <c r="K112" s="9">
        <v>46376</v>
      </c>
    </row>
    <row r="113" spans="1:11" ht="15.6" x14ac:dyDescent="0.3">
      <c r="A113" s="3">
        <v>115</v>
      </c>
      <c r="B113" s="4"/>
      <c r="C113" s="11" t="s">
        <v>177</v>
      </c>
      <c r="D113" s="12" t="s">
        <v>51</v>
      </c>
      <c r="E113" s="12" t="s">
        <v>12</v>
      </c>
      <c r="F113" s="12">
        <v>104.9</v>
      </c>
      <c r="G113" s="13">
        <v>250</v>
      </c>
      <c r="H113" s="7" t="s">
        <v>13</v>
      </c>
      <c r="I113" s="8" t="s">
        <v>14</v>
      </c>
      <c r="J113" s="9"/>
      <c r="K113" s="9">
        <v>46379</v>
      </c>
    </row>
    <row r="114" spans="1:11" ht="14.4" x14ac:dyDescent="0.3">
      <c r="A114" s="3">
        <f>A113+1</f>
        <v>116</v>
      </c>
      <c r="B114" s="14"/>
      <c r="C114" s="15" t="s">
        <v>422</v>
      </c>
      <c r="D114" s="12" t="s">
        <v>107</v>
      </c>
      <c r="E114" s="12" t="s">
        <v>12</v>
      </c>
      <c r="F114" s="12">
        <v>101.5</v>
      </c>
      <c r="G114" s="16">
        <v>250</v>
      </c>
      <c r="H114" s="7" t="s">
        <v>13</v>
      </c>
      <c r="I114" s="8" t="s">
        <v>14</v>
      </c>
      <c r="J114" s="9"/>
      <c r="K114" s="9">
        <v>46384</v>
      </c>
    </row>
    <row r="115" spans="1:11" ht="14.4" x14ac:dyDescent="0.3">
      <c r="A115" s="3">
        <f>A114+1</f>
        <v>117</v>
      </c>
      <c r="B115" s="14"/>
      <c r="C115" s="15" t="s">
        <v>504</v>
      </c>
      <c r="D115" s="12" t="s">
        <v>125</v>
      </c>
      <c r="E115" s="12" t="s">
        <v>12</v>
      </c>
      <c r="F115" s="12">
        <v>98.1</v>
      </c>
      <c r="G115" s="16">
        <v>100</v>
      </c>
      <c r="H115" s="7" t="s">
        <v>13</v>
      </c>
      <c r="I115" s="23" t="s">
        <v>14</v>
      </c>
      <c r="J115" s="9"/>
      <c r="K115" s="9">
        <v>46406</v>
      </c>
    </row>
    <row r="116" spans="1:11" ht="14.4" x14ac:dyDescent="0.3">
      <c r="A116" s="3">
        <f>A115+1</f>
        <v>118</v>
      </c>
      <c r="B116" s="14"/>
      <c r="C116" s="15" t="s">
        <v>298</v>
      </c>
      <c r="D116" s="12" t="s">
        <v>87</v>
      </c>
      <c r="E116" s="12" t="s">
        <v>12</v>
      </c>
      <c r="F116" s="12">
        <v>98.5</v>
      </c>
      <c r="G116" s="27">
        <v>50</v>
      </c>
      <c r="H116" s="7" t="s">
        <v>13</v>
      </c>
      <c r="I116" s="8" t="s">
        <v>14</v>
      </c>
      <c r="J116" s="9"/>
      <c r="K116" s="9">
        <v>46407</v>
      </c>
    </row>
    <row r="117" spans="1:11" ht="28.2" x14ac:dyDescent="0.3">
      <c r="A117" s="3">
        <f>A116+1</f>
        <v>119</v>
      </c>
      <c r="B117" s="14"/>
      <c r="C117" s="15" t="s">
        <v>271</v>
      </c>
      <c r="D117" s="12" t="s">
        <v>36</v>
      </c>
      <c r="E117" s="12" t="s">
        <v>27</v>
      </c>
      <c r="F117" s="12">
        <v>9</v>
      </c>
      <c r="G117" s="16">
        <v>50</v>
      </c>
      <c r="H117" s="67" t="s">
        <v>28</v>
      </c>
      <c r="I117" s="23" t="s">
        <v>14</v>
      </c>
      <c r="J117" s="9"/>
      <c r="K117" s="9">
        <v>46410</v>
      </c>
    </row>
    <row r="118" spans="1:11" ht="15.6" x14ac:dyDescent="0.3">
      <c r="A118" s="3">
        <f>A117+1</f>
        <v>120</v>
      </c>
      <c r="B118" s="4"/>
      <c r="C118" s="11" t="s">
        <v>381</v>
      </c>
      <c r="D118" s="12" t="s">
        <v>30</v>
      </c>
      <c r="E118" s="12" t="s">
        <v>12</v>
      </c>
      <c r="F118" s="12">
        <v>90.5</v>
      </c>
      <c r="G118" s="27">
        <v>50</v>
      </c>
      <c r="H118" s="7" t="s">
        <v>13</v>
      </c>
      <c r="I118" s="71" t="s">
        <v>31</v>
      </c>
      <c r="J118" s="9"/>
      <c r="K118" s="9">
        <v>46412</v>
      </c>
    </row>
    <row r="119" spans="1:11" ht="14.4" x14ac:dyDescent="0.3">
      <c r="A119" s="3">
        <f>A118+1</f>
        <v>121</v>
      </c>
      <c r="B119" s="14"/>
      <c r="C119" s="15" t="s">
        <v>335</v>
      </c>
      <c r="D119" s="12" t="s">
        <v>44</v>
      </c>
      <c r="E119" s="12" t="s">
        <v>12</v>
      </c>
      <c r="F119" s="12">
        <v>95.3</v>
      </c>
      <c r="G119" s="27">
        <v>250</v>
      </c>
      <c r="H119" s="7" t="s">
        <v>13</v>
      </c>
      <c r="I119" s="8" t="s">
        <v>14</v>
      </c>
      <c r="J119" s="9"/>
      <c r="K119" s="9">
        <v>46425</v>
      </c>
    </row>
    <row r="120" spans="1:11" ht="28.2" x14ac:dyDescent="0.3">
      <c r="A120" s="3">
        <v>8</v>
      </c>
      <c r="B120" s="14"/>
      <c r="C120" s="15" t="s">
        <v>25</v>
      </c>
      <c r="D120" s="12" t="s">
        <v>26</v>
      </c>
      <c r="E120" s="12" t="s">
        <v>12</v>
      </c>
      <c r="F120" s="12">
        <v>94.9</v>
      </c>
      <c r="G120" s="13">
        <v>50</v>
      </c>
      <c r="H120" s="67" t="s">
        <v>28</v>
      </c>
      <c r="I120" s="8" t="s">
        <v>14</v>
      </c>
      <c r="J120" s="9"/>
      <c r="K120" s="9">
        <v>46438</v>
      </c>
    </row>
    <row r="121" spans="1:11" ht="14.4" x14ac:dyDescent="0.3">
      <c r="A121" s="3">
        <v>41</v>
      </c>
      <c r="B121" s="14"/>
      <c r="C121" s="15" t="s">
        <v>74</v>
      </c>
      <c r="D121" s="12" t="s">
        <v>65</v>
      </c>
      <c r="E121" s="12" t="s">
        <v>27</v>
      </c>
      <c r="F121" s="12">
        <v>12</v>
      </c>
      <c r="G121" s="13">
        <v>500</v>
      </c>
      <c r="H121" s="7" t="s">
        <v>13</v>
      </c>
      <c r="I121" s="70" t="s">
        <v>54</v>
      </c>
      <c r="J121" s="9"/>
      <c r="K121" s="9">
        <v>46439</v>
      </c>
    </row>
    <row r="122" spans="1:11" ht="14.4" x14ac:dyDescent="0.3">
      <c r="A122" s="3">
        <v>87</v>
      </c>
      <c r="B122" s="14"/>
      <c r="C122" s="15" t="s">
        <v>138</v>
      </c>
      <c r="D122" s="12" t="s">
        <v>36</v>
      </c>
      <c r="E122" s="12" t="s">
        <v>12</v>
      </c>
      <c r="F122" s="12">
        <v>99.9</v>
      </c>
      <c r="G122" s="13">
        <v>50</v>
      </c>
      <c r="H122" s="68" t="s">
        <v>13</v>
      </c>
      <c r="I122" s="23" t="s">
        <v>14</v>
      </c>
      <c r="J122" s="9"/>
      <c r="K122" s="9">
        <v>46445</v>
      </c>
    </row>
    <row r="123" spans="1:11" ht="15.6" x14ac:dyDescent="0.3">
      <c r="A123" s="3">
        <v>13</v>
      </c>
      <c r="B123" s="4"/>
      <c r="C123" s="11" t="s">
        <v>37</v>
      </c>
      <c r="D123" s="12" t="s">
        <v>38</v>
      </c>
      <c r="E123" s="12" t="s">
        <v>12</v>
      </c>
      <c r="F123" s="12">
        <v>99.3</v>
      </c>
      <c r="G123" s="13">
        <v>130</v>
      </c>
      <c r="H123" s="7" t="s">
        <v>13</v>
      </c>
      <c r="I123" s="8" t="s">
        <v>14</v>
      </c>
      <c r="J123" s="9"/>
      <c r="K123" s="9">
        <v>46446</v>
      </c>
    </row>
    <row r="124" spans="1:11" ht="28.2" x14ac:dyDescent="0.3">
      <c r="A124" s="3">
        <v>38</v>
      </c>
      <c r="B124" s="4"/>
      <c r="C124" s="11" t="s">
        <v>72</v>
      </c>
      <c r="D124" s="12" t="s">
        <v>38</v>
      </c>
      <c r="E124" s="12" t="s">
        <v>12</v>
      </c>
      <c r="F124" s="12">
        <v>89.5</v>
      </c>
      <c r="G124" s="13">
        <v>50</v>
      </c>
      <c r="H124" s="67" t="s">
        <v>28</v>
      </c>
      <c r="I124" s="8" t="s">
        <v>14</v>
      </c>
      <c r="J124" s="9"/>
      <c r="K124" s="9">
        <v>46446</v>
      </c>
    </row>
    <row r="125" spans="1:11" ht="15.6" x14ac:dyDescent="0.3">
      <c r="A125" s="3">
        <v>70</v>
      </c>
      <c r="B125" s="4"/>
      <c r="C125" s="11" t="s">
        <v>120</v>
      </c>
      <c r="D125" s="12" t="s">
        <v>19</v>
      </c>
      <c r="E125" s="12" t="s">
        <v>12</v>
      </c>
      <c r="F125" s="12">
        <v>95.3</v>
      </c>
      <c r="G125" s="13">
        <v>250</v>
      </c>
      <c r="H125" s="68" t="s">
        <v>13</v>
      </c>
      <c r="I125" s="23" t="s">
        <v>14</v>
      </c>
      <c r="J125" s="9"/>
      <c r="K125" s="9">
        <v>46446</v>
      </c>
    </row>
    <row r="126" spans="1:11" ht="14.4" x14ac:dyDescent="0.3">
      <c r="A126" s="3">
        <v>118</v>
      </c>
      <c r="B126" s="14"/>
      <c r="C126" s="15" t="s">
        <v>182</v>
      </c>
      <c r="D126" s="12" t="s">
        <v>87</v>
      </c>
      <c r="E126" s="12" t="s">
        <v>12</v>
      </c>
      <c r="F126" s="12">
        <v>93.3</v>
      </c>
      <c r="G126" s="13">
        <v>500</v>
      </c>
      <c r="H126" s="7" t="s">
        <v>13</v>
      </c>
      <c r="I126" s="23" t="s">
        <v>14</v>
      </c>
      <c r="J126" s="9"/>
      <c r="K126" s="9">
        <v>46446</v>
      </c>
    </row>
    <row r="127" spans="1:11" ht="28.2" x14ac:dyDescent="0.3">
      <c r="A127" s="3">
        <f>A126+1</f>
        <v>119</v>
      </c>
      <c r="B127" s="14"/>
      <c r="C127" s="15" t="s">
        <v>293</v>
      </c>
      <c r="D127" s="12" t="s">
        <v>21</v>
      </c>
      <c r="E127" s="12" t="s">
        <v>12</v>
      </c>
      <c r="F127" s="12">
        <v>99.5</v>
      </c>
      <c r="G127" s="27">
        <v>250</v>
      </c>
      <c r="H127" s="69" t="s">
        <v>48</v>
      </c>
      <c r="I127" s="8" t="s">
        <v>14</v>
      </c>
      <c r="J127" s="9"/>
      <c r="K127" s="9">
        <v>46446</v>
      </c>
    </row>
    <row r="128" spans="1:11" ht="14.4" x14ac:dyDescent="0.3">
      <c r="A128" s="3">
        <f>A127+1</f>
        <v>120</v>
      </c>
      <c r="B128" s="14"/>
      <c r="C128" s="15" t="s">
        <v>425</v>
      </c>
      <c r="D128" s="12" t="s">
        <v>44</v>
      </c>
      <c r="E128" s="12" t="s">
        <v>12</v>
      </c>
      <c r="F128" s="12">
        <v>92.5</v>
      </c>
      <c r="G128" s="27">
        <v>150</v>
      </c>
      <c r="H128" s="7" t="s">
        <v>13</v>
      </c>
      <c r="I128" s="8" t="s">
        <v>14</v>
      </c>
      <c r="J128" s="9"/>
      <c r="K128" s="9">
        <v>46446</v>
      </c>
    </row>
    <row r="129" spans="1:11" ht="14.4" x14ac:dyDescent="0.3">
      <c r="A129" s="3">
        <f>A128+1</f>
        <v>121</v>
      </c>
      <c r="B129" s="14"/>
      <c r="C129" s="15" t="s">
        <v>476</v>
      </c>
      <c r="D129" s="12" t="s">
        <v>65</v>
      </c>
      <c r="E129" s="12" t="s">
        <v>27</v>
      </c>
      <c r="F129" s="12">
        <v>7</v>
      </c>
      <c r="G129" s="27">
        <v>100</v>
      </c>
      <c r="H129" s="7" t="s">
        <v>13</v>
      </c>
      <c r="I129" s="70" t="s">
        <v>54</v>
      </c>
      <c r="J129" s="9"/>
      <c r="K129" s="9">
        <v>46446</v>
      </c>
    </row>
    <row r="130" spans="1:11" ht="14.4" x14ac:dyDescent="0.3">
      <c r="A130" s="3">
        <f>A129+1</f>
        <v>122</v>
      </c>
      <c r="B130" s="14"/>
      <c r="C130" s="15" t="s">
        <v>443</v>
      </c>
      <c r="D130" s="12" t="s">
        <v>87</v>
      </c>
      <c r="E130" s="12" t="s">
        <v>12</v>
      </c>
      <c r="F130" s="12" t="s">
        <v>444</v>
      </c>
      <c r="G130" s="27">
        <v>50</v>
      </c>
      <c r="H130" s="68" t="s">
        <v>13</v>
      </c>
      <c r="I130" s="8" t="s">
        <v>14</v>
      </c>
      <c r="J130" s="9"/>
      <c r="K130" s="9">
        <v>46461</v>
      </c>
    </row>
    <row r="131" spans="1:11" ht="15.6" x14ac:dyDescent="0.3">
      <c r="A131" s="3">
        <v>88</v>
      </c>
      <c r="B131" s="4"/>
      <c r="C131" s="11" t="s">
        <v>139</v>
      </c>
      <c r="D131" s="12" t="s">
        <v>11</v>
      </c>
      <c r="E131" s="12" t="s">
        <v>12</v>
      </c>
      <c r="F131" s="12">
        <v>96.9</v>
      </c>
      <c r="G131" s="13">
        <v>250</v>
      </c>
      <c r="H131" s="7" t="s">
        <v>13</v>
      </c>
      <c r="I131" s="8" t="s">
        <v>14</v>
      </c>
      <c r="J131" s="9"/>
      <c r="K131" s="9">
        <v>46462</v>
      </c>
    </row>
    <row r="132" spans="1:11" ht="14.4" x14ac:dyDescent="0.3">
      <c r="A132" s="3">
        <f>A131+1</f>
        <v>89</v>
      </c>
      <c r="B132" s="14"/>
      <c r="C132" s="15" t="s">
        <v>513</v>
      </c>
      <c r="D132" s="12" t="s">
        <v>44</v>
      </c>
      <c r="E132" s="12" t="s">
        <v>12</v>
      </c>
      <c r="F132" s="12">
        <v>97.7</v>
      </c>
      <c r="G132" s="27">
        <v>150</v>
      </c>
      <c r="H132" s="7" t="s">
        <v>13</v>
      </c>
      <c r="I132" s="8" t="s">
        <v>14</v>
      </c>
      <c r="J132" s="9"/>
      <c r="K132" s="9">
        <v>46462</v>
      </c>
    </row>
    <row r="133" spans="1:11" ht="15.6" x14ac:dyDescent="0.3">
      <c r="A133" s="3">
        <f>A132+1</f>
        <v>90</v>
      </c>
      <c r="B133" s="4"/>
      <c r="C133" s="11" t="s">
        <v>241</v>
      </c>
      <c r="D133" s="12" t="s">
        <v>51</v>
      </c>
      <c r="E133" s="12" t="s">
        <v>12</v>
      </c>
      <c r="F133" s="12">
        <v>99.7</v>
      </c>
      <c r="G133" s="27">
        <v>50</v>
      </c>
      <c r="H133" s="7" t="s">
        <v>13</v>
      </c>
      <c r="I133" s="23" t="s">
        <v>131</v>
      </c>
      <c r="J133" s="9"/>
      <c r="K133" s="9">
        <v>46469</v>
      </c>
    </row>
    <row r="134" spans="1:11" ht="14.4" x14ac:dyDescent="0.3">
      <c r="A134" s="3">
        <f>A133+1</f>
        <v>91</v>
      </c>
      <c r="B134" s="14"/>
      <c r="C134" s="15" t="s">
        <v>428</v>
      </c>
      <c r="D134" s="12" t="s">
        <v>87</v>
      </c>
      <c r="E134" s="12" t="s">
        <v>12</v>
      </c>
      <c r="F134" s="12" t="s">
        <v>429</v>
      </c>
      <c r="G134" s="27">
        <v>100</v>
      </c>
      <c r="H134" s="7" t="s">
        <v>13</v>
      </c>
      <c r="I134" s="70" t="s">
        <v>54</v>
      </c>
      <c r="J134" s="9"/>
      <c r="K134" s="9">
        <v>46475</v>
      </c>
    </row>
    <row r="135" spans="1:11" ht="28.2" x14ac:dyDescent="0.3">
      <c r="A135" s="3">
        <v>32</v>
      </c>
      <c r="B135" s="14"/>
      <c r="C135" s="15" t="s">
        <v>66</v>
      </c>
      <c r="D135" s="12" t="s">
        <v>34</v>
      </c>
      <c r="E135" s="12" t="s">
        <v>27</v>
      </c>
      <c r="F135" s="12">
        <v>13</v>
      </c>
      <c r="G135" s="13">
        <v>100</v>
      </c>
      <c r="H135" s="7" t="s">
        <v>13</v>
      </c>
      <c r="I135" s="8" t="s">
        <v>14</v>
      </c>
      <c r="J135" s="9"/>
      <c r="K135" s="9">
        <v>46479</v>
      </c>
    </row>
    <row r="136" spans="1:11" ht="14.4" x14ac:dyDescent="0.3">
      <c r="A136" s="3">
        <f>A135+1</f>
        <v>33</v>
      </c>
      <c r="B136" s="14"/>
      <c r="C136" s="15" t="s">
        <v>240</v>
      </c>
      <c r="D136" s="12" t="s">
        <v>87</v>
      </c>
      <c r="E136" s="12" t="s">
        <v>12</v>
      </c>
      <c r="F136" s="12">
        <v>97.5</v>
      </c>
      <c r="G136" s="27">
        <v>250</v>
      </c>
      <c r="H136" s="7" t="s">
        <v>13</v>
      </c>
      <c r="I136" s="70" t="s">
        <v>54</v>
      </c>
      <c r="J136" s="9"/>
      <c r="K136" s="9">
        <v>46484</v>
      </c>
    </row>
    <row r="137" spans="1:11" ht="15.6" x14ac:dyDescent="0.3">
      <c r="A137" s="3">
        <f>A136+1</f>
        <v>34</v>
      </c>
      <c r="B137" s="4"/>
      <c r="C137" s="11" t="s">
        <v>291</v>
      </c>
      <c r="D137" s="12" t="s">
        <v>51</v>
      </c>
      <c r="E137" s="12" t="s">
        <v>27</v>
      </c>
      <c r="F137" s="12">
        <v>10</v>
      </c>
      <c r="G137" s="27">
        <v>50</v>
      </c>
      <c r="H137" s="7" t="s">
        <v>13</v>
      </c>
      <c r="I137" s="8" t="s">
        <v>131</v>
      </c>
      <c r="J137" s="9"/>
      <c r="K137" s="9">
        <v>46487</v>
      </c>
    </row>
    <row r="138" spans="1:11" ht="14.4" x14ac:dyDescent="0.3">
      <c r="A138" s="3">
        <f>A137+1</f>
        <v>35</v>
      </c>
      <c r="B138" s="14"/>
      <c r="C138" s="15" t="s">
        <v>21</v>
      </c>
      <c r="D138" s="12" t="s">
        <v>21</v>
      </c>
      <c r="E138" s="12" t="s">
        <v>12</v>
      </c>
      <c r="F138" s="12">
        <v>101.1</v>
      </c>
      <c r="G138" s="13">
        <v>100</v>
      </c>
      <c r="H138" s="68" t="s">
        <v>13</v>
      </c>
      <c r="I138" s="8" t="s">
        <v>14</v>
      </c>
      <c r="J138" s="9"/>
      <c r="K138" s="9">
        <v>46488</v>
      </c>
    </row>
    <row r="139" spans="1:11" ht="14.4" x14ac:dyDescent="0.3">
      <c r="A139" s="3">
        <f>A138+1</f>
        <v>36</v>
      </c>
      <c r="B139" s="14"/>
      <c r="C139" s="15" t="s">
        <v>365</v>
      </c>
      <c r="D139" s="12" t="s">
        <v>87</v>
      </c>
      <c r="E139" s="12" t="s">
        <v>12</v>
      </c>
      <c r="F139" s="12" t="s">
        <v>366</v>
      </c>
      <c r="G139" s="27">
        <v>100</v>
      </c>
      <c r="H139" s="68" t="s">
        <v>13</v>
      </c>
      <c r="I139" s="8" t="s">
        <v>14</v>
      </c>
      <c r="J139" s="9"/>
      <c r="K139" s="9">
        <v>46488</v>
      </c>
    </row>
    <row r="140" spans="1:11" ht="15.6" x14ac:dyDescent="0.3">
      <c r="A140" s="3">
        <f>A139+1</f>
        <v>37</v>
      </c>
      <c r="B140" s="4"/>
      <c r="C140" s="11" t="s">
        <v>367</v>
      </c>
      <c r="D140" s="12" t="s">
        <v>19</v>
      </c>
      <c r="E140" s="12" t="s">
        <v>12</v>
      </c>
      <c r="F140" s="12">
        <v>106.5</v>
      </c>
      <c r="G140" s="27">
        <v>500</v>
      </c>
      <c r="H140" s="7" t="s">
        <v>13</v>
      </c>
      <c r="I140" s="8" t="s">
        <v>14</v>
      </c>
      <c r="J140" s="9"/>
      <c r="K140" s="9">
        <v>46494</v>
      </c>
    </row>
    <row r="141" spans="1:11" ht="14.4" x14ac:dyDescent="0.3">
      <c r="A141" s="3">
        <f>A140+1</f>
        <v>38</v>
      </c>
      <c r="B141" s="14"/>
      <c r="C141" s="15" t="s">
        <v>513</v>
      </c>
      <c r="D141" s="12" t="s">
        <v>44</v>
      </c>
      <c r="E141" s="12" t="s">
        <v>27</v>
      </c>
      <c r="F141" s="12">
        <v>9</v>
      </c>
      <c r="G141" s="27">
        <v>50</v>
      </c>
      <c r="H141" s="68" t="s">
        <v>13</v>
      </c>
      <c r="I141" s="23" t="s">
        <v>14</v>
      </c>
      <c r="J141" s="9"/>
      <c r="K141" s="9">
        <v>46502</v>
      </c>
    </row>
    <row r="142" spans="1:11" ht="14.4" x14ac:dyDescent="0.3">
      <c r="A142" s="3">
        <v>12</v>
      </c>
      <c r="B142" s="14"/>
      <c r="C142" s="15" t="s">
        <v>35</v>
      </c>
      <c r="D142" s="12" t="s">
        <v>36</v>
      </c>
      <c r="E142" s="12" t="s">
        <v>27</v>
      </c>
      <c r="F142" s="12">
        <v>9</v>
      </c>
      <c r="G142" s="13">
        <v>100</v>
      </c>
      <c r="H142" s="7" t="s">
        <v>13</v>
      </c>
      <c r="I142" s="8" t="s">
        <v>14</v>
      </c>
      <c r="J142" s="9"/>
      <c r="K142" s="9">
        <v>46503</v>
      </c>
    </row>
    <row r="143" spans="1:11" ht="14.4" x14ac:dyDescent="0.3">
      <c r="A143" s="3">
        <v>93</v>
      </c>
      <c r="B143" s="14"/>
      <c r="C143" s="15" t="s">
        <v>144</v>
      </c>
      <c r="D143" s="12" t="s">
        <v>125</v>
      </c>
      <c r="E143" s="12" t="s">
        <v>12</v>
      </c>
      <c r="F143" s="12">
        <v>90.5</v>
      </c>
      <c r="G143" s="13">
        <v>500</v>
      </c>
      <c r="H143" s="7" t="s">
        <v>13</v>
      </c>
      <c r="I143" s="23" t="s">
        <v>145</v>
      </c>
      <c r="J143" s="9"/>
      <c r="K143" s="9">
        <v>46504</v>
      </c>
    </row>
    <row r="144" spans="1:11" ht="28.2" x14ac:dyDescent="0.3">
      <c r="A144" s="3">
        <f>A143+1</f>
        <v>94</v>
      </c>
      <c r="B144" s="4"/>
      <c r="C144" s="11" t="s">
        <v>323</v>
      </c>
      <c r="D144" s="12" t="s">
        <v>51</v>
      </c>
      <c r="E144" s="12" t="s">
        <v>12</v>
      </c>
      <c r="F144" s="12">
        <v>99.3</v>
      </c>
      <c r="G144" s="27">
        <v>130</v>
      </c>
      <c r="H144" s="67" t="s">
        <v>28</v>
      </c>
      <c r="I144" s="8" t="s">
        <v>131</v>
      </c>
      <c r="J144" s="9"/>
      <c r="K144" s="9">
        <v>46504</v>
      </c>
    </row>
    <row r="145" spans="1:11" ht="15.6" x14ac:dyDescent="0.3">
      <c r="A145" s="3">
        <v>3</v>
      </c>
      <c r="B145" s="4"/>
      <c r="C145" s="11" t="s">
        <v>18</v>
      </c>
      <c r="D145" s="12" t="s">
        <v>19</v>
      </c>
      <c r="E145" s="12" t="s">
        <v>12</v>
      </c>
      <c r="F145" s="12">
        <v>101.5</v>
      </c>
      <c r="G145" s="13">
        <v>250</v>
      </c>
      <c r="H145" s="7" t="s">
        <v>13</v>
      </c>
      <c r="I145" s="8" t="s">
        <v>14</v>
      </c>
      <c r="J145" s="9"/>
      <c r="K145" s="9">
        <v>46511</v>
      </c>
    </row>
    <row r="146" spans="1:11" ht="14.4" x14ac:dyDescent="0.3">
      <c r="A146" s="3">
        <v>66</v>
      </c>
      <c r="B146" s="14"/>
      <c r="C146" s="15" t="s">
        <v>115</v>
      </c>
      <c r="D146" s="12" t="s">
        <v>65</v>
      </c>
      <c r="E146" s="12" t="s">
        <v>27</v>
      </c>
      <c r="F146" s="12">
        <v>9</v>
      </c>
      <c r="G146" s="13">
        <v>200</v>
      </c>
      <c r="H146" s="7" t="s">
        <v>13</v>
      </c>
      <c r="I146" s="70" t="s">
        <v>54</v>
      </c>
      <c r="J146" s="9"/>
      <c r="K146" s="9">
        <v>46516</v>
      </c>
    </row>
    <row r="147" spans="1:11" ht="14.4" x14ac:dyDescent="0.3">
      <c r="A147" s="3">
        <f>A146+1</f>
        <v>67</v>
      </c>
      <c r="B147" s="14"/>
      <c r="C147" s="15" t="s">
        <v>508</v>
      </c>
      <c r="D147" s="12" t="s">
        <v>87</v>
      </c>
      <c r="E147" s="12" t="s">
        <v>12</v>
      </c>
      <c r="F147" s="12">
        <v>96.1</v>
      </c>
      <c r="G147" s="27">
        <v>250</v>
      </c>
      <c r="H147" s="7" t="s">
        <v>13</v>
      </c>
      <c r="I147" s="21" t="s">
        <v>54</v>
      </c>
      <c r="J147" s="9"/>
      <c r="K147" s="9">
        <v>46516</v>
      </c>
    </row>
    <row r="148" spans="1:11" ht="15.6" x14ac:dyDescent="0.3">
      <c r="A148" s="3">
        <f>A147+1</f>
        <v>68</v>
      </c>
      <c r="B148" s="4"/>
      <c r="C148" s="11" t="s">
        <v>255</v>
      </c>
      <c r="D148" s="12" t="s">
        <v>51</v>
      </c>
      <c r="E148" s="12" t="s">
        <v>27</v>
      </c>
      <c r="F148" s="12">
        <v>9</v>
      </c>
      <c r="G148" s="27">
        <v>50</v>
      </c>
      <c r="H148" s="68" t="s">
        <v>13</v>
      </c>
      <c r="I148" s="74" t="s">
        <v>54</v>
      </c>
      <c r="J148" s="9"/>
      <c r="K148" s="9">
        <v>46517</v>
      </c>
    </row>
    <row r="149" spans="1:11" ht="15.6" x14ac:dyDescent="0.3">
      <c r="A149" s="3">
        <f>A148+1</f>
        <v>69</v>
      </c>
      <c r="B149" s="4"/>
      <c r="C149" s="11" t="s">
        <v>376</v>
      </c>
      <c r="D149" s="12" t="s">
        <v>153</v>
      </c>
      <c r="E149" s="12" t="s">
        <v>27</v>
      </c>
      <c r="F149" s="12">
        <v>10</v>
      </c>
      <c r="G149" s="27">
        <v>700</v>
      </c>
      <c r="H149" s="7" t="s">
        <v>13</v>
      </c>
      <c r="I149" s="8" t="s">
        <v>377</v>
      </c>
      <c r="J149" s="9"/>
      <c r="K149" s="9">
        <v>46518</v>
      </c>
    </row>
    <row r="150" spans="1:11" ht="14.4" x14ac:dyDescent="0.3">
      <c r="A150" s="3">
        <v>75</v>
      </c>
      <c r="B150" s="14"/>
      <c r="C150" s="15" t="s">
        <v>124</v>
      </c>
      <c r="D150" s="12" t="s">
        <v>125</v>
      </c>
      <c r="E150" s="12" t="s">
        <v>12</v>
      </c>
      <c r="F150" s="12">
        <v>90.7</v>
      </c>
      <c r="G150" s="13">
        <v>500</v>
      </c>
      <c r="H150" s="7" t="s">
        <v>13</v>
      </c>
      <c r="I150" s="8" t="s">
        <v>14</v>
      </c>
      <c r="J150" s="9"/>
      <c r="K150" s="9">
        <v>46522</v>
      </c>
    </row>
    <row r="151" spans="1:11" ht="14.4" x14ac:dyDescent="0.3">
      <c r="A151" s="3">
        <f>A150+1</f>
        <v>76</v>
      </c>
      <c r="B151" s="14"/>
      <c r="C151" s="15" t="s">
        <v>481</v>
      </c>
      <c r="D151" s="12" t="s">
        <v>22</v>
      </c>
      <c r="E151" s="12" t="s">
        <v>12</v>
      </c>
      <c r="F151" s="12">
        <v>98.5</v>
      </c>
      <c r="G151" s="27">
        <v>250</v>
      </c>
      <c r="H151" s="7" t="s">
        <v>13</v>
      </c>
      <c r="I151" s="8" t="s">
        <v>483</v>
      </c>
      <c r="J151" s="9"/>
      <c r="K151" s="9">
        <v>46522</v>
      </c>
    </row>
    <row r="152" spans="1:11" ht="15.6" x14ac:dyDescent="0.3">
      <c r="A152" s="3">
        <f>A151+1</f>
        <v>77</v>
      </c>
      <c r="B152" s="4"/>
      <c r="C152" s="11" t="s">
        <v>315</v>
      </c>
      <c r="D152" s="12" t="s">
        <v>153</v>
      </c>
      <c r="E152" s="12" t="s">
        <v>27</v>
      </c>
      <c r="F152" s="12">
        <v>11</v>
      </c>
      <c r="G152" s="27">
        <v>250</v>
      </c>
      <c r="H152" s="7" t="s">
        <v>13</v>
      </c>
      <c r="I152" s="8" t="s">
        <v>14</v>
      </c>
      <c r="J152" s="9"/>
      <c r="K152" s="9">
        <v>46532</v>
      </c>
    </row>
    <row r="153" spans="1:11" ht="28.2" x14ac:dyDescent="0.3">
      <c r="A153" s="3">
        <f>A152+1</f>
        <v>78</v>
      </c>
      <c r="B153" s="14"/>
      <c r="C153" s="15" t="s">
        <v>230</v>
      </c>
      <c r="D153" s="12" t="s">
        <v>107</v>
      </c>
      <c r="E153" s="12" t="s">
        <v>12</v>
      </c>
      <c r="F153" s="12">
        <v>104.9</v>
      </c>
      <c r="G153" s="13">
        <v>50</v>
      </c>
      <c r="H153" s="67" t="s">
        <v>28</v>
      </c>
      <c r="I153" s="8" t="s">
        <v>14</v>
      </c>
      <c r="J153" s="9"/>
      <c r="K153" s="9">
        <v>46543</v>
      </c>
    </row>
    <row r="154" spans="1:11" ht="14.4" x14ac:dyDescent="0.3">
      <c r="A154" s="3">
        <v>120</v>
      </c>
      <c r="B154" s="14"/>
      <c r="C154" s="15" t="s">
        <v>183</v>
      </c>
      <c r="D154" s="12" t="s">
        <v>65</v>
      </c>
      <c r="E154" s="12" t="s">
        <v>27</v>
      </c>
      <c r="F154" s="12">
        <v>9</v>
      </c>
      <c r="G154" s="13">
        <v>250</v>
      </c>
      <c r="H154" s="7" t="s">
        <v>13</v>
      </c>
      <c r="I154" s="8" t="s">
        <v>14</v>
      </c>
      <c r="J154" s="9"/>
      <c r="K154" s="9">
        <v>46545</v>
      </c>
    </row>
    <row r="155" spans="1:11" ht="28.2" x14ac:dyDescent="0.3">
      <c r="A155" s="3">
        <f>A154+1</f>
        <v>121</v>
      </c>
      <c r="B155" s="14"/>
      <c r="C155" s="15" t="s">
        <v>410</v>
      </c>
      <c r="D155" s="12" t="s">
        <v>125</v>
      </c>
      <c r="E155" s="12" t="s">
        <v>12</v>
      </c>
      <c r="F155" s="12">
        <v>104.1</v>
      </c>
      <c r="G155" s="16">
        <v>100</v>
      </c>
      <c r="H155" s="67" t="s">
        <v>28</v>
      </c>
      <c r="I155" s="70" t="s">
        <v>54</v>
      </c>
      <c r="J155" s="9"/>
      <c r="K155" s="9">
        <v>46554</v>
      </c>
    </row>
    <row r="156" spans="1:11" ht="15.6" x14ac:dyDescent="0.3">
      <c r="A156" s="3">
        <f>A155+1</f>
        <v>122</v>
      </c>
      <c r="B156" s="4"/>
      <c r="C156" s="11" t="s">
        <v>38</v>
      </c>
      <c r="D156" s="12" t="s">
        <v>38</v>
      </c>
      <c r="E156" s="12" t="s">
        <v>16</v>
      </c>
      <c r="F156" s="12">
        <v>39</v>
      </c>
      <c r="G156" s="27">
        <v>950</v>
      </c>
      <c r="H156" s="7" t="s">
        <v>13</v>
      </c>
      <c r="I156" s="8" t="s">
        <v>14</v>
      </c>
      <c r="J156" s="9"/>
      <c r="K156" s="9">
        <v>46557</v>
      </c>
    </row>
    <row r="157" spans="1:11" ht="14.4" x14ac:dyDescent="0.3">
      <c r="A157" s="3">
        <f>A156+1</f>
        <v>123</v>
      </c>
      <c r="B157" s="14"/>
      <c r="C157" s="15" t="s">
        <v>339</v>
      </c>
      <c r="D157" s="12" t="s">
        <v>36</v>
      </c>
      <c r="E157" s="12" t="s">
        <v>12</v>
      </c>
      <c r="F157" s="12">
        <v>93.3</v>
      </c>
      <c r="G157" s="16">
        <v>500</v>
      </c>
      <c r="H157" s="7" t="s">
        <v>13</v>
      </c>
      <c r="I157" s="8" t="s">
        <v>14</v>
      </c>
      <c r="J157" s="9"/>
      <c r="K157" s="9">
        <v>46572</v>
      </c>
    </row>
    <row r="158" spans="1:11" ht="15.6" x14ac:dyDescent="0.3">
      <c r="A158" s="3">
        <f>A157+1</f>
        <v>124</v>
      </c>
      <c r="B158" s="4"/>
      <c r="C158" s="11" t="s">
        <v>477</v>
      </c>
      <c r="D158" s="12" t="s">
        <v>11</v>
      </c>
      <c r="E158" s="12" t="s">
        <v>12</v>
      </c>
      <c r="F158" s="12">
        <v>93.9</v>
      </c>
      <c r="G158" s="27">
        <v>50</v>
      </c>
      <c r="H158" s="7" t="s">
        <v>13</v>
      </c>
      <c r="I158" s="70" t="s">
        <v>54</v>
      </c>
      <c r="J158" s="9"/>
      <c r="K158" s="9">
        <v>46572</v>
      </c>
    </row>
    <row r="159" spans="1:11" ht="14.4" x14ac:dyDescent="0.3">
      <c r="A159" s="3">
        <f>A158+1</f>
        <v>125</v>
      </c>
      <c r="B159" s="14"/>
      <c r="C159" s="15" t="s">
        <v>393</v>
      </c>
      <c r="D159" s="12" t="s">
        <v>180</v>
      </c>
      <c r="E159" s="12" t="s">
        <v>12</v>
      </c>
      <c r="F159" s="12">
        <v>93.7</v>
      </c>
      <c r="G159" s="27">
        <v>300</v>
      </c>
      <c r="H159" s="7" t="s">
        <v>13</v>
      </c>
      <c r="I159" s="23" t="s">
        <v>14</v>
      </c>
      <c r="J159" s="9"/>
      <c r="K159" s="9">
        <v>46574</v>
      </c>
    </row>
    <row r="160" spans="1:11" ht="14.4" x14ac:dyDescent="0.3">
      <c r="A160" s="3">
        <f>A159+1</f>
        <v>126</v>
      </c>
      <c r="B160" s="14"/>
      <c r="C160" s="15" t="s">
        <v>261</v>
      </c>
      <c r="D160" s="12" t="s">
        <v>22</v>
      </c>
      <c r="E160" s="12" t="s">
        <v>12</v>
      </c>
      <c r="F160" s="12">
        <v>90.9</v>
      </c>
      <c r="G160" s="27">
        <v>500</v>
      </c>
      <c r="H160" s="7" t="s">
        <v>13</v>
      </c>
      <c r="I160" s="8" t="s">
        <v>14</v>
      </c>
      <c r="J160" s="9"/>
      <c r="K160" s="9">
        <v>46581</v>
      </c>
    </row>
    <row r="161" spans="1:11" ht="14.4" x14ac:dyDescent="0.3">
      <c r="A161" s="3">
        <f>A160+1</f>
        <v>127</v>
      </c>
      <c r="B161" s="14"/>
      <c r="C161" s="15" t="s">
        <v>217</v>
      </c>
      <c r="D161" s="12" t="s">
        <v>26</v>
      </c>
      <c r="E161" s="12" t="s">
        <v>16</v>
      </c>
      <c r="F161" s="12">
        <v>43</v>
      </c>
      <c r="G161" s="13">
        <v>500</v>
      </c>
      <c r="H161" s="7" t="s">
        <v>13</v>
      </c>
      <c r="I161" s="23" t="s">
        <v>14</v>
      </c>
      <c r="J161" s="9"/>
      <c r="K161" s="9">
        <v>46584</v>
      </c>
    </row>
    <row r="162" spans="1:11" ht="14.4" x14ac:dyDescent="0.3">
      <c r="A162" s="3">
        <f>A161+1</f>
        <v>128</v>
      </c>
      <c r="B162" s="14"/>
      <c r="C162" s="15" t="s">
        <v>500</v>
      </c>
      <c r="D162" s="12" t="s">
        <v>34</v>
      </c>
      <c r="E162" s="12" t="s">
        <v>12</v>
      </c>
      <c r="F162" s="12">
        <v>97.3</v>
      </c>
      <c r="G162" s="27">
        <v>100</v>
      </c>
      <c r="H162" s="7" t="s">
        <v>13</v>
      </c>
      <c r="I162" s="8" t="s">
        <v>14</v>
      </c>
      <c r="J162" s="9"/>
      <c r="K162" s="9">
        <v>46593</v>
      </c>
    </row>
    <row r="163" spans="1:11" ht="15.6" x14ac:dyDescent="0.3">
      <c r="A163" s="3">
        <f>A162+1</f>
        <v>129</v>
      </c>
      <c r="B163" s="4"/>
      <c r="C163" s="11" t="s">
        <v>292</v>
      </c>
      <c r="D163" s="12" t="s">
        <v>51</v>
      </c>
      <c r="E163" s="12" t="s">
        <v>12</v>
      </c>
      <c r="F163" s="12">
        <v>98.3</v>
      </c>
      <c r="G163" s="27">
        <v>50</v>
      </c>
      <c r="H163" s="7" t="s">
        <v>13</v>
      </c>
      <c r="I163" s="23" t="s">
        <v>131</v>
      </c>
      <c r="J163" s="9"/>
      <c r="K163" s="9">
        <v>46603</v>
      </c>
    </row>
    <row r="164" spans="1:11" ht="14.4" x14ac:dyDescent="0.3">
      <c r="A164" s="3">
        <f>A163+1</f>
        <v>130</v>
      </c>
      <c r="B164" s="14"/>
      <c r="C164" s="15" t="s">
        <v>328</v>
      </c>
      <c r="D164" s="12" t="s">
        <v>147</v>
      </c>
      <c r="E164" s="12" t="s">
        <v>12</v>
      </c>
      <c r="F164" s="12">
        <v>96.7</v>
      </c>
      <c r="G164" s="16">
        <v>250</v>
      </c>
      <c r="H164" s="7" t="s">
        <v>13</v>
      </c>
      <c r="I164" s="8" t="s">
        <v>14</v>
      </c>
      <c r="J164" s="9"/>
      <c r="K164" s="9">
        <v>46614</v>
      </c>
    </row>
    <row r="165" spans="1:11" ht="14.4" x14ac:dyDescent="0.3">
      <c r="A165" s="3">
        <f>A164+1</f>
        <v>131</v>
      </c>
      <c r="B165" s="14"/>
      <c r="C165" s="15" t="s">
        <v>311</v>
      </c>
      <c r="D165" s="12" t="s">
        <v>107</v>
      </c>
      <c r="E165" s="12" t="s">
        <v>16</v>
      </c>
      <c r="F165" s="12">
        <v>33</v>
      </c>
      <c r="G165" s="16">
        <v>300</v>
      </c>
      <c r="H165" s="7" t="s">
        <v>13</v>
      </c>
      <c r="I165" s="24" t="s">
        <v>14</v>
      </c>
      <c r="J165" s="9"/>
      <c r="K165" s="9">
        <v>46621</v>
      </c>
    </row>
    <row r="166" spans="1:11" ht="14.4" x14ac:dyDescent="0.3">
      <c r="A166" s="3">
        <v>82</v>
      </c>
      <c r="B166" s="14"/>
      <c r="C166" s="15" t="s">
        <v>132</v>
      </c>
      <c r="D166" s="12" t="s">
        <v>81</v>
      </c>
      <c r="E166" s="12" t="s">
        <v>27</v>
      </c>
      <c r="F166" s="12">
        <v>4</v>
      </c>
      <c r="G166" s="13">
        <v>250</v>
      </c>
      <c r="H166" s="68" t="s">
        <v>13</v>
      </c>
      <c r="I166" s="8" t="s">
        <v>14</v>
      </c>
      <c r="J166" s="9"/>
      <c r="K166" s="9">
        <v>46622</v>
      </c>
    </row>
    <row r="167" spans="1:11" ht="14.4" x14ac:dyDescent="0.3">
      <c r="A167" s="3">
        <f>A166+1</f>
        <v>83</v>
      </c>
      <c r="B167" s="14"/>
      <c r="C167" s="15" t="s">
        <v>245</v>
      </c>
      <c r="D167" s="12" t="s">
        <v>87</v>
      </c>
      <c r="E167" s="12" t="s">
        <v>12</v>
      </c>
      <c r="F167" s="12">
        <v>97.5</v>
      </c>
      <c r="G167" s="27">
        <v>50</v>
      </c>
      <c r="H167" s="7" t="s">
        <v>13</v>
      </c>
      <c r="I167" s="8" t="s">
        <v>14</v>
      </c>
      <c r="J167" s="9"/>
      <c r="K167" s="9">
        <v>46622</v>
      </c>
    </row>
    <row r="168" spans="1:11" ht="14.4" x14ac:dyDescent="0.3">
      <c r="A168" s="3">
        <f>A167+1</f>
        <v>84</v>
      </c>
      <c r="B168" s="14"/>
      <c r="C168" s="15" t="s">
        <v>267</v>
      </c>
      <c r="D168" s="12" t="s">
        <v>87</v>
      </c>
      <c r="E168" s="12" t="s">
        <v>12</v>
      </c>
      <c r="F168" s="12" t="s">
        <v>181</v>
      </c>
      <c r="G168" s="27">
        <v>150</v>
      </c>
      <c r="H168" s="7" t="s">
        <v>13</v>
      </c>
      <c r="I168" s="8" t="s">
        <v>14</v>
      </c>
      <c r="J168" s="9"/>
      <c r="K168" s="9">
        <v>46622</v>
      </c>
    </row>
    <row r="169" spans="1:11" ht="31.2" x14ac:dyDescent="0.3">
      <c r="A169" s="3">
        <f>A168+1</f>
        <v>85</v>
      </c>
      <c r="B169" s="4"/>
      <c r="C169" s="11" t="s">
        <v>459</v>
      </c>
      <c r="D169" s="12" t="s">
        <v>30</v>
      </c>
      <c r="E169" s="12" t="s">
        <v>12</v>
      </c>
      <c r="F169" s="12">
        <v>98.1</v>
      </c>
      <c r="G169" s="27">
        <v>50</v>
      </c>
      <c r="H169" s="7" t="s">
        <v>13</v>
      </c>
      <c r="I169" s="8" t="s">
        <v>14</v>
      </c>
      <c r="J169" s="9"/>
      <c r="K169" s="9">
        <v>46622</v>
      </c>
    </row>
    <row r="170" spans="1:11" ht="15.6" x14ac:dyDescent="0.3">
      <c r="A170" s="3">
        <f>A169+1</f>
        <v>86</v>
      </c>
      <c r="B170" s="4"/>
      <c r="C170" s="11" t="s">
        <v>399</v>
      </c>
      <c r="D170" s="12" t="s">
        <v>30</v>
      </c>
      <c r="E170" s="12" t="s">
        <v>12</v>
      </c>
      <c r="F170" s="12">
        <v>98.3</v>
      </c>
      <c r="G170" s="27">
        <v>50</v>
      </c>
      <c r="H170" s="7" t="s">
        <v>13</v>
      </c>
      <c r="I170" s="8" t="s">
        <v>14</v>
      </c>
      <c r="J170" s="9"/>
      <c r="K170" s="9">
        <v>46635</v>
      </c>
    </row>
    <row r="171" spans="1:11" ht="14.4" x14ac:dyDescent="0.3">
      <c r="A171" s="3">
        <f>A170+1</f>
        <v>87</v>
      </c>
      <c r="B171" s="14"/>
      <c r="C171" s="15" t="s">
        <v>297</v>
      </c>
      <c r="D171" s="12" t="s">
        <v>22</v>
      </c>
      <c r="E171" s="12" t="s">
        <v>12</v>
      </c>
      <c r="F171" s="12">
        <v>104.5</v>
      </c>
      <c r="G171" s="27">
        <v>250</v>
      </c>
      <c r="H171" s="7" t="s">
        <v>13</v>
      </c>
      <c r="I171" s="23" t="s">
        <v>14</v>
      </c>
      <c r="J171" s="9"/>
      <c r="K171" s="9">
        <v>46636</v>
      </c>
    </row>
    <row r="172" spans="1:11" ht="28.2" x14ac:dyDescent="0.3">
      <c r="A172" s="3">
        <v>91</v>
      </c>
      <c r="B172" s="14"/>
      <c r="C172" s="15" t="s">
        <v>142</v>
      </c>
      <c r="D172" s="12" t="s">
        <v>107</v>
      </c>
      <c r="E172" s="12" t="s">
        <v>12</v>
      </c>
      <c r="F172" s="12">
        <v>101.9</v>
      </c>
      <c r="G172" s="13">
        <v>50</v>
      </c>
      <c r="H172" s="67" t="s">
        <v>28</v>
      </c>
      <c r="I172" s="8" t="s">
        <v>14</v>
      </c>
      <c r="J172" s="9"/>
      <c r="K172" s="9">
        <v>46642</v>
      </c>
    </row>
    <row r="173" spans="1:11" ht="14.4" x14ac:dyDescent="0.3">
      <c r="A173" s="3">
        <f>A172+1</f>
        <v>92</v>
      </c>
      <c r="B173" s="14"/>
      <c r="C173" s="15" t="s">
        <v>372</v>
      </c>
      <c r="D173" s="12" t="s">
        <v>22</v>
      </c>
      <c r="E173" s="12" t="s">
        <v>12</v>
      </c>
      <c r="F173" s="12">
        <v>97.9</v>
      </c>
      <c r="G173" s="27">
        <v>250</v>
      </c>
      <c r="H173" s="7" t="s">
        <v>13</v>
      </c>
      <c r="I173" s="8" t="s">
        <v>14</v>
      </c>
      <c r="J173" s="9"/>
      <c r="K173" s="9">
        <v>46642</v>
      </c>
    </row>
    <row r="174" spans="1:11" ht="28.2" x14ac:dyDescent="0.3">
      <c r="A174" s="3">
        <f>A173+1</f>
        <v>93</v>
      </c>
      <c r="B174" s="4"/>
      <c r="C174" s="11" t="s">
        <v>265</v>
      </c>
      <c r="D174" s="12" t="s">
        <v>30</v>
      </c>
      <c r="E174" s="12" t="s">
        <v>27</v>
      </c>
      <c r="F174" s="12">
        <v>9</v>
      </c>
      <c r="G174" s="27">
        <v>100</v>
      </c>
      <c r="H174" s="67" t="s">
        <v>28</v>
      </c>
      <c r="I174" s="23" t="s">
        <v>14</v>
      </c>
      <c r="J174" s="9"/>
      <c r="K174" s="9">
        <v>46643</v>
      </c>
    </row>
    <row r="175" spans="1:11" ht="14.4" x14ac:dyDescent="0.3">
      <c r="A175" s="3">
        <f>A174+1</f>
        <v>94</v>
      </c>
      <c r="B175" s="14"/>
      <c r="C175" s="15" t="s">
        <v>426</v>
      </c>
      <c r="D175" s="12" t="s">
        <v>65</v>
      </c>
      <c r="E175" s="12" t="s">
        <v>12</v>
      </c>
      <c r="F175" s="12">
        <v>93.5</v>
      </c>
      <c r="G175" s="27">
        <v>500</v>
      </c>
      <c r="H175" s="68" t="s">
        <v>13</v>
      </c>
      <c r="I175" s="8" t="s">
        <v>14</v>
      </c>
      <c r="J175" s="9"/>
      <c r="K175" s="9">
        <v>46644</v>
      </c>
    </row>
    <row r="176" spans="1:11" ht="15.6" x14ac:dyDescent="0.3">
      <c r="A176" s="3">
        <v>127</v>
      </c>
      <c r="B176" s="4"/>
      <c r="C176" s="11" t="s">
        <v>51</v>
      </c>
      <c r="D176" s="12" t="s">
        <v>51</v>
      </c>
      <c r="E176" s="12" t="s">
        <v>16</v>
      </c>
      <c r="F176" s="12">
        <v>19</v>
      </c>
      <c r="G176" s="13">
        <v>1000</v>
      </c>
      <c r="H176" s="7" t="s">
        <v>13</v>
      </c>
      <c r="I176" s="23" t="s">
        <v>14</v>
      </c>
      <c r="J176" s="9"/>
      <c r="K176" s="9">
        <v>46649</v>
      </c>
    </row>
    <row r="177" spans="1:11" ht="14.4" x14ac:dyDescent="0.3">
      <c r="A177" s="3">
        <f>A176+1</f>
        <v>128</v>
      </c>
      <c r="B177" s="14"/>
      <c r="C177" s="15" t="s">
        <v>349</v>
      </c>
      <c r="D177" s="12" t="s">
        <v>21</v>
      </c>
      <c r="E177" s="12" t="s">
        <v>12</v>
      </c>
      <c r="F177" s="12">
        <v>101.9</v>
      </c>
      <c r="G177" s="13">
        <v>250</v>
      </c>
      <c r="H177" s="7" t="s">
        <v>13</v>
      </c>
      <c r="I177" s="23" t="s">
        <v>14</v>
      </c>
      <c r="J177" s="9"/>
      <c r="K177" s="9">
        <v>46649</v>
      </c>
    </row>
    <row r="178" spans="1:11" ht="28.2" x14ac:dyDescent="0.3">
      <c r="A178" s="3">
        <v>138</v>
      </c>
      <c r="B178" s="14"/>
      <c r="C178" s="15" t="s">
        <v>202</v>
      </c>
      <c r="D178" s="12" t="s">
        <v>36</v>
      </c>
      <c r="E178" s="12" t="s">
        <v>27</v>
      </c>
      <c r="F178" s="12">
        <v>5</v>
      </c>
      <c r="G178" s="13">
        <v>170</v>
      </c>
      <c r="H178" s="67" t="s">
        <v>28</v>
      </c>
      <c r="I178" s="8" t="s">
        <v>14</v>
      </c>
      <c r="J178" s="26"/>
      <c r="K178" s="26">
        <v>46657</v>
      </c>
    </row>
    <row r="179" spans="1:11" ht="14.4" x14ac:dyDescent="0.3">
      <c r="A179" s="3">
        <v>95</v>
      </c>
      <c r="B179" s="14"/>
      <c r="C179" s="15" t="s">
        <v>146</v>
      </c>
      <c r="D179" s="12" t="s">
        <v>147</v>
      </c>
      <c r="E179" s="12" t="s">
        <v>16</v>
      </c>
      <c r="F179" s="12">
        <v>43</v>
      </c>
      <c r="G179" s="16">
        <v>2000</v>
      </c>
      <c r="H179" s="7" t="s">
        <v>13</v>
      </c>
      <c r="I179" s="8" t="s">
        <v>14</v>
      </c>
      <c r="J179" s="19"/>
      <c r="K179" s="19">
        <v>46679</v>
      </c>
    </row>
    <row r="180" spans="1:11" ht="14.4" x14ac:dyDescent="0.3">
      <c r="A180" s="3">
        <f>A179+1</f>
        <v>96</v>
      </c>
      <c r="B180" s="14"/>
      <c r="C180" s="15" t="s">
        <v>357</v>
      </c>
      <c r="D180" s="12" t="s">
        <v>180</v>
      </c>
      <c r="E180" s="12" t="s">
        <v>12</v>
      </c>
      <c r="F180" s="12">
        <v>88.9</v>
      </c>
      <c r="G180" s="13">
        <v>500</v>
      </c>
      <c r="H180" s="7" t="s">
        <v>13</v>
      </c>
      <c r="I180" s="8" t="s">
        <v>358</v>
      </c>
      <c r="J180" s="19"/>
      <c r="K180" s="19">
        <v>46707</v>
      </c>
    </row>
    <row r="181" spans="1:11" ht="15.6" x14ac:dyDescent="0.3">
      <c r="A181" s="3">
        <f>A180+1</f>
        <v>97</v>
      </c>
      <c r="B181" s="4"/>
      <c r="C181" s="11" t="s">
        <v>343</v>
      </c>
      <c r="D181" s="12" t="s">
        <v>153</v>
      </c>
      <c r="E181" s="12" t="s">
        <v>12</v>
      </c>
      <c r="F181" s="12">
        <v>95.5</v>
      </c>
      <c r="G181" s="13">
        <v>250</v>
      </c>
      <c r="H181" s="7" t="s">
        <v>13</v>
      </c>
      <c r="I181" s="23" t="s">
        <v>14</v>
      </c>
      <c r="J181" s="19"/>
      <c r="K181" s="19">
        <v>46710</v>
      </c>
    </row>
    <row r="182" spans="1:11" ht="14.4" x14ac:dyDescent="0.3">
      <c r="A182" s="3">
        <v>76</v>
      </c>
      <c r="B182" s="14"/>
      <c r="C182" s="15" t="s">
        <v>126</v>
      </c>
      <c r="D182" s="12" t="s">
        <v>44</v>
      </c>
      <c r="E182" s="12" t="s">
        <v>12</v>
      </c>
      <c r="F182" s="12">
        <v>98.1</v>
      </c>
      <c r="G182" s="13">
        <v>250</v>
      </c>
      <c r="H182" s="68" t="s">
        <v>13</v>
      </c>
      <c r="I182" s="8" t="s">
        <v>14</v>
      </c>
      <c r="J182" s="19"/>
      <c r="K182" s="19">
        <v>46718</v>
      </c>
    </row>
    <row r="183" spans="1:11" ht="15.6" x14ac:dyDescent="0.3">
      <c r="A183" s="3">
        <f>A182+1</f>
        <v>77</v>
      </c>
      <c r="B183" s="4"/>
      <c r="C183" s="11" t="s">
        <v>229</v>
      </c>
      <c r="D183" s="12" t="s">
        <v>30</v>
      </c>
      <c r="E183" s="12" t="s">
        <v>27</v>
      </c>
      <c r="F183" s="12">
        <v>9</v>
      </c>
      <c r="G183" s="13">
        <v>100</v>
      </c>
      <c r="H183" s="68" t="s">
        <v>13</v>
      </c>
      <c r="I183" s="71" t="s">
        <v>31</v>
      </c>
      <c r="J183" s="9"/>
      <c r="K183" s="9">
        <v>46722</v>
      </c>
    </row>
    <row r="184" spans="1:11" ht="15.6" x14ac:dyDescent="0.3">
      <c r="A184" s="3">
        <f>A183+1</f>
        <v>78</v>
      </c>
      <c r="B184" s="4"/>
      <c r="C184" s="11" t="s">
        <v>360</v>
      </c>
      <c r="D184" s="12" t="s">
        <v>51</v>
      </c>
      <c r="E184" s="12" t="s">
        <v>27</v>
      </c>
      <c r="F184" s="12">
        <v>7</v>
      </c>
      <c r="G184" s="13">
        <v>100</v>
      </c>
      <c r="H184" s="7" t="s">
        <v>13</v>
      </c>
      <c r="I184" s="21" t="s">
        <v>54</v>
      </c>
      <c r="J184" s="9"/>
      <c r="K184" s="9">
        <v>46726</v>
      </c>
    </row>
    <row r="185" spans="1:11" ht="15.6" x14ac:dyDescent="0.3">
      <c r="A185" s="3">
        <v>10</v>
      </c>
      <c r="B185" s="4"/>
      <c r="C185" s="11" t="s">
        <v>32</v>
      </c>
      <c r="D185" s="12" t="s">
        <v>30</v>
      </c>
      <c r="E185" s="12" t="s">
        <v>12</v>
      </c>
      <c r="F185" s="12">
        <v>100.5</v>
      </c>
      <c r="G185" s="13">
        <v>50</v>
      </c>
      <c r="H185" s="7" t="s">
        <v>13</v>
      </c>
      <c r="I185" s="71" t="s">
        <v>31</v>
      </c>
      <c r="J185" s="19"/>
      <c r="K185" s="19">
        <v>46732</v>
      </c>
    </row>
    <row r="186" spans="1:11" ht="14.4" x14ac:dyDescent="0.3">
      <c r="A186" s="3">
        <v>30</v>
      </c>
      <c r="B186" s="14"/>
      <c r="C186" s="15" t="s">
        <v>64</v>
      </c>
      <c r="D186" s="12" t="s">
        <v>65</v>
      </c>
      <c r="E186" s="12" t="s">
        <v>12</v>
      </c>
      <c r="F186" s="12">
        <v>101.7</v>
      </c>
      <c r="G186" s="13">
        <v>100</v>
      </c>
      <c r="H186" s="7" t="s">
        <v>13</v>
      </c>
      <c r="I186" s="23" t="s">
        <v>14</v>
      </c>
      <c r="J186" s="19"/>
      <c r="K186" s="19">
        <v>46732</v>
      </c>
    </row>
    <row r="187" spans="1:11" ht="14.4" x14ac:dyDescent="0.3">
      <c r="A187" s="3">
        <v>47</v>
      </c>
      <c r="B187" s="14"/>
      <c r="C187" s="15" t="s">
        <v>83</v>
      </c>
      <c r="D187" s="12" t="s">
        <v>44</v>
      </c>
      <c r="E187" s="12" t="s">
        <v>27</v>
      </c>
      <c r="F187" s="12">
        <v>5</v>
      </c>
      <c r="G187" s="13">
        <v>350</v>
      </c>
      <c r="H187" s="7" t="s">
        <v>13</v>
      </c>
      <c r="I187" s="8" t="s">
        <v>84</v>
      </c>
      <c r="J187" s="19"/>
      <c r="K187" s="19">
        <v>46732</v>
      </c>
    </row>
    <row r="188" spans="1:11" ht="14.4" x14ac:dyDescent="0.3">
      <c r="A188" s="3">
        <v>132</v>
      </c>
      <c r="B188" s="14"/>
      <c r="C188" s="15" t="s">
        <v>195</v>
      </c>
      <c r="D188" s="12" t="s">
        <v>87</v>
      </c>
      <c r="E188" s="12" t="s">
        <v>12</v>
      </c>
      <c r="F188" s="12" t="s">
        <v>196</v>
      </c>
      <c r="G188" s="13">
        <v>50</v>
      </c>
      <c r="H188" s="7" t="s">
        <v>13</v>
      </c>
      <c r="I188" s="21" t="s">
        <v>54</v>
      </c>
      <c r="J188" s="19"/>
      <c r="K188" s="19">
        <v>46732</v>
      </c>
    </row>
    <row r="189" spans="1:11" ht="15.6" x14ac:dyDescent="0.3">
      <c r="A189" s="3">
        <f>A188+1</f>
        <v>133</v>
      </c>
      <c r="B189" s="4"/>
      <c r="C189" s="11" t="s">
        <v>232</v>
      </c>
      <c r="D189" s="12" t="s">
        <v>153</v>
      </c>
      <c r="E189" s="12" t="s">
        <v>16</v>
      </c>
      <c r="F189" s="12">
        <v>49</v>
      </c>
      <c r="G189" s="27">
        <v>950</v>
      </c>
      <c r="H189" s="7" t="s">
        <v>13</v>
      </c>
      <c r="I189" s="8" t="s">
        <v>14</v>
      </c>
      <c r="J189" s="19"/>
      <c r="K189" s="19">
        <v>46732</v>
      </c>
    </row>
    <row r="190" spans="1:11" ht="15.6" x14ac:dyDescent="0.3">
      <c r="A190" s="3">
        <f>A189+1</f>
        <v>134</v>
      </c>
      <c r="B190" s="4"/>
      <c r="C190" s="11" t="s">
        <v>417</v>
      </c>
      <c r="D190" s="12" t="s">
        <v>30</v>
      </c>
      <c r="E190" s="12" t="s">
        <v>12</v>
      </c>
      <c r="F190" s="12">
        <v>99.3</v>
      </c>
      <c r="G190" s="27">
        <v>50</v>
      </c>
      <c r="H190" s="7" t="s">
        <v>13</v>
      </c>
      <c r="I190" s="71" t="s">
        <v>31</v>
      </c>
      <c r="J190" s="19"/>
      <c r="K190" s="19">
        <v>46732</v>
      </c>
    </row>
    <row r="191" spans="1:11" ht="28.2" x14ac:dyDescent="0.3">
      <c r="A191" s="3">
        <v>49</v>
      </c>
      <c r="B191" s="14"/>
      <c r="C191" s="15" t="s">
        <v>86</v>
      </c>
      <c r="D191" s="12" t="s">
        <v>87</v>
      </c>
      <c r="E191" s="12" t="s">
        <v>12</v>
      </c>
      <c r="F191" s="12" t="s">
        <v>88</v>
      </c>
      <c r="G191" s="13">
        <v>100</v>
      </c>
      <c r="H191" s="67" t="s">
        <v>28</v>
      </c>
      <c r="I191" s="8" t="s">
        <v>14</v>
      </c>
      <c r="J191" s="19"/>
      <c r="K191" s="19">
        <v>46733</v>
      </c>
    </row>
    <row r="192" spans="1:11" ht="28.2" x14ac:dyDescent="0.3">
      <c r="A192" s="3">
        <f>A191+1</f>
        <v>50</v>
      </c>
      <c r="B192" s="4"/>
      <c r="C192" s="11" t="s">
        <v>480</v>
      </c>
      <c r="D192" s="12" t="s">
        <v>113</v>
      </c>
      <c r="E192" s="12" t="s">
        <v>12</v>
      </c>
      <c r="F192" s="12">
        <v>90.3</v>
      </c>
      <c r="G192" s="27">
        <v>100</v>
      </c>
      <c r="H192" s="67" t="s">
        <v>28</v>
      </c>
      <c r="I192" s="8" t="s">
        <v>14</v>
      </c>
      <c r="J192" s="19"/>
      <c r="K192" s="19">
        <v>46735</v>
      </c>
    </row>
    <row r="193" spans="1:11" ht="28.2" x14ac:dyDescent="0.3">
      <c r="A193" s="3">
        <f>A192+1</f>
        <v>51</v>
      </c>
      <c r="B193" s="14"/>
      <c r="C193" s="15" t="s">
        <v>369</v>
      </c>
      <c r="D193" s="12" t="s">
        <v>81</v>
      </c>
      <c r="E193" s="12" t="s">
        <v>12</v>
      </c>
      <c r="F193" s="12">
        <v>100.9</v>
      </c>
      <c r="G193" s="28"/>
      <c r="H193" s="7" t="s">
        <v>13</v>
      </c>
      <c r="I193" s="8" t="s">
        <v>14</v>
      </c>
      <c r="J193" s="19"/>
      <c r="K193" s="19">
        <v>46736</v>
      </c>
    </row>
    <row r="194" spans="1:11" ht="14.4" x14ac:dyDescent="0.3">
      <c r="A194" s="3">
        <v>97</v>
      </c>
      <c r="B194" s="14"/>
      <c r="C194" s="15" t="s">
        <v>149</v>
      </c>
      <c r="D194" s="12" t="s">
        <v>147</v>
      </c>
      <c r="E194" s="12" t="s">
        <v>71</v>
      </c>
      <c r="F194" s="12">
        <v>1280</v>
      </c>
      <c r="G194" s="13">
        <v>950</v>
      </c>
      <c r="H194" s="68" t="s">
        <v>13</v>
      </c>
      <c r="I194" s="23" t="s">
        <v>14</v>
      </c>
      <c r="J194" s="19"/>
      <c r="K194" s="19">
        <v>46739</v>
      </c>
    </row>
    <row r="195" spans="1:11" ht="14.4" x14ac:dyDescent="0.3">
      <c r="A195" s="3">
        <f>A194+1</f>
        <v>98</v>
      </c>
      <c r="B195" s="14"/>
      <c r="C195" s="15" t="s">
        <v>215</v>
      </c>
      <c r="D195" s="12" t="s">
        <v>44</v>
      </c>
      <c r="E195" s="12" t="s">
        <v>16</v>
      </c>
      <c r="F195" s="12">
        <v>35</v>
      </c>
      <c r="G195" s="13">
        <v>250</v>
      </c>
      <c r="H195" s="7" t="s">
        <v>13</v>
      </c>
      <c r="I195" s="8" t="s">
        <v>14</v>
      </c>
      <c r="J195" s="19"/>
      <c r="K195" s="19">
        <v>46749</v>
      </c>
    </row>
    <row r="196" spans="1:11" ht="28.2" x14ac:dyDescent="0.3">
      <c r="A196" s="3">
        <f>A195+1</f>
        <v>99</v>
      </c>
      <c r="B196" s="14"/>
      <c r="C196" s="15" t="s">
        <v>421</v>
      </c>
      <c r="D196" s="12" t="s">
        <v>36</v>
      </c>
      <c r="E196" s="12" t="s">
        <v>12</v>
      </c>
      <c r="F196" s="12">
        <v>95.3</v>
      </c>
      <c r="G196" s="16">
        <v>100</v>
      </c>
      <c r="H196" s="7" t="s">
        <v>13</v>
      </c>
      <c r="I196" s="8" t="s">
        <v>14</v>
      </c>
      <c r="J196" s="19"/>
      <c r="K196" s="19">
        <v>46749</v>
      </c>
    </row>
    <row r="197" spans="1:11" ht="14.4" x14ac:dyDescent="0.3">
      <c r="A197" s="3">
        <f>A196+1</f>
        <v>100</v>
      </c>
      <c r="B197" s="14"/>
      <c r="C197" s="15" t="s">
        <v>434</v>
      </c>
      <c r="D197" s="12" t="s">
        <v>65</v>
      </c>
      <c r="E197" s="12" t="s">
        <v>27</v>
      </c>
      <c r="F197" s="12">
        <v>6</v>
      </c>
      <c r="G197" s="27">
        <v>100</v>
      </c>
      <c r="H197" s="68" t="s">
        <v>13</v>
      </c>
      <c r="I197" s="8" t="s">
        <v>14</v>
      </c>
      <c r="J197" s="9"/>
      <c r="K197" s="9">
        <v>46776</v>
      </c>
    </row>
    <row r="198" spans="1:11" ht="14.4" x14ac:dyDescent="0.3">
      <c r="A198" s="3">
        <f>A197+1</f>
        <v>101</v>
      </c>
      <c r="B198" s="14"/>
      <c r="C198" s="15" t="s">
        <v>426</v>
      </c>
      <c r="D198" s="12" t="s">
        <v>65</v>
      </c>
      <c r="E198" s="12" t="s">
        <v>27</v>
      </c>
      <c r="F198" s="12">
        <v>9</v>
      </c>
      <c r="G198" s="27">
        <v>300</v>
      </c>
      <c r="H198" s="7" t="s">
        <v>13</v>
      </c>
      <c r="I198" s="8" t="s">
        <v>14</v>
      </c>
      <c r="J198" s="9"/>
      <c r="K198" s="9">
        <v>46777</v>
      </c>
    </row>
    <row r="199" spans="1:11" ht="28.2" x14ac:dyDescent="0.3">
      <c r="A199" s="3">
        <f>A198+1</f>
        <v>102</v>
      </c>
      <c r="B199" s="4"/>
      <c r="C199" s="11" t="s">
        <v>480</v>
      </c>
      <c r="D199" s="12" t="s">
        <v>113</v>
      </c>
      <c r="E199" s="12" t="s">
        <v>27</v>
      </c>
      <c r="F199" s="12">
        <v>6</v>
      </c>
      <c r="G199" s="27">
        <v>100</v>
      </c>
      <c r="H199" s="67" t="s">
        <v>28</v>
      </c>
      <c r="I199" s="8" t="s">
        <v>14</v>
      </c>
      <c r="J199" s="9"/>
      <c r="K199" s="9">
        <v>46791</v>
      </c>
    </row>
    <row r="200" spans="1:11" ht="15.6" x14ac:dyDescent="0.3">
      <c r="A200" s="3">
        <f>A199+1</f>
        <v>103</v>
      </c>
      <c r="B200" s="4"/>
      <c r="C200" s="11" t="s">
        <v>269</v>
      </c>
      <c r="D200" s="12" t="s">
        <v>11</v>
      </c>
      <c r="E200" s="12" t="s">
        <v>12</v>
      </c>
      <c r="F200" s="12">
        <v>99.7</v>
      </c>
      <c r="G200" s="27">
        <v>50</v>
      </c>
      <c r="H200" s="7" t="s">
        <v>13</v>
      </c>
      <c r="I200" s="18" t="s">
        <v>31</v>
      </c>
      <c r="J200" s="9"/>
      <c r="K200" s="9">
        <v>46795</v>
      </c>
    </row>
    <row r="201" spans="1:11" ht="15.6" x14ac:dyDescent="0.3">
      <c r="A201" s="3">
        <v>9</v>
      </c>
      <c r="B201" s="4"/>
      <c r="C201" s="11" t="s">
        <v>29</v>
      </c>
      <c r="D201" s="12" t="s">
        <v>30</v>
      </c>
      <c r="E201" s="12" t="s">
        <v>12</v>
      </c>
      <c r="F201" s="12">
        <v>97.1</v>
      </c>
      <c r="G201" s="13">
        <v>50</v>
      </c>
      <c r="H201" s="7" t="s">
        <v>13</v>
      </c>
      <c r="I201" s="72" t="s">
        <v>31</v>
      </c>
      <c r="J201" s="9"/>
      <c r="K201" s="9">
        <v>46806</v>
      </c>
    </row>
    <row r="202" spans="1:11" ht="14.4" x14ac:dyDescent="0.3">
      <c r="A202" s="3">
        <v>119</v>
      </c>
      <c r="B202" s="14"/>
      <c r="C202" s="15" t="s">
        <v>183</v>
      </c>
      <c r="D202" s="12" t="s">
        <v>65</v>
      </c>
      <c r="E202" s="12" t="s">
        <v>12</v>
      </c>
      <c r="F202" s="12">
        <v>95.9</v>
      </c>
      <c r="G202" s="13">
        <v>200</v>
      </c>
      <c r="H202" s="7" t="s">
        <v>13</v>
      </c>
      <c r="I202" s="8" t="s">
        <v>14</v>
      </c>
      <c r="J202" s="9"/>
      <c r="K202" s="9">
        <v>46827</v>
      </c>
    </row>
    <row r="203" spans="1:11" ht="15.6" x14ac:dyDescent="0.3">
      <c r="A203" s="3">
        <f>A202+1</f>
        <v>120</v>
      </c>
      <c r="B203" s="4"/>
      <c r="C203" s="11" t="s">
        <v>321</v>
      </c>
      <c r="D203" s="12" t="s">
        <v>38</v>
      </c>
      <c r="E203" s="12" t="s">
        <v>12</v>
      </c>
      <c r="F203" s="12">
        <v>98.3</v>
      </c>
      <c r="G203" s="27">
        <v>150</v>
      </c>
      <c r="H203" s="68" t="s">
        <v>13</v>
      </c>
      <c r="I203" s="8" t="s">
        <v>14</v>
      </c>
      <c r="J203" s="9"/>
      <c r="K203" s="9">
        <v>46827</v>
      </c>
    </row>
    <row r="204" spans="1:11" ht="15.6" x14ac:dyDescent="0.3">
      <c r="A204" s="3">
        <f>A203+1</f>
        <v>121</v>
      </c>
      <c r="B204" s="4"/>
      <c r="C204" s="11" t="s">
        <v>337</v>
      </c>
      <c r="D204" s="12" t="s">
        <v>11</v>
      </c>
      <c r="E204" s="27" t="s">
        <v>27</v>
      </c>
      <c r="F204" s="12">
        <v>6</v>
      </c>
      <c r="G204" s="27">
        <v>50</v>
      </c>
      <c r="H204" s="7" t="s">
        <v>13</v>
      </c>
      <c r="I204" s="72" t="s">
        <v>31</v>
      </c>
      <c r="J204" s="9"/>
      <c r="K204" s="9">
        <v>46839</v>
      </c>
    </row>
    <row r="205" spans="1:11" ht="15.6" x14ac:dyDescent="0.3">
      <c r="A205" s="3">
        <f>A204+1</f>
        <v>122</v>
      </c>
      <c r="B205" s="4"/>
      <c r="C205" s="11" t="s">
        <v>506</v>
      </c>
      <c r="D205" s="12" t="s">
        <v>11</v>
      </c>
      <c r="E205" s="12" t="s">
        <v>12</v>
      </c>
      <c r="F205" s="12">
        <v>96.5</v>
      </c>
      <c r="G205" s="27">
        <v>100</v>
      </c>
      <c r="H205" s="7" t="s">
        <v>13</v>
      </c>
      <c r="I205" s="71" t="s">
        <v>31</v>
      </c>
      <c r="J205" s="9"/>
      <c r="K205" s="9">
        <v>46839</v>
      </c>
    </row>
    <row r="206" spans="1:11" ht="14.4" x14ac:dyDescent="0.3">
      <c r="A206" s="3">
        <f>A205+1</f>
        <v>123</v>
      </c>
      <c r="B206" s="14"/>
      <c r="C206" s="15" t="s">
        <v>467</v>
      </c>
      <c r="D206" s="12" t="s">
        <v>26</v>
      </c>
      <c r="E206" s="12" t="s">
        <v>12</v>
      </c>
      <c r="F206" s="12">
        <v>98.5</v>
      </c>
      <c r="G206" s="16">
        <v>50</v>
      </c>
      <c r="H206" s="7" t="s">
        <v>13</v>
      </c>
      <c r="I206" s="21" t="s">
        <v>54</v>
      </c>
      <c r="J206" s="9"/>
      <c r="K206" s="9">
        <v>46861</v>
      </c>
    </row>
    <row r="207" spans="1:11" ht="14.4" x14ac:dyDescent="0.3">
      <c r="A207" s="3">
        <f>A206+1</f>
        <v>124</v>
      </c>
      <c r="B207" s="14"/>
      <c r="C207" s="15" t="s">
        <v>516</v>
      </c>
      <c r="D207" s="12" t="s">
        <v>26</v>
      </c>
      <c r="E207" s="12" t="s">
        <v>12</v>
      </c>
      <c r="F207" s="12">
        <v>107.7</v>
      </c>
      <c r="G207" s="16">
        <v>250</v>
      </c>
      <c r="H207" s="7" t="s">
        <v>13</v>
      </c>
      <c r="I207" s="23" t="s">
        <v>98</v>
      </c>
      <c r="J207" s="9"/>
      <c r="K207" s="9">
        <v>46868</v>
      </c>
    </row>
    <row r="208" spans="1:11" ht="15.6" x14ac:dyDescent="0.3">
      <c r="A208" s="3">
        <f>A207+1</f>
        <v>125</v>
      </c>
      <c r="B208" s="4"/>
      <c r="C208" s="11" t="s">
        <v>113</v>
      </c>
      <c r="D208" s="12" t="s">
        <v>113</v>
      </c>
      <c r="E208" s="12" t="s">
        <v>12</v>
      </c>
      <c r="F208" s="12">
        <v>98.7</v>
      </c>
      <c r="G208" s="16">
        <v>1000</v>
      </c>
      <c r="H208" s="68" t="s">
        <v>13</v>
      </c>
      <c r="I208" s="8" t="s">
        <v>471</v>
      </c>
      <c r="J208" s="9"/>
      <c r="K208" s="9">
        <v>46886</v>
      </c>
    </row>
    <row r="209" spans="1:11" ht="28.2" x14ac:dyDescent="0.3">
      <c r="A209" s="3">
        <f>A208+1</f>
        <v>126</v>
      </c>
      <c r="B209" s="14"/>
      <c r="C209" s="15" t="s">
        <v>36</v>
      </c>
      <c r="D209" s="12" t="s">
        <v>36</v>
      </c>
      <c r="E209" s="12" t="s">
        <v>57</v>
      </c>
      <c r="F209" s="12">
        <v>1310</v>
      </c>
      <c r="G209" s="16">
        <v>3000</v>
      </c>
      <c r="H209" s="67" t="s">
        <v>28</v>
      </c>
      <c r="I209" s="8" t="s">
        <v>14</v>
      </c>
      <c r="J209" s="9"/>
      <c r="K209" s="9">
        <v>46931</v>
      </c>
    </row>
    <row r="210" spans="1:11" ht="14.4" x14ac:dyDescent="0.3">
      <c r="A210" s="3">
        <v>45</v>
      </c>
      <c r="B210" s="14"/>
      <c r="C210" s="15" t="s">
        <v>79</v>
      </c>
      <c r="D210" s="12" t="s">
        <v>77</v>
      </c>
      <c r="E210" s="12" t="s">
        <v>12</v>
      </c>
      <c r="F210" s="12">
        <v>92.5</v>
      </c>
      <c r="G210" s="13">
        <v>500</v>
      </c>
      <c r="H210" s="7" t="s">
        <v>13</v>
      </c>
      <c r="I210" s="8" t="s">
        <v>14</v>
      </c>
      <c r="J210" s="9"/>
      <c r="K210" s="9">
        <v>46941</v>
      </c>
    </row>
    <row r="211" spans="1:11" ht="31.2" x14ac:dyDescent="0.3">
      <c r="A211" s="3">
        <f>A210+1</f>
        <v>46</v>
      </c>
      <c r="B211" s="4"/>
      <c r="C211" s="11" t="s">
        <v>396</v>
      </c>
      <c r="D211" s="12" t="s">
        <v>30</v>
      </c>
      <c r="E211" s="12" t="s">
        <v>27</v>
      </c>
      <c r="F211" s="12">
        <v>2</v>
      </c>
      <c r="G211" s="27">
        <v>950</v>
      </c>
      <c r="H211" s="7" t="s">
        <v>13</v>
      </c>
      <c r="I211" s="8" t="s">
        <v>14</v>
      </c>
      <c r="J211" s="19"/>
      <c r="K211" s="19">
        <v>46951</v>
      </c>
    </row>
    <row r="212" spans="1:11" ht="15.6" x14ac:dyDescent="0.3">
      <c r="A212" s="3">
        <f>A211+1</f>
        <v>47</v>
      </c>
      <c r="B212" s="4"/>
      <c r="C212" s="11" t="s">
        <v>322</v>
      </c>
      <c r="D212" s="12" t="s">
        <v>11</v>
      </c>
      <c r="E212" s="12" t="s">
        <v>27</v>
      </c>
      <c r="F212" s="12">
        <v>13</v>
      </c>
      <c r="G212" s="27">
        <v>100</v>
      </c>
      <c r="H212" s="7" t="s">
        <v>13</v>
      </c>
      <c r="I212" s="21" t="s">
        <v>54</v>
      </c>
      <c r="J212" s="9"/>
      <c r="K212" s="9">
        <v>46958</v>
      </c>
    </row>
    <row r="213" spans="1:11" ht="14.4" x14ac:dyDescent="0.3">
      <c r="A213" s="3">
        <f>A212+1</f>
        <v>48</v>
      </c>
      <c r="B213" s="14"/>
      <c r="C213" s="15" t="s">
        <v>36</v>
      </c>
      <c r="D213" s="12" t="s">
        <v>36</v>
      </c>
      <c r="E213" s="12" t="s">
        <v>16</v>
      </c>
      <c r="F213" s="12">
        <v>39</v>
      </c>
      <c r="G213" s="16">
        <v>500</v>
      </c>
      <c r="H213" s="7" t="s">
        <v>13</v>
      </c>
      <c r="I213" s="8" t="s">
        <v>14</v>
      </c>
      <c r="J213" s="9"/>
      <c r="K213" s="9">
        <v>46969</v>
      </c>
    </row>
    <row r="214" spans="1:11" ht="14.4" x14ac:dyDescent="0.3">
      <c r="A214" s="3">
        <v>94</v>
      </c>
      <c r="B214" s="14"/>
      <c r="C214" s="15" t="s">
        <v>144</v>
      </c>
      <c r="D214" s="12" t="s">
        <v>125</v>
      </c>
      <c r="E214" s="12" t="s">
        <v>27</v>
      </c>
      <c r="F214" s="12">
        <v>4</v>
      </c>
      <c r="G214" s="13">
        <v>500</v>
      </c>
      <c r="H214" s="7" t="s">
        <v>13</v>
      </c>
      <c r="I214" s="8" t="s">
        <v>145</v>
      </c>
      <c r="J214" s="9"/>
      <c r="K214" s="9">
        <v>46973</v>
      </c>
    </row>
    <row r="215" spans="1:11" ht="28.2" x14ac:dyDescent="0.3">
      <c r="A215" s="3">
        <f>A214+1</f>
        <v>95</v>
      </c>
      <c r="B215" s="14"/>
      <c r="C215" s="15" t="s">
        <v>355</v>
      </c>
      <c r="D215" s="12" t="s">
        <v>26</v>
      </c>
      <c r="E215" s="12" t="s">
        <v>12</v>
      </c>
      <c r="F215" s="12">
        <v>98.5</v>
      </c>
      <c r="G215" s="13">
        <v>50</v>
      </c>
      <c r="H215" s="69" t="s">
        <v>48</v>
      </c>
      <c r="I215" s="8" t="s">
        <v>108</v>
      </c>
      <c r="J215" s="9"/>
      <c r="K215" s="9">
        <v>46988</v>
      </c>
    </row>
    <row r="216" spans="1:11" ht="14.4" x14ac:dyDescent="0.3">
      <c r="A216" s="3">
        <v>57</v>
      </c>
      <c r="B216" s="14"/>
      <c r="C216" s="15" t="s">
        <v>81</v>
      </c>
      <c r="D216" s="12" t="s">
        <v>81</v>
      </c>
      <c r="E216" s="12" t="s">
        <v>16</v>
      </c>
      <c r="F216" s="12">
        <v>47</v>
      </c>
      <c r="G216" s="13">
        <v>250</v>
      </c>
      <c r="H216" s="7" t="s">
        <v>13</v>
      </c>
      <c r="I216" s="8" t="s">
        <v>14</v>
      </c>
      <c r="J216" s="9"/>
      <c r="K216" s="9">
        <v>46991</v>
      </c>
    </row>
    <row r="217" spans="1:11" ht="14.4" x14ac:dyDescent="0.3">
      <c r="A217" s="3">
        <v>72</v>
      </c>
      <c r="B217" s="14"/>
      <c r="C217" s="15" t="s">
        <v>121</v>
      </c>
      <c r="D217" s="12" t="s">
        <v>26</v>
      </c>
      <c r="E217" s="12" t="s">
        <v>27</v>
      </c>
      <c r="F217" s="12">
        <v>12</v>
      </c>
      <c r="G217" s="13">
        <v>100</v>
      </c>
      <c r="H217" s="7" t="s">
        <v>13</v>
      </c>
      <c r="I217" s="73" t="s">
        <v>122</v>
      </c>
      <c r="J217" s="9"/>
      <c r="K217" s="9">
        <v>47022</v>
      </c>
    </row>
    <row r="218" spans="1:11" ht="14.4" x14ac:dyDescent="0.3">
      <c r="A218" s="3">
        <v>55</v>
      </c>
      <c r="B218" s="14"/>
      <c r="C218" s="15" t="s">
        <v>97</v>
      </c>
      <c r="D218" s="12" t="s">
        <v>34</v>
      </c>
      <c r="E218" s="12" t="s">
        <v>12</v>
      </c>
      <c r="F218" s="12">
        <v>93.7</v>
      </c>
      <c r="G218" s="13">
        <v>50</v>
      </c>
      <c r="H218" s="7" t="s">
        <v>13</v>
      </c>
      <c r="I218" s="8" t="s">
        <v>98</v>
      </c>
      <c r="J218" s="19"/>
      <c r="K218" s="19">
        <v>47099</v>
      </c>
    </row>
    <row r="219" spans="1:11" ht="28.2" x14ac:dyDescent="0.3">
      <c r="A219" s="3">
        <f>A218+1</f>
        <v>56</v>
      </c>
      <c r="B219" s="14"/>
      <c r="C219" s="15" t="s">
        <v>390</v>
      </c>
      <c r="D219" s="12" t="s">
        <v>24</v>
      </c>
      <c r="E219" s="12" t="s">
        <v>12</v>
      </c>
      <c r="F219" s="12">
        <v>101.3</v>
      </c>
      <c r="G219" s="27">
        <v>1000</v>
      </c>
      <c r="H219" s="7" t="s">
        <v>13</v>
      </c>
      <c r="I219" s="23" t="s">
        <v>84</v>
      </c>
      <c r="J219" s="10" t="s">
        <v>391</v>
      </c>
      <c r="K219" s="19">
        <v>47099</v>
      </c>
    </row>
    <row r="220" spans="1:11" ht="14.4" x14ac:dyDescent="0.3">
      <c r="A220" s="3">
        <v>74</v>
      </c>
      <c r="B220" s="14"/>
      <c r="C220" s="15" t="s">
        <v>123</v>
      </c>
      <c r="D220" s="12" t="s">
        <v>22</v>
      </c>
      <c r="E220" s="12" t="s">
        <v>12</v>
      </c>
      <c r="F220" s="12">
        <v>94.9</v>
      </c>
      <c r="G220" s="13">
        <v>250</v>
      </c>
      <c r="H220" s="7" t="s">
        <v>13</v>
      </c>
      <c r="I220" s="21" t="s">
        <v>54</v>
      </c>
      <c r="J220" s="9"/>
      <c r="K220" s="9">
        <v>47125</v>
      </c>
    </row>
    <row r="221" spans="1:11" ht="14.4" x14ac:dyDescent="0.3">
      <c r="A221" s="3">
        <f>A220+1</f>
        <v>75</v>
      </c>
      <c r="B221" s="14"/>
      <c r="C221" s="15" t="s">
        <v>456</v>
      </c>
      <c r="D221" s="12" t="s">
        <v>44</v>
      </c>
      <c r="E221" s="12" t="s">
        <v>12</v>
      </c>
      <c r="F221" s="12">
        <v>97.1</v>
      </c>
      <c r="G221" s="27">
        <v>100</v>
      </c>
      <c r="H221" s="68" t="s">
        <v>13</v>
      </c>
      <c r="I221" s="8" t="s">
        <v>14</v>
      </c>
      <c r="J221" s="9"/>
      <c r="K221" s="9">
        <v>47157</v>
      </c>
    </row>
    <row r="222" spans="1:11" ht="15.6" x14ac:dyDescent="0.3">
      <c r="A222" s="3">
        <f>A221+1</f>
        <v>76</v>
      </c>
      <c r="B222" s="4"/>
      <c r="C222" s="11" t="s">
        <v>494</v>
      </c>
      <c r="D222" s="12" t="s">
        <v>234</v>
      </c>
      <c r="E222" s="12" t="s">
        <v>12</v>
      </c>
      <c r="F222" s="12">
        <v>89.5</v>
      </c>
      <c r="G222" s="27">
        <v>250</v>
      </c>
      <c r="H222" s="7" t="s">
        <v>13</v>
      </c>
      <c r="I222" s="8" t="s">
        <v>14</v>
      </c>
      <c r="J222" s="9"/>
      <c r="K222" s="9">
        <v>47157</v>
      </c>
    </row>
    <row r="223" spans="1:11" ht="14.4" x14ac:dyDescent="0.3">
      <c r="A223" s="3">
        <f>A222+1</f>
        <v>77</v>
      </c>
      <c r="B223" s="14"/>
      <c r="C223" s="15" t="s">
        <v>479</v>
      </c>
      <c r="D223" s="12" t="s">
        <v>107</v>
      </c>
      <c r="E223" s="12" t="s">
        <v>12</v>
      </c>
      <c r="F223" s="12">
        <v>91.1</v>
      </c>
      <c r="G223" s="16">
        <v>500</v>
      </c>
      <c r="H223" s="7" t="s">
        <v>13</v>
      </c>
      <c r="I223" s="8" t="s">
        <v>14</v>
      </c>
      <c r="J223" s="9"/>
      <c r="K223" s="9">
        <v>47231</v>
      </c>
    </row>
    <row r="224" spans="1:11" ht="28.2" x14ac:dyDescent="0.3">
      <c r="A224" s="3">
        <f>A223+1</f>
        <v>78</v>
      </c>
      <c r="B224" s="14"/>
      <c r="C224" s="15" t="s">
        <v>465</v>
      </c>
      <c r="D224" s="12" t="s">
        <v>87</v>
      </c>
      <c r="E224" s="12" t="s">
        <v>12</v>
      </c>
      <c r="F224" s="12" t="s">
        <v>466</v>
      </c>
      <c r="G224" s="27">
        <v>250</v>
      </c>
      <c r="H224" s="7" t="s">
        <v>13</v>
      </c>
      <c r="I224" s="70" t="s">
        <v>54</v>
      </c>
      <c r="J224" s="9"/>
      <c r="K224" s="9">
        <v>47279</v>
      </c>
    </row>
    <row r="225" spans="1:11" ht="14.4" x14ac:dyDescent="0.3">
      <c r="A225" s="3">
        <f>A224+1</f>
        <v>79</v>
      </c>
      <c r="B225" s="14"/>
      <c r="C225" s="15" t="s">
        <v>490</v>
      </c>
      <c r="D225" s="12" t="s">
        <v>26</v>
      </c>
      <c r="E225" s="12" t="s">
        <v>27</v>
      </c>
      <c r="F225" s="12">
        <v>9</v>
      </c>
      <c r="G225" s="16">
        <v>100</v>
      </c>
      <c r="H225" s="7" t="s">
        <v>13</v>
      </c>
      <c r="I225" s="8" t="s">
        <v>14</v>
      </c>
      <c r="J225" s="9"/>
      <c r="K225" s="9">
        <v>47301</v>
      </c>
    </row>
    <row r="226" spans="1:11" ht="14.4" x14ac:dyDescent="0.3">
      <c r="A226" s="3">
        <f>A225+1</f>
        <v>80</v>
      </c>
      <c r="B226" s="14"/>
      <c r="C226" s="15" t="s">
        <v>22</v>
      </c>
      <c r="D226" s="12" t="s">
        <v>22</v>
      </c>
      <c r="E226" s="12" t="s">
        <v>12</v>
      </c>
      <c r="F226" s="12">
        <v>91.9</v>
      </c>
      <c r="G226" s="27">
        <v>250</v>
      </c>
      <c r="H226" s="7" t="s">
        <v>13</v>
      </c>
      <c r="I226" s="8" t="s">
        <v>14</v>
      </c>
      <c r="J226" s="9"/>
      <c r="K226" s="9">
        <v>47308</v>
      </c>
    </row>
    <row r="227" spans="1:11" ht="28.2" x14ac:dyDescent="0.3">
      <c r="A227" s="3">
        <f>A226+1</f>
        <v>81</v>
      </c>
      <c r="B227" s="14"/>
      <c r="C227" s="15" t="s">
        <v>451</v>
      </c>
      <c r="D227" s="12" t="s">
        <v>87</v>
      </c>
      <c r="E227" s="12" t="s">
        <v>12</v>
      </c>
      <c r="F227" s="12">
        <v>97.1</v>
      </c>
      <c r="G227" s="27">
        <v>250</v>
      </c>
      <c r="H227" s="69" t="s">
        <v>48</v>
      </c>
      <c r="I227" s="8" t="s">
        <v>452</v>
      </c>
      <c r="J227" s="9"/>
      <c r="K227" s="9">
        <v>47314</v>
      </c>
    </row>
    <row r="228" spans="1:11" ht="14.4" x14ac:dyDescent="0.3">
      <c r="A228" s="3">
        <f>A227+1</f>
        <v>82</v>
      </c>
      <c r="B228" s="14"/>
      <c r="C228" s="15" t="s">
        <v>349</v>
      </c>
      <c r="D228" s="12" t="s">
        <v>21</v>
      </c>
      <c r="E228" s="12" t="s">
        <v>27</v>
      </c>
      <c r="F228" s="12">
        <v>2</v>
      </c>
      <c r="G228" s="13">
        <v>200</v>
      </c>
      <c r="H228" s="7" t="s">
        <v>13</v>
      </c>
      <c r="I228" s="8" t="s">
        <v>14</v>
      </c>
      <c r="J228" s="9"/>
      <c r="K228" s="9">
        <v>47329</v>
      </c>
    </row>
    <row r="229" spans="1:11" ht="14.4" x14ac:dyDescent="0.3">
      <c r="A229" s="3">
        <f>A228+1</f>
        <v>83</v>
      </c>
      <c r="B229" s="14"/>
      <c r="C229" s="15" t="s">
        <v>213</v>
      </c>
      <c r="D229" s="12" t="s">
        <v>65</v>
      </c>
      <c r="E229" s="12" t="s">
        <v>12</v>
      </c>
      <c r="F229" s="12">
        <v>101.7</v>
      </c>
      <c r="G229" s="13">
        <v>250</v>
      </c>
      <c r="H229" s="7" t="s">
        <v>13</v>
      </c>
      <c r="I229" s="8" t="s">
        <v>14</v>
      </c>
      <c r="J229" s="9"/>
      <c r="K229" s="9">
        <v>47354</v>
      </c>
    </row>
    <row r="230" spans="1:11" ht="15.6" x14ac:dyDescent="0.3">
      <c r="A230" s="3">
        <v>50</v>
      </c>
      <c r="B230" s="4"/>
      <c r="C230" s="11" t="s">
        <v>89</v>
      </c>
      <c r="D230" s="12" t="s">
        <v>30</v>
      </c>
      <c r="E230" s="12" t="s">
        <v>12</v>
      </c>
      <c r="F230" s="12">
        <v>100.1</v>
      </c>
      <c r="G230" s="13">
        <v>150</v>
      </c>
      <c r="H230" s="7" t="s">
        <v>13</v>
      </c>
      <c r="I230" s="23" t="s">
        <v>14</v>
      </c>
      <c r="J230" s="19"/>
      <c r="K230" s="19">
        <v>47415</v>
      </c>
    </row>
    <row r="231" spans="1:11" ht="14.4" x14ac:dyDescent="0.3">
      <c r="A231" s="3">
        <v>73</v>
      </c>
      <c r="B231" s="14"/>
      <c r="C231" s="15" t="s">
        <v>123</v>
      </c>
      <c r="D231" s="12" t="s">
        <v>22</v>
      </c>
      <c r="E231" s="12" t="s">
        <v>27</v>
      </c>
      <c r="F231" s="12">
        <v>10</v>
      </c>
      <c r="G231" s="13">
        <v>100</v>
      </c>
      <c r="H231" s="7" t="s">
        <v>13</v>
      </c>
      <c r="I231" s="23" t="s">
        <v>14</v>
      </c>
      <c r="J231" s="19"/>
      <c r="K231" s="19">
        <v>47415</v>
      </c>
    </row>
    <row r="232" spans="1:11" ht="15.6" x14ac:dyDescent="0.3">
      <c r="A232" s="3">
        <f>A231+1</f>
        <v>74</v>
      </c>
      <c r="B232" s="4"/>
      <c r="C232" s="11" t="s">
        <v>495</v>
      </c>
      <c r="D232" s="12" t="s">
        <v>11</v>
      </c>
      <c r="E232" s="12" t="s">
        <v>12</v>
      </c>
      <c r="F232" s="12">
        <v>98.5</v>
      </c>
      <c r="G232" s="27">
        <v>100</v>
      </c>
      <c r="H232" s="7" t="s">
        <v>13</v>
      </c>
      <c r="I232" s="8" t="s">
        <v>14</v>
      </c>
      <c r="J232" s="19"/>
      <c r="K232" s="19">
        <v>47415</v>
      </c>
    </row>
    <row r="233" spans="1:11" ht="15.6" x14ac:dyDescent="0.3">
      <c r="A233" s="3">
        <v>29</v>
      </c>
      <c r="B233" s="4"/>
      <c r="C233" s="11" t="s">
        <v>63</v>
      </c>
      <c r="D233" s="12" t="s">
        <v>19</v>
      </c>
      <c r="E233" s="12" t="s">
        <v>12</v>
      </c>
      <c r="F233" s="12">
        <v>94.9</v>
      </c>
      <c r="G233" s="13">
        <v>100</v>
      </c>
      <c r="H233" s="7" t="s">
        <v>13</v>
      </c>
      <c r="I233" s="23" t="s">
        <v>14</v>
      </c>
      <c r="J233" s="19"/>
      <c r="K233" s="19">
        <v>47434</v>
      </c>
    </row>
    <row r="234" spans="1:11" ht="14.4" x14ac:dyDescent="0.3">
      <c r="A234" s="3">
        <f>A233+1</f>
        <v>30</v>
      </c>
      <c r="B234" s="14"/>
      <c r="C234" s="15" t="s">
        <v>270</v>
      </c>
      <c r="D234" s="12" t="s">
        <v>77</v>
      </c>
      <c r="E234" s="12" t="s">
        <v>12</v>
      </c>
      <c r="F234" s="12">
        <v>102.7</v>
      </c>
      <c r="G234" s="16">
        <v>150</v>
      </c>
      <c r="H234" s="7" t="s">
        <v>13</v>
      </c>
      <c r="I234" s="8" t="s">
        <v>131</v>
      </c>
      <c r="J234" s="19"/>
      <c r="K234" s="19">
        <v>47436</v>
      </c>
    </row>
    <row r="235" spans="1:11" ht="14.4" x14ac:dyDescent="0.3">
      <c r="A235" s="3">
        <f>A234+1</f>
        <v>31</v>
      </c>
      <c r="B235" s="14"/>
      <c r="C235" s="15" t="s">
        <v>283</v>
      </c>
      <c r="D235" s="12" t="s">
        <v>36</v>
      </c>
      <c r="E235" s="12" t="s">
        <v>12</v>
      </c>
      <c r="F235" s="12">
        <v>101.3</v>
      </c>
      <c r="G235" s="16">
        <v>100</v>
      </c>
      <c r="H235" s="7" t="s">
        <v>13</v>
      </c>
      <c r="I235" s="8" t="s">
        <v>14</v>
      </c>
      <c r="J235" s="19"/>
      <c r="K235" s="19">
        <v>47445</v>
      </c>
    </row>
    <row r="236" spans="1:11" ht="14.4" x14ac:dyDescent="0.3">
      <c r="A236" s="3">
        <f>A235+1</f>
        <v>32</v>
      </c>
      <c r="B236" s="14"/>
      <c r="C236" s="15" t="s">
        <v>297</v>
      </c>
      <c r="D236" s="12" t="s">
        <v>22</v>
      </c>
      <c r="E236" s="12" t="s">
        <v>27</v>
      </c>
      <c r="F236" s="12">
        <v>10</v>
      </c>
      <c r="G236" s="27">
        <v>200</v>
      </c>
      <c r="H236" s="7" t="s">
        <v>13</v>
      </c>
      <c r="I236" s="8" t="s">
        <v>14</v>
      </c>
      <c r="J236" s="9"/>
      <c r="K236" s="9">
        <v>47454</v>
      </c>
    </row>
    <row r="237" spans="1:11" ht="15.6" x14ac:dyDescent="0.3">
      <c r="A237" s="3">
        <f>A236+1</f>
        <v>33</v>
      </c>
      <c r="B237" s="4"/>
      <c r="C237" s="11" t="s">
        <v>304</v>
      </c>
      <c r="D237" s="12" t="s">
        <v>51</v>
      </c>
      <c r="E237" s="12" t="s">
        <v>27</v>
      </c>
      <c r="F237" s="12">
        <v>11</v>
      </c>
      <c r="G237" s="27">
        <v>250</v>
      </c>
      <c r="H237" s="7" t="s">
        <v>13</v>
      </c>
      <c r="I237" s="8" t="s">
        <v>131</v>
      </c>
      <c r="J237" s="19"/>
      <c r="K237" s="19">
        <v>47478</v>
      </c>
    </row>
    <row r="238" spans="1:11" ht="14.4" x14ac:dyDescent="0.3">
      <c r="A238" s="3">
        <f>A237+1</f>
        <v>34</v>
      </c>
      <c r="B238" s="14"/>
      <c r="C238" s="15" t="s">
        <v>296</v>
      </c>
      <c r="D238" s="12" t="s">
        <v>24</v>
      </c>
      <c r="E238" s="12" t="s">
        <v>12</v>
      </c>
      <c r="F238" s="12">
        <v>99.7</v>
      </c>
      <c r="G238" s="27">
        <v>50</v>
      </c>
      <c r="H238" s="7" t="s">
        <v>13</v>
      </c>
      <c r="I238" s="8" t="s">
        <v>14</v>
      </c>
      <c r="J238" s="9"/>
      <c r="K238" s="9">
        <v>47486</v>
      </c>
    </row>
    <row r="239" spans="1:11" ht="14.4" x14ac:dyDescent="0.3">
      <c r="A239" s="3">
        <f>A238+1</f>
        <v>35</v>
      </c>
      <c r="B239" s="14"/>
      <c r="C239" s="15" t="s">
        <v>300</v>
      </c>
      <c r="D239" s="12" t="s">
        <v>77</v>
      </c>
      <c r="E239" s="12" t="s">
        <v>12</v>
      </c>
      <c r="F239" s="12">
        <v>100.5</v>
      </c>
      <c r="G239" s="16">
        <v>500</v>
      </c>
      <c r="H239" s="7" t="s">
        <v>13</v>
      </c>
      <c r="I239" s="8" t="s">
        <v>14</v>
      </c>
      <c r="J239" s="9"/>
      <c r="K239" s="9">
        <v>47486</v>
      </c>
    </row>
    <row r="240" spans="1:11" ht="14.4" x14ac:dyDescent="0.3">
      <c r="A240" s="3">
        <f>A239+1</f>
        <v>36</v>
      </c>
      <c r="B240" s="14"/>
      <c r="C240" s="15" t="s">
        <v>341</v>
      </c>
      <c r="D240" s="12" t="s">
        <v>180</v>
      </c>
      <c r="E240" s="12" t="s">
        <v>12</v>
      </c>
      <c r="F240" s="12">
        <v>97.7</v>
      </c>
      <c r="G240" s="27">
        <v>250</v>
      </c>
      <c r="H240" s="7" t="s">
        <v>13</v>
      </c>
      <c r="I240" s="8" t="s">
        <v>14</v>
      </c>
      <c r="J240" s="9"/>
      <c r="K240" s="9">
        <v>47519</v>
      </c>
    </row>
    <row r="241" spans="1:11" ht="15.6" x14ac:dyDescent="0.3">
      <c r="A241" s="3">
        <f>A240+1</f>
        <v>37</v>
      </c>
      <c r="B241" s="4"/>
      <c r="C241" s="11" t="s">
        <v>408</v>
      </c>
      <c r="D241" s="12" t="s">
        <v>51</v>
      </c>
      <c r="E241" s="12" t="s">
        <v>12</v>
      </c>
      <c r="F241" s="12">
        <v>106.1</v>
      </c>
      <c r="G241" s="27">
        <v>500</v>
      </c>
      <c r="H241" s="7" t="s">
        <v>13</v>
      </c>
      <c r="I241" s="8" t="s">
        <v>14</v>
      </c>
      <c r="J241" s="9"/>
      <c r="K241" s="9">
        <v>47522</v>
      </c>
    </row>
    <row r="242" spans="1:11" ht="14.4" x14ac:dyDescent="0.3">
      <c r="A242" s="3">
        <f>A241+1</f>
        <v>38</v>
      </c>
      <c r="B242" s="14"/>
      <c r="C242" s="15" t="s">
        <v>309</v>
      </c>
      <c r="D242" s="12" t="s">
        <v>147</v>
      </c>
      <c r="E242" s="12" t="s">
        <v>12</v>
      </c>
      <c r="F242" s="12">
        <v>93.7</v>
      </c>
      <c r="G242" s="16">
        <v>100</v>
      </c>
      <c r="H242" s="7" t="s">
        <v>13</v>
      </c>
      <c r="I242" s="8" t="s">
        <v>14</v>
      </c>
      <c r="J242" s="9"/>
      <c r="K242" s="9">
        <v>47615</v>
      </c>
    </row>
    <row r="243" spans="1:11" ht="15.6" x14ac:dyDescent="0.3">
      <c r="A243" s="3">
        <v>24</v>
      </c>
      <c r="B243" s="4"/>
      <c r="C243" s="11" t="s">
        <v>19</v>
      </c>
      <c r="D243" s="12" t="s">
        <v>19</v>
      </c>
      <c r="E243" s="12" t="s">
        <v>57</v>
      </c>
      <c r="F243" s="12">
        <v>1050</v>
      </c>
      <c r="G243" s="13">
        <v>3000</v>
      </c>
      <c r="H243" s="7" t="s">
        <v>13</v>
      </c>
      <c r="I243" s="23" t="s">
        <v>14</v>
      </c>
      <c r="J243" s="9"/>
      <c r="K243" s="9">
        <v>47623</v>
      </c>
    </row>
    <row r="244" spans="1:11" ht="14.4" x14ac:dyDescent="0.3">
      <c r="A244" s="3">
        <v>78</v>
      </c>
      <c r="B244" s="14"/>
      <c r="C244" s="15" t="s">
        <v>128</v>
      </c>
      <c r="D244" s="12" t="s">
        <v>26</v>
      </c>
      <c r="E244" s="12" t="s">
        <v>12</v>
      </c>
      <c r="F244" s="12">
        <v>101.7</v>
      </c>
      <c r="G244" s="13">
        <v>250</v>
      </c>
      <c r="H244" s="7" t="s">
        <v>13</v>
      </c>
      <c r="I244" s="8" t="s">
        <v>14</v>
      </c>
      <c r="J244" s="9"/>
      <c r="K244" s="9">
        <v>47623</v>
      </c>
    </row>
    <row r="245" spans="1:11" ht="15.6" x14ac:dyDescent="0.3">
      <c r="A245" s="3">
        <f>A244+1</f>
        <v>79</v>
      </c>
      <c r="B245" s="4"/>
      <c r="C245" s="11" t="s">
        <v>259</v>
      </c>
      <c r="D245" s="12" t="s">
        <v>19</v>
      </c>
      <c r="E245" s="12" t="s">
        <v>12</v>
      </c>
      <c r="F245" s="12">
        <v>98.7</v>
      </c>
      <c r="G245" s="27">
        <v>100</v>
      </c>
      <c r="H245" s="7" t="s">
        <v>13</v>
      </c>
      <c r="I245" s="8" t="s">
        <v>14</v>
      </c>
      <c r="J245" s="9"/>
      <c r="K245" s="9">
        <v>47683</v>
      </c>
    </row>
    <row r="246" spans="1:11" ht="28.2" x14ac:dyDescent="0.3">
      <c r="A246" s="3">
        <v>69</v>
      </c>
      <c r="B246" s="14"/>
      <c r="C246" s="15" t="s">
        <v>118</v>
      </c>
      <c r="D246" s="12" t="s">
        <v>44</v>
      </c>
      <c r="E246" s="12" t="s">
        <v>27</v>
      </c>
      <c r="F246" s="12">
        <v>6</v>
      </c>
      <c r="G246" s="13">
        <v>950</v>
      </c>
      <c r="H246" s="67" t="s">
        <v>28</v>
      </c>
      <c r="I246" s="8" t="s">
        <v>119</v>
      </c>
      <c r="J246" s="9"/>
      <c r="K246" s="9">
        <v>47686</v>
      </c>
    </row>
    <row r="247" spans="1:11" ht="14.4" x14ac:dyDescent="0.3">
      <c r="A247" s="3">
        <v>113</v>
      </c>
      <c r="B247" s="14"/>
      <c r="C247" s="15" t="s">
        <v>174</v>
      </c>
      <c r="D247" s="12" t="s">
        <v>22</v>
      </c>
      <c r="E247" s="12" t="s">
        <v>12</v>
      </c>
      <c r="F247" s="12">
        <v>97.3</v>
      </c>
      <c r="G247" s="13">
        <v>150</v>
      </c>
      <c r="H247" s="7" t="s">
        <v>13</v>
      </c>
      <c r="I247" s="8" t="s">
        <v>175</v>
      </c>
      <c r="J247" s="9"/>
      <c r="K247" s="9">
        <v>47686</v>
      </c>
    </row>
    <row r="248" spans="1:11" ht="28.2" x14ac:dyDescent="0.3">
      <c r="A248" s="3">
        <f>A247+1</f>
        <v>114</v>
      </c>
      <c r="B248" s="14"/>
      <c r="C248" s="15" t="s">
        <v>44</v>
      </c>
      <c r="D248" s="12" t="s">
        <v>44</v>
      </c>
      <c r="E248" s="12" t="s">
        <v>57</v>
      </c>
      <c r="F248" s="12">
        <v>1570</v>
      </c>
      <c r="G248" s="27">
        <v>25000</v>
      </c>
      <c r="H248" s="69" t="s">
        <v>48</v>
      </c>
      <c r="I248" s="23" t="s">
        <v>14</v>
      </c>
      <c r="J248" s="9"/>
      <c r="K248" s="9">
        <v>47692</v>
      </c>
    </row>
    <row r="249" spans="1:11" ht="15.6" x14ac:dyDescent="0.3">
      <c r="A249" s="3">
        <f>A248+1</f>
        <v>115</v>
      </c>
      <c r="B249" s="4"/>
      <c r="C249" s="11" t="s">
        <v>234</v>
      </c>
      <c r="D249" s="12" t="s">
        <v>234</v>
      </c>
      <c r="E249" s="12" t="s">
        <v>27</v>
      </c>
      <c r="F249" s="12">
        <v>13</v>
      </c>
      <c r="G249" s="27">
        <v>300</v>
      </c>
      <c r="H249" s="68" t="s">
        <v>13</v>
      </c>
      <c r="I249" s="23" t="s">
        <v>14</v>
      </c>
      <c r="J249" s="9"/>
      <c r="K249" s="9">
        <v>47740</v>
      </c>
    </row>
    <row r="250" spans="1:11" ht="15.6" x14ac:dyDescent="0.3">
      <c r="A250" s="3">
        <f>A249+1</f>
        <v>116</v>
      </c>
      <c r="B250" s="4"/>
      <c r="C250" s="11" t="s">
        <v>322</v>
      </c>
      <c r="D250" s="12" t="s">
        <v>11</v>
      </c>
      <c r="E250" s="12" t="s">
        <v>12</v>
      </c>
      <c r="F250" s="12">
        <v>97.3</v>
      </c>
      <c r="G250" s="27">
        <v>50</v>
      </c>
      <c r="H250" s="7" t="s">
        <v>13</v>
      </c>
      <c r="I250" s="8" t="s">
        <v>14</v>
      </c>
      <c r="J250" s="9"/>
      <c r="K250" s="9">
        <v>47740</v>
      </c>
    </row>
    <row r="251" spans="1:11" ht="28.2" x14ac:dyDescent="0.3">
      <c r="A251" s="3">
        <f>A250+1</f>
        <v>117</v>
      </c>
      <c r="B251" s="14"/>
      <c r="C251" s="15" t="s">
        <v>351</v>
      </c>
      <c r="D251" s="12" t="s">
        <v>22</v>
      </c>
      <c r="E251" s="12" t="s">
        <v>27</v>
      </c>
      <c r="F251" s="12">
        <v>7</v>
      </c>
      <c r="G251" s="13">
        <v>250</v>
      </c>
      <c r="H251" s="17" t="s">
        <v>28</v>
      </c>
      <c r="I251" s="8" t="s">
        <v>14</v>
      </c>
      <c r="J251" s="9"/>
      <c r="K251" s="9">
        <v>47756</v>
      </c>
    </row>
    <row r="252" spans="1:11" ht="15.6" x14ac:dyDescent="0.3">
      <c r="A252" s="3">
        <v>42</v>
      </c>
      <c r="B252" s="4"/>
      <c r="C252" s="11" t="s">
        <v>75</v>
      </c>
      <c r="D252" s="12" t="s">
        <v>38</v>
      </c>
      <c r="E252" s="12" t="s">
        <v>12</v>
      </c>
      <c r="F252" s="12">
        <v>97.3</v>
      </c>
      <c r="G252" s="13">
        <v>500</v>
      </c>
      <c r="H252" s="7" t="s">
        <v>13</v>
      </c>
      <c r="I252" s="8" t="s">
        <v>14</v>
      </c>
      <c r="J252" s="9"/>
      <c r="K252" s="9">
        <v>47769</v>
      </c>
    </row>
    <row r="253" spans="1:11" ht="14.4" x14ac:dyDescent="0.3">
      <c r="A253" s="3">
        <v>117</v>
      </c>
      <c r="B253" s="14"/>
      <c r="C253" s="15" t="s">
        <v>179</v>
      </c>
      <c r="D253" s="12" t="s">
        <v>180</v>
      </c>
      <c r="E253" s="12" t="s">
        <v>12</v>
      </c>
      <c r="F253" s="12" t="s">
        <v>181</v>
      </c>
      <c r="G253" s="13">
        <v>150</v>
      </c>
      <c r="H253" s="7" t="s">
        <v>13</v>
      </c>
      <c r="I253" s="8" t="s">
        <v>14</v>
      </c>
      <c r="J253" s="9"/>
      <c r="K253" s="9">
        <v>47769</v>
      </c>
    </row>
    <row r="254" spans="1:11" ht="14.4" x14ac:dyDescent="0.3">
      <c r="A254" s="3">
        <f>A253+1</f>
        <v>118</v>
      </c>
      <c r="B254" s="14"/>
      <c r="C254" s="15" t="s">
        <v>490</v>
      </c>
      <c r="D254" s="12" t="s">
        <v>26</v>
      </c>
      <c r="E254" s="12" t="s">
        <v>12</v>
      </c>
      <c r="F254" s="12">
        <v>106.9</v>
      </c>
      <c r="G254" s="16">
        <v>100</v>
      </c>
      <c r="H254" s="7" t="s">
        <v>13</v>
      </c>
      <c r="I254" s="8" t="s">
        <v>14</v>
      </c>
      <c r="J254" s="9"/>
      <c r="K254" s="9">
        <v>47769</v>
      </c>
    </row>
    <row r="255" spans="1:11" ht="14.4" x14ac:dyDescent="0.3">
      <c r="A255" s="3">
        <f>A254+1</f>
        <v>119</v>
      </c>
      <c r="B255" s="14"/>
      <c r="C255" s="15" t="s">
        <v>278</v>
      </c>
      <c r="D255" s="12" t="s">
        <v>26</v>
      </c>
      <c r="E255" s="12" t="s">
        <v>12</v>
      </c>
      <c r="F255" s="12">
        <v>98.9</v>
      </c>
      <c r="G255" s="16">
        <v>130</v>
      </c>
      <c r="H255" s="7" t="s">
        <v>13</v>
      </c>
      <c r="I255" s="23" t="s">
        <v>14</v>
      </c>
      <c r="J255" s="9"/>
      <c r="K255" s="9">
        <v>47781</v>
      </c>
    </row>
    <row r="256" spans="1:11" ht="28.2" x14ac:dyDescent="0.3">
      <c r="A256" s="3">
        <f>A255+1</f>
        <v>120</v>
      </c>
      <c r="B256" s="4"/>
      <c r="C256" s="11" t="s">
        <v>402</v>
      </c>
      <c r="D256" s="12" t="s">
        <v>19</v>
      </c>
      <c r="E256" s="12" t="s">
        <v>12</v>
      </c>
      <c r="F256" s="12">
        <v>88.7</v>
      </c>
      <c r="G256" s="27">
        <v>500</v>
      </c>
      <c r="H256" s="67" t="s">
        <v>28</v>
      </c>
      <c r="I256" s="23" t="s">
        <v>14</v>
      </c>
      <c r="J256" s="9"/>
      <c r="K256" s="9">
        <v>47796</v>
      </c>
    </row>
    <row r="257" spans="1:11" ht="14.4" x14ac:dyDescent="0.3">
      <c r="A257" s="3">
        <f>A256+1</f>
        <v>121</v>
      </c>
      <c r="B257" s="14"/>
      <c r="C257" s="15" t="s">
        <v>436</v>
      </c>
      <c r="D257" s="12" t="s">
        <v>26</v>
      </c>
      <c r="E257" s="12" t="s">
        <v>12</v>
      </c>
      <c r="F257" s="12">
        <v>95.1</v>
      </c>
      <c r="G257" s="16">
        <v>150</v>
      </c>
      <c r="H257" s="7" t="s">
        <v>13</v>
      </c>
      <c r="I257" s="8" t="s">
        <v>14</v>
      </c>
      <c r="J257" s="9"/>
      <c r="K257" s="9">
        <v>47802</v>
      </c>
    </row>
    <row r="258" spans="1:11" ht="28.2" x14ac:dyDescent="0.3">
      <c r="A258" s="3">
        <f>A257+1</f>
        <v>122</v>
      </c>
      <c r="B258" s="14"/>
      <c r="C258" s="15" t="s">
        <v>423</v>
      </c>
      <c r="D258" s="12" t="s">
        <v>36</v>
      </c>
      <c r="E258" s="12" t="s">
        <v>12</v>
      </c>
      <c r="F258" s="12">
        <v>101.1</v>
      </c>
      <c r="G258" s="16">
        <v>50</v>
      </c>
      <c r="H258" s="67" t="s">
        <v>28</v>
      </c>
      <c r="I258" s="8" t="s">
        <v>14</v>
      </c>
      <c r="J258" s="9"/>
      <c r="K258" s="9">
        <v>47810</v>
      </c>
    </row>
    <row r="259" spans="1:11" ht="14.4" x14ac:dyDescent="0.3">
      <c r="A259" s="3">
        <f>A258+1</f>
        <v>123</v>
      </c>
      <c r="B259" s="14"/>
      <c r="C259" s="15" t="s">
        <v>260</v>
      </c>
      <c r="D259" s="12" t="s">
        <v>22</v>
      </c>
      <c r="E259" s="12" t="s">
        <v>12</v>
      </c>
      <c r="F259" s="12">
        <v>92.1</v>
      </c>
      <c r="G259" s="27">
        <v>250</v>
      </c>
      <c r="H259" s="7" t="s">
        <v>13</v>
      </c>
      <c r="I259" s="8" t="s">
        <v>14</v>
      </c>
      <c r="J259" s="9"/>
      <c r="K259" s="9">
        <v>47870</v>
      </c>
    </row>
    <row r="260" spans="1:11" ht="14.4" x14ac:dyDescent="0.3">
      <c r="A260" s="3">
        <f>A259+1</f>
        <v>124</v>
      </c>
      <c r="B260" s="14"/>
      <c r="C260" s="15" t="s">
        <v>454</v>
      </c>
      <c r="D260" s="12" t="s">
        <v>22</v>
      </c>
      <c r="E260" s="12" t="s">
        <v>12</v>
      </c>
      <c r="F260" s="12">
        <v>101.1</v>
      </c>
      <c r="G260" s="27">
        <v>250</v>
      </c>
      <c r="H260" s="7" t="s">
        <v>13</v>
      </c>
      <c r="I260" s="24" t="s">
        <v>14</v>
      </c>
      <c r="J260" s="9"/>
      <c r="K260" s="9">
        <v>47870</v>
      </c>
    </row>
    <row r="261" spans="1:11" ht="14.4" x14ac:dyDescent="0.3">
      <c r="A261" s="3">
        <f>A260+1</f>
        <v>125</v>
      </c>
      <c r="B261" s="14"/>
      <c r="C261" s="15" t="s">
        <v>519</v>
      </c>
      <c r="D261" s="12" t="s">
        <v>147</v>
      </c>
      <c r="E261" s="12" t="s">
        <v>12</v>
      </c>
      <c r="F261" s="12">
        <v>107.3</v>
      </c>
      <c r="G261" s="16">
        <v>100</v>
      </c>
      <c r="H261" s="7" t="s">
        <v>13</v>
      </c>
      <c r="I261" s="24" t="s">
        <v>14</v>
      </c>
      <c r="J261" s="9"/>
      <c r="K261" s="9">
        <v>47876</v>
      </c>
    </row>
    <row r="262" spans="1:11" ht="14.4" x14ac:dyDescent="0.3">
      <c r="A262" s="3">
        <f>A261+1</f>
        <v>126</v>
      </c>
      <c r="B262" s="14"/>
      <c r="C262" s="15" t="s">
        <v>246</v>
      </c>
      <c r="D262" s="12" t="s">
        <v>107</v>
      </c>
      <c r="E262" s="12" t="s">
        <v>12</v>
      </c>
      <c r="F262" s="12">
        <v>94.5</v>
      </c>
      <c r="G262" s="16">
        <v>500</v>
      </c>
      <c r="H262" s="7" t="s">
        <v>13</v>
      </c>
      <c r="I262" s="70" t="s">
        <v>54</v>
      </c>
      <c r="J262" s="9"/>
      <c r="K262" s="9">
        <v>47879</v>
      </c>
    </row>
    <row r="263" spans="1:11" ht="14.4" x14ac:dyDescent="0.3">
      <c r="A263" s="3">
        <f>A262+1</f>
        <v>127</v>
      </c>
      <c r="B263" s="14"/>
      <c r="C263" s="15" t="s">
        <v>350</v>
      </c>
      <c r="D263" s="12" t="s">
        <v>21</v>
      </c>
      <c r="E263" s="12" t="s">
        <v>12</v>
      </c>
      <c r="F263" s="12">
        <v>96.3</v>
      </c>
      <c r="G263" s="13">
        <v>250</v>
      </c>
      <c r="H263" s="7" t="s">
        <v>13</v>
      </c>
      <c r="I263" s="8" t="s">
        <v>14</v>
      </c>
      <c r="J263" s="9"/>
      <c r="K263" s="9">
        <v>47889</v>
      </c>
    </row>
    <row r="264" spans="1:11" ht="14.4" x14ac:dyDescent="0.3">
      <c r="A264" s="3">
        <f>A263+1</f>
        <v>128</v>
      </c>
      <c r="B264" s="14"/>
      <c r="C264" s="15" t="s">
        <v>354</v>
      </c>
      <c r="D264" s="12" t="s">
        <v>26</v>
      </c>
      <c r="E264" s="12" t="s">
        <v>12</v>
      </c>
      <c r="F264" s="12">
        <v>103.1</v>
      </c>
      <c r="G264" s="13">
        <v>100</v>
      </c>
      <c r="H264" s="7" t="s">
        <v>13</v>
      </c>
      <c r="I264" s="8" t="s">
        <v>14</v>
      </c>
      <c r="J264" s="9"/>
      <c r="K264" s="9">
        <v>47894</v>
      </c>
    </row>
    <row r="265" spans="1:11" ht="14.4" x14ac:dyDescent="0.3">
      <c r="A265" s="3">
        <f>A264+1</f>
        <v>129</v>
      </c>
      <c r="B265" s="14"/>
      <c r="C265" s="15" t="s">
        <v>509</v>
      </c>
      <c r="D265" s="12" t="s">
        <v>125</v>
      </c>
      <c r="E265" s="12" t="s">
        <v>12</v>
      </c>
      <c r="F265" s="12">
        <v>99.5</v>
      </c>
      <c r="G265" s="16">
        <v>250</v>
      </c>
      <c r="H265" s="7" t="s">
        <v>13</v>
      </c>
      <c r="I265" s="21" t="s">
        <v>54</v>
      </c>
      <c r="J265" s="9"/>
      <c r="K265" s="9">
        <v>47911</v>
      </c>
    </row>
    <row r="266" spans="1:11" ht="14.4" x14ac:dyDescent="0.3">
      <c r="A266" s="3">
        <f>A265+1</f>
        <v>130</v>
      </c>
      <c r="B266" s="14"/>
      <c r="C266" s="15" t="s">
        <v>352</v>
      </c>
      <c r="D266" s="12" t="s">
        <v>125</v>
      </c>
      <c r="E266" s="12" t="s">
        <v>12</v>
      </c>
      <c r="F266" s="12" t="s">
        <v>353</v>
      </c>
      <c r="G266" s="13">
        <v>250</v>
      </c>
      <c r="H266" s="7" t="s">
        <v>13</v>
      </c>
      <c r="I266" s="8" t="s">
        <v>14</v>
      </c>
      <c r="J266" s="9"/>
      <c r="K266" s="9">
        <v>47912</v>
      </c>
    </row>
    <row r="267" spans="1:11" ht="15.6" x14ac:dyDescent="0.3">
      <c r="A267" s="3">
        <f>A266+1</f>
        <v>131</v>
      </c>
      <c r="B267" s="4"/>
      <c r="C267" s="11" t="s">
        <v>231</v>
      </c>
      <c r="D267" s="12" t="s">
        <v>30</v>
      </c>
      <c r="E267" s="12" t="s">
        <v>12</v>
      </c>
      <c r="F267" s="12">
        <v>104.1</v>
      </c>
      <c r="G267" s="13">
        <v>100</v>
      </c>
      <c r="H267" s="7" t="s">
        <v>13</v>
      </c>
      <c r="I267" s="8" t="s">
        <v>14</v>
      </c>
      <c r="J267" s="9"/>
      <c r="K267" s="9">
        <v>47932</v>
      </c>
    </row>
    <row r="268" spans="1:11" ht="15.6" x14ac:dyDescent="0.3">
      <c r="A268" s="3">
        <f>A267+1</f>
        <v>132</v>
      </c>
      <c r="B268" s="4"/>
      <c r="C268" s="11" t="s">
        <v>153</v>
      </c>
      <c r="D268" s="12" t="s">
        <v>153</v>
      </c>
      <c r="E268" s="12" t="s">
        <v>12</v>
      </c>
      <c r="F268" s="12">
        <v>88.9</v>
      </c>
      <c r="G268" s="27">
        <v>950</v>
      </c>
      <c r="H268" s="7" t="s">
        <v>13</v>
      </c>
      <c r="I268" s="8" t="s">
        <v>14</v>
      </c>
      <c r="J268" s="9"/>
      <c r="K268" s="9">
        <v>47932</v>
      </c>
    </row>
    <row r="269" spans="1:11" ht="14.4" x14ac:dyDescent="0.3">
      <c r="A269" s="3">
        <v>40</v>
      </c>
      <c r="B269" s="14"/>
      <c r="C269" s="15" t="s">
        <v>74</v>
      </c>
      <c r="D269" s="12" t="s">
        <v>65</v>
      </c>
      <c r="E269" s="12" t="s">
        <v>12</v>
      </c>
      <c r="F269" s="12">
        <v>103.9</v>
      </c>
      <c r="G269" s="13">
        <v>50</v>
      </c>
      <c r="H269" s="68" t="s">
        <v>13</v>
      </c>
      <c r="I269" s="23" t="s">
        <v>14</v>
      </c>
      <c r="J269" s="9"/>
      <c r="K269" s="9">
        <v>47938</v>
      </c>
    </row>
    <row r="270" spans="1:11" ht="15.6" x14ac:dyDescent="0.3">
      <c r="A270" s="3">
        <f>A269+1</f>
        <v>41</v>
      </c>
      <c r="B270" s="4"/>
      <c r="C270" s="11" t="s">
        <v>502</v>
      </c>
      <c r="D270" s="12" t="s">
        <v>51</v>
      </c>
      <c r="E270" s="12" t="s">
        <v>27</v>
      </c>
      <c r="F270" s="12">
        <v>9</v>
      </c>
      <c r="G270" s="27">
        <v>100</v>
      </c>
      <c r="H270" s="7" t="s">
        <v>13</v>
      </c>
      <c r="I270" s="8" t="s">
        <v>14</v>
      </c>
      <c r="J270" s="9"/>
      <c r="K270" s="9">
        <v>47941</v>
      </c>
    </row>
    <row r="271" spans="1:11" ht="28.2" x14ac:dyDescent="0.3">
      <c r="A271" s="3">
        <v>51</v>
      </c>
      <c r="B271" s="14"/>
      <c r="C271" s="15" t="s">
        <v>90</v>
      </c>
      <c r="D271" s="12" t="s">
        <v>87</v>
      </c>
      <c r="E271" s="12" t="s">
        <v>12</v>
      </c>
      <c r="F271" s="12" t="s">
        <v>91</v>
      </c>
      <c r="G271" s="13">
        <v>250</v>
      </c>
      <c r="H271" s="7" t="s">
        <v>13</v>
      </c>
      <c r="I271" s="8" t="s">
        <v>14</v>
      </c>
      <c r="J271" s="9"/>
      <c r="K271" s="9">
        <v>47950</v>
      </c>
    </row>
    <row r="272" spans="1:11" ht="14.4" x14ac:dyDescent="0.3">
      <c r="A272" s="3">
        <f>A271+1</f>
        <v>52</v>
      </c>
      <c r="B272" s="14"/>
      <c r="C272" s="15" t="s">
        <v>394</v>
      </c>
      <c r="D272" s="12" t="s">
        <v>34</v>
      </c>
      <c r="E272" s="12" t="s">
        <v>12</v>
      </c>
      <c r="F272" s="12" t="s">
        <v>395</v>
      </c>
      <c r="G272" s="27">
        <v>500</v>
      </c>
      <c r="H272" s="7" t="s">
        <v>13</v>
      </c>
      <c r="I272" s="8" t="s">
        <v>14</v>
      </c>
      <c r="J272" s="9"/>
      <c r="K272" s="9">
        <v>47953</v>
      </c>
    </row>
    <row r="273" spans="1:11" ht="15.6" x14ac:dyDescent="0.3">
      <c r="A273" s="3">
        <f>A272+1</f>
        <v>53</v>
      </c>
      <c r="B273" s="4"/>
      <c r="C273" s="11" t="s">
        <v>450</v>
      </c>
      <c r="D273" s="12" t="s">
        <v>51</v>
      </c>
      <c r="E273" s="12" t="s">
        <v>12</v>
      </c>
      <c r="F273" s="12">
        <v>97.7</v>
      </c>
      <c r="G273" s="27">
        <v>150</v>
      </c>
      <c r="H273" s="68" t="s">
        <v>13</v>
      </c>
      <c r="I273" s="8" t="s">
        <v>14</v>
      </c>
      <c r="J273" s="9"/>
      <c r="K273" s="9">
        <v>47953</v>
      </c>
    </row>
    <row r="274" spans="1:11" ht="14.4" x14ac:dyDescent="0.3">
      <c r="A274" s="3">
        <f>A273+1</f>
        <v>54</v>
      </c>
      <c r="B274" s="14"/>
      <c r="C274" s="15" t="s">
        <v>220</v>
      </c>
      <c r="D274" s="12" t="s">
        <v>26</v>
      </c>
      <c r="E274" s="12" t="s">
        <v>27</v>
      </c>
      <c r="F274" s="12">
        <v>9</v>
      </c>
      <c r="G274" s="13">
        <v>100</v>
      </c>
      <c r="H274" s="68" t="s">
        <v>13</v>
      </c>
      <c r="I274" s="8" t="s">
        <v>221</v>
      </c>
      <c r="J274" s="9"/>
      <c r="K274" s="9">
        <v>47964</v>
      </c>
    </row>
    <row r="275" spans="1:11" ht="15.6" x14ac:dyDescent="0.3">
      <c r="A275" s="3">
        <f>A274+1</f>
        <v>55</v>
      </c>
      <c r="B275" s="4"/>
      <c r="C275" s="11" t="s">
        <v>331</v>
      </c>
      <c r="D275" s="12" t="s">
        <v>19</v>
      </c>
      <c r="E275" s="12" t="s">
        <v>12</v>
      </c>
      <c r="F275" s="12">
        <v>103.9</v>
      </c>
      <c r="G275" s="27">
        <v>50</v>
      </c>
      <c r="H275" s="7" t="s">
        <v>13</v>
      </c>
      <c r="I275" s="8" t="s">
        <v>14</v>
      </c>
      <c r="J275" s="9"/>
      <c r="K275" s="9">
        <v>47964</v>
      </c>
    </row>
    <row r="276" spans="1:11" ht="14.4" x14ac:dyDescent="0.3">
      <c r="A276" s="3">
        <f>A275+1</f>
        <v>56</v>
      </c>
      <c r="B276" s="14"/>
      <c r="C276" s="15" t="s">
        <v>336</v>
      </c>
      <c r="D276" s="12" t="s">
        <v>125</v>
      </c>
      <c r="E276" s="12" t="s">
        <v>12</v>
      </c>
      <c r="F276" s="12">
        <v>99.1</v>
      </c>
      <c r="G276" s="16">
        <v>250</v>
      </c>
      <c r="H276" s="7" t="s">
        <v>13</v>
      </c>
      <c r="I276" s="8" t="s">
        <v>14</v>
      </c>
      <c r="J276" s="9"/>
      <c r="K276" s="9">
        <v>47964</v>
      </c>
    </row>
    <row r="277" spans="1:11" ht="14.4" x14ac:dyDescent="0.3">
      <c r="A277" s="3">
        <f>A276+1</f>
        <v>57</v>
      </c>
      <c r="B277" s="14"/>
      <c r="C277" s="15" t="s">
        <v>214</v>
      </c>
      <c r="D277" s="12" t="s">
        <v>34</v>
      </c>
      <c r="E277" s="12" t="s">
        <v>12</v>
      </c>
      <c r="F277" s="12">
        <v>103.3</v>
      </c>
      <c r="G277" s="13">
        <v>250</v>
      </c>
      <c r="H277" s="68" t="s">
        <v>13</v>
      </c>
      <c r="I277" s="23" t="s">
        <v>14</v>
      </c>
      <c r="J277" s="9"/>
      <c r="K277" s="9">
        <v>47970</v>
      </c>
    </row>
    <row r="278" spans="1:11" ht="14.4" x14ac:dyDescent="0.3">
      <c r="A278" s="3">
        <f>A277+1</f>
        <v>58</v>
      </c>
      <c r="B278" s="14"/>
      <c r="C278" s="15" t="s">
        <v>219</v>
      </c>
      <c r="D278" s="12" t="s">
        <v>180</v>
      </c>
      <c r="E278" s="12" t="s">
        <v>12</v>
      </c>
      <c r="F278" s="12">
        <v>91.9</v>
      </c>
      <c r="G278" s="13">
        <v>50</v>
      </c>
      <c r="H278" s="7" t="s">
        <v>13</v>
      </c>
      <c r="I278" s="23" t="s">
        <v>14</v>
      </c>
      <c r="J278" s="9"/>
      <c r="K278" s="9">
        <v>47986</v>
      </c>
    </row>
    <row r="279" spans="1:11" ht="14.4" x14ac:dyDescent="0.3">
      <c r="A279" s="3">
        <v>104</v>
      </c>
      <c r="B279" s="14"/>
      <c r="C279" s="15" t="s">
        <v>160</v>
      </c>
      <c r="D279" s="12" t="s">
        <v>26</v>
      </c>
      <c r="E279" s="12" t="s">
        <v>12</v>
      </c>
      <c r="F279" s="12">
        <v>98.9</v>
      </c>
      <c r="G279" s="13">
        <v>250</v>
      </c>
      <c r="H279" s="7" t="s">
        <v>13</v>
      </c>
      <c r="I279" s="23" t="s">
        <v>161</v>
      </c>
      <c r="J279" s="9"/>
      <c r="K279" s="9">
        <v>47987</v>
      </c>
    </row>
    <row r="280" spans="1:11" ht="14.4" x14ac:dyDescent="0.3">
      <c r="A280" s="3">
        <f>A279+1</f>
        <v>105</v>
      </c>
      <c r="B280" s="14"/>
      <c r="C280" s="15" t="s">
        <v>220</v>
      </c>
      <c r="D280" s="12" t="s">
        <v>26</v>
      </c>
      <c r="E280" s="12" t="s">
        <v>12</v>
      </c>
      <c r="F280" s="12">
        <v>96.1</v>
      </c>
      <c r="G280" s="13">
        <v>250</v>
      </c>
      <c r="H280" s="7" t="s">
        <v>13</v>
      </c>
      <c r="I280" s="8" t="s">
        <v>14</v>
      </c>
      <c r="J280" s="9"/>
      <c r="K280" s="9">
        <v>48011</v>
      </c>
    </row>
    <row r="281" spans="1:11" ht="15.6" x14ac:dyDescent="0.3">
      <c r="A281" s="3">
        <f>A280+1</f>
        <v>106</v>
      </c>
      <c r="B281" s="4"/>
      <c r="C281" s="11" t="s">
        <v>517</v>
      </c>
      <c r="D281" s="12" t="s">
        <v>38</v>
      </c>
      <c r="E281" s="12" t="s">
        <v>12</v>
      </c>
      <c r="F281" s="12">
        <v>95.5</v>
      </c>
      <c r="G281" s="27">
        <v>250</v>
      </c>
      <c r="H281" s="7" t="s">
        <v>13</v>
      </c>
      <c r="I281" s="23" t="s">
        <v>14</v>
      </c>
      <c r="J281" s="9"/>
      <c r="K281" s="9">
        <v>48014</v>
      </c>
    </row>
    <row r="282" spans="1:11" ht="15.6" x14ac:dyDescent="0.3">
      <c r="A282" s="3">
        <v>110</v>
      </c>
      <c r="B282" s="4"/>
      <c r="C282" s="11" t="s">
        <v>171</v>
      </c>
      <c r="D282" s="12" t="s">
        <v>19</v>
      </c>
      <c r="E282" s="12" t="s">
        <v>12</v>
      </c>
      <c r="F282" s="12">
        <v>98.9</v>
      </c>
      <c r="G282" s="13">
        <v>500</v>
      </c>
      <c r="H282" s="68" t="s">
        <v>13</v>
      </c>
      <c r="I282" s="8" t="s">
        <v>14</v>
      </c>
      <c r="J282" s="9"/>
      <c r="K282" s="9">
        <v>48030</v>
      </c>
    </row>
    <row r="283" spans="1:11" ht="15.6" x14ac:dyDescent="0.3">
      <c r="A283" s="3">
        <f>A282+1</f>
        <v>111</v>
      </c>
      <c r="B283" s="4"/>
      <c r="C283" s="11" t="s">
        <v>238</v>
      </c>
      <c r="D283" s="12" t="s">
        <v>30</v>
      </c>
      <c r="E283" s="12" t="s">
        <v>12</v>
      </c>
      <c r="F283" s="12">
        <v>89.7</v>
      </c>
      <c r="G283" s="27">
        <v>100</v>
      </c>
      <c r="H283" s="7" t="s">
        <v>13</v>
      </c>
      <c r="I283" s="70" t="s">
        <v>54</v>
      </c>
      <c r="J283" s="9"/>
      <c r="K283" s="9">
        <v>48042</v>
      </c>
    </row>
    <row r="284" spans="1:11" ht="14.4" x14ac:dyDescent="0.3">
      <c r="A284" s="3">
        <f>A283+1</f>
        <v>112</v>
      </c>
      <c r="B284" s="14"/>
      <c r="C284" s="15" t="s">
        <v>218</v>
      </c>
      <c r="D284" s="12" t="s">
        <v>26</v>
      </c>
      <c r="E284" s="12" t="s">
        <v>12</v>
      </c>
      <c r="F284" s="12">
        <v>89.5</v>
      </c>
      <c r="G284" s="13">
        <v>250</v>
      </c>
      <c r="H284" s="7" t="s">
        <v>13</v>
      </c>
      <c r="I284" s="23" t="s">
        <v>14</v>
      </c>
      <c r="J284" s="9"/>
      <c r="K284" s="9">
        <v>48047</v>
      </c>
    </row>
    <row r="285" spans="1:11" ht="14.4" x14ac:dyDescent="0.3">
      <c r="A285" s="3">
        <v>90</v>
      </c>
      <c r="B285" s="14"/>
      <c r="C285" s="15" t="s">
        <v>141</v>
      </c>
      <c r="D285" s="12" t="s">
        <v>34</v>
      </c>
      <c r="E285" s="12" t="s">
        <v>12</v>
      </c>
      <c r="F285" s="12">
        <v>94.5</v>
      </c>
      <c r="G285" s="13">
        <v>250</v>
      </c>
      <c r="H285" s="68" t="s">
        <v>13</v>
      </c>
      <c r="I285" s="8" t="s">
        <v>14</v>
      </c>
      <c r="J285" s="9"/>
      <c r="K285" s="9">
        <v>48049</v>
      </c>
    </row>
    <row r="286" spans="1:11" ht="14.4" x14ac:dyDescent="0.3">
      <c r="A286" s="3">
        <f>A285+1</f>
        <v>91</v>
      </c>
      <c r="B286" s="14"/>
      <c r="C286" s="15" t="s">
        <v>505</v>
      </c>
      <c r="D286" s="12" t="s">
        <v>44</v>
      </c>
      <c r="E286" s="12" t="s">
        <v>12</v>
      </c>
      <c r="F286" s="12">
        <v>90.1</v>
      </c>
      <c r="G286" s="27">
        <v>25</v>
      </c>
      <c r="H286" s="7" t="s">
        <v>13</v>
      </c>
      <c r="I286" s="8" t="s">
        <v>14</v>
      </c>
      <c r="J286" s="9"/>
      <c r="K286" s="9">
        <v>48049</v>
      </c>
    </row>
    <row r="287" spans="1:11" ht="14.4" x14ac:dyDescent="0.3">
      <c r="A287" s="3">
        <f>A286+1</f>
        <v>92</v>
      </c>
      <c r="B287" s="14"/>
      <c r="C287" s="15" t="s">
        <v>319</v>
      </c>
      <c r="D287" s="12" t="s">
        <v>107</v>
      </c>
      <c r="E287" s="12" t="s">
        <v>12</v>
      </c>
      <c r="F287" s="12">
        <v>90.7</v>
      </c>
      <c r="G287" s="16">
        <v>950</v>
      </c>
      <c r="H287" s="7" t="s">
        <v>13</v>
      </c>
      <c r="I287" s="8" t="s">
        <v>14</v>
      </c>
      <c r="J287" s="9"/>
      <c r="K287" s="9">
        <v>48054</v>
      </c>
    </row>
    <row r="288" spans="1:11" ht="14.4" x14ac:dyDescent="0.3">
      <c r="A288" s="3">
        <f>A287+1</f>
        <v>93</v>
      </c>
      <c r="B288" s="14"/>
      <c r="C288" s="15" t="s">
        <v>371</v>
      </c>
      <c r="D288" s="12" t="s">
        <v>22</v>
      </c>
      <c r="E288" s="12" t="s">
        <v>12</v>
      </c>
      <c r="F288" s="12">
        <v>100.1</v>
      </c>
      <c r="G288" s="27">
        <v>250</v>
      </c>
      <c r="H288" s="7" t="s">
        <v>13</v>
      </c>
      <c r="I288" s="8" t="s">
        <v>14</v>
      </c>
      <c r="J288" s="9"/>
      <c r="K288" s="9">
        <v>48054</v>
      </c>
    </row>
    <row r="289" spans="1:11" ht="14.4" x14ac:dyDescent="0.3">
      <c r="A289" s="3">
        <v>28</v>
      </c>
      <c r="B289" s="14"/>
      <c r="C289" s="15" t="s">
        <v>62</v>
      </c>
      <c r="D289" s="12" t="s">
        <v>24</v>
      </c>
      <c r="E289" s="12" t="s">
        <v>12</v>
      </c>
      <c r="F289" s="12">
        <v>96.1</v>
      </c>
      <c r="G289" s="13">
        <v>250</v>
      </c>
      <c r="H289" s="7" t="s">
        <v>13</v>
      </c>
      <c r="I289" s="8" t="s">
        <v>14</v>
      </c>
      <c r="J289" s="9"/>
      <c r="K289" s="9">
        <v>48072</v>
      </c>
    </row>
    <row r="290" spans="1:11" ht="14.4" x14ac:dyDescent="0.3">
      <c r="A290" s="3">
        <f>A289+1</f>
        <v>29</v>
      </c>
      <c r="B290" s="14"/>
      <c r="C290" s="15" t="s">
        <v>484</v>
      </c>
      <c r="D290" s="12" t="s">
        <v>125</v>
      </c>
      <c r="E290" s="12" t="s">
        <v>12</v>
      </c>
      <c r="F290" s="12" t="s">
        <v>485</v>
      </c>
      <c r="G290" s="16">
        <v>100</v>
      </c>
      <c r="H290" s="7" t="s">
        <v>13</v>
      </c>
      <c r="I290" s="8" t="s">
        <v>49</v>
      </c>
      <c r="J290" s="9"/>
      <c r="K290" s="9">
        <v>48073</v>
      </c>
    </row>
    <row r="291" spans="1:11" ht="14.4" x14ac:dyDescent="0.3">
      <c r="A291" s="3">
        <v>89</v>
      </c>
      <c r="B291" s="14"/>
      <c r="C291" s="15" t="s">
        <v>140</v>
      </c>
      <c r="D291" s="12" t="s">
        <v>26</v>
      </c>
      <c r="E291" s="12" t="s">
        <v>12</v>
      </c>
      <c r="F291" s="12">
        <v>104.9</v>
      </c>
      <c r="G291" s="13">
        <v>250</v>
      </c>
      <c r="H291" s="7" t="s">
        <v>13</v>
      </c>
      <c r="I291" s="74" t="s">
        <v>54</v>
      </c>
      <c r="J291" s="9"/>
      <c r="K291" s="9">
        <v>48075</v>
      </c>
    </row>
    <row r="292" spans="1:11" ht="14.4" x14ac:dyDescent="0.3">
      <c r="A292" s="3">
        <f>A291+1</f>
        <v>90</v>
      </c>
      <c r="B292" s="14"/>
      <c r="C292" s="15" t="s">
        <v>520</v>
      </c>
      <c r="D292" s="12" t="s">
        <v>498</v>
      </c>
      <c r="E292" s="12" t="s">
        <v>12</v>
      </c>
      <c r="F292" s="12">
        <v>104.9</v>
      </c>
      <c r="G292" s="16">
        <v>500</v>
      </c>
      <c r="H292" s="7" t="s">
        <v>13</v>
      </c>
      <c r="I292" s="70" t="s">
        <v>54</v>
      </c>
      <c r="J292" s="9"/>
      <c r="K292" s="9">
        <v>48077</v>
      </c>
    </row>
    <row r="293" spans="1:11" ht="14.4" x14ac:dyDescent="0.3">
      <c r="A293" s="3">
        <f>A292+1</f>
        <v>91</v>
      </c>
      <c r="B293" s="14"/>
      <c r="C293" s="15" t="s">
        <v>217</v>
      </c>
      <c r="D293" s="12" t="s">
        <v>26</v>
      </c>
      <c r="E293" s="12" t="s">
        <v>12</v>
      </c>
      <c r="F293" s="12">
        <v>98.1</v>
      </c>
      <c r="G293" s="13">
        <v>500</v>
      </c>
      <c r="H293" s="7" t="s">
        <v>13</v>
      </c>
      <c r="I293" s="8" t="s">
        <v>14</v>
      </c>
      <c r="J293" s="9"/>
      <c r="K293" s="9">
        <v>48081</v>
      </c>
    </row>
    <row r="294" spans="1:11" ht="15.6" x14ac:dyDescent="0.3">
      <c r="A294" s="3">
        <v>130</v>
      </c>
      <c r="B294" s="4"/>
      <c r="C294" s="11" t="s">
        <v>193</v>
      </c>
      <c r="D294" s="12" t="s">
        <v>38</v>
      </c>
      <c r="E294" s="12" t="s">
        <v>27</v>
      </c>
      <c r="F294" s="12">
        <v>6</v>
      </c>
      <c r="G294" s="13">
        <v>250</v>
      </c>
      <c r="H294" s="7" t="s">
        <v>13</v>
      </c>
      <c r="I294" s="8" t="s">
        <v>14</v>
      </c>
      <c r="J294" s="9"/>
      <c r="K294" s="9">
        <v>48096</v>
      </c>
    </row>
    <row r="295" spans="1:11" ht="28.2" x14ac:dyDescent="0.3">
      <c r="A295" s="3">
        <f>A294+1</f>
        <v>131</v>
      </c>
      <c r="B295" s="4"/>
      <c r="C295" s="11" t="s">
        <v>247</v>
      </c>
      <c r="D295" s="12" t="s">
        <v>38</v>
      </c>
      <c r="E295" s="12" t="s">
        <v>27</v>
      </c>
      <c r="F295" s="12">
        <v>13</v>
      </c>
      <c r="G295" s="27">
        <v>300</v>
      </c>
      <c r="H295" s="67" t="s">
        <v>28</v>
      </c>
      <c r="I295" s="8" t="s">
        <v>14</v>
      </c>
      <c r="J295" s="9"/>
      <c r="K295" s="9">
        <v>48096</v>
      </c>
    </row>
    <row r="296" spans="1:11" ht="28.2" x14ac:dyDescent="0.3">
      <c r="A296" s="3">
        <f>A295+1</f>
        <v>132</v>
      </c>
      <c r="B296" s="4"/>
      <c r="C296" s="11" t="s">
        <v>360</v>
      </c>
      <c r="D296" s="12" t="s">
        <v>51</v>
      </c>
      <c r="E296" s="12" t="s">
        <v>12</v>
      </c>
      <c r="F296" s="12">
        <v>97.7</v>
      </c>
      <c r="G296" s="13">
        <v>50</v>
      </c>
      <c r="H296" s="17" t="s">
        <v>28</v>
      </c>
      <c r="I296" s="23" t="s">
        <v>14</v>
      </c>
      <c r="J296" s="9"/>
      <c r="K296" s="9">
        <v>48098</v>
      </c>
    </row>
    <row r="297" spans="1:11" ht="14.4" x14ac:dyDescent="0.3">
      <c r="A297" s="3">
        <f>A296+1</f>
        <v>133</v>
      </c>
      <c r="B297" s="14"/>
      <c r="C297" s="15" t="s">
        <v>418</v>
      </c>
      <c r="D297" s="12" t="s">
        <v>24</v>
      </c>
      <c r="E297" s="12" t="s">
        <v>12</v>
      </c>
      <c r="F297" s="12">
        <v>92.1</v>
      </c>
      <c r="G297" s="27">
        <v>250</v>
      </c>
      <c r="H297" s="7" t="s">
        <v>13</v>
      </c>
      <c r="I297" s="23" t="s">
        <v>14</v>
      </c>
      <c r="J297" s="9"/>
      <c r="K297" s="9">
        <v>48099</v>
      </c>
    </row>
    <row r="298" spans="1:11" ht="14.4" x14ac:dyDescent="0.3">
      <c r="A298" s="3">
        <f>A297+1</f>
        <v>134</v>
      </c>
      <c r="B298" s="14"/>
      <c r="C298" s="15" t="s">
        <v>491</v>
      </c>
      <c r="D298" s="12" t="s">
        <v>34</v>
      </c>
      <c r="E298" s="12" t="s">
        <v>12</v>
      </c>
      <c r="F298" s="12">
        <v>100.3</v>
      </c>
      <c r="G298" s="27">
        <v>500</v>
      </c>
      <c r="H298" s="7" t="s">
        <v>13</v>
      </c>
      <c r="I298" s="23" t="s">
        <v>14</v>
      </c>
      <c r="J298" s="9"/>
      <c r="K298" s="9">
        <v>48102</v>
      </c>
    </row>
    <row r="299" spans="1:11" ht="14.4" x14ac:dyDescent="0.3">
      <c r="A299" s="3">
        <v>106</v>
      </c>
      <c r="B299" s="14"/>
      <c r="C299" s="15" t="s">
        <v>164</v>
      </c>
      <c r="D299" s="12" t="s">
        <v>147</v>
      </c>
      <c r="E299" s="12" t="s">
        <v>12</v>
      </c>
      <c r="F299" s="12">
        <v>92.3</v>
      </c>
      <c r="G299" s="13">
        <v>100</v>
      </c>
      <c r="H299" s="7" t="s">
        <v>13</v>
      </c>
      <c r="I299" s="23" t="s">
        <v>14</v>
      </c>
      <c r="J299" s="9"/>
      <c r="K299" s="9">
        <v>48106</v>
      </c>
    </row>
    <row r="300" spans="1:11" ht="28.2" x14ac:dyDescent="0.3">
      <c r="A300" s="3">
        <v>137</v>
      </c>
      <c r="B300" s="14"/>
      <c r="C300" s="15" t="s">
        <v>202</v>
      </c>
      <c r="D300" s="12" t="s">
        <v>36</v>
      </c>
      <c r="E300" s="12" t="s">
        <v>12</v>
      </c>
      <c r="F300" s="12">
        <v>101.5</v>
      </c>
      <c r="G300" s="13">
        <v>200</v>
      </c>
      <c r="H300" s="67" t="s">
        <v>28</v>
      </c>
      <c r="I300" s="8" t="s">
        <v>14</v>
      </c>
      <c r="J300" s="9"/>
      <c r="K300" s="9">
        <v>48117</v>
      </c>
    </row>
    <row r="301" spans="1:11" ht="15.6" x14ac:dyDescent="0.3">
      <c r="A301" s="3">
        <v>122</v>
      </c>
      <c r="B301" s="4"/>
      <c r="C301" s="11" t="s">
        <v>186</v>
      </c>
      <c r="D301" s="12" t="s">
        <v>19</v>
      </c>
      <c r="E301" s="12" t="s">
        <v>12</v>
      </c>
      <c r="F301" s="12">
        <v>93.5</v>
      </c>
      <c r="G301" s="13">
        <v>250</v>
      </c>
      <c r="H301" s="7" t="s">
        <v>13</v>
      </c>
      <c r="I301" s="8" t="s">
        <v>14</v>
      </c>
      <c r="J301" s="9"/>
      <c r="K301" s="9">
        <v>48120</v>
      </c>
    </row>
    <row r="302" spans="1:11" ht="14.4" x14ac:dyDescent="0.3">
      <c r="A302" s="3">
        <v>4</v>
      </c>
      <c r="B302" s="14"/>
      <c r="C302" s="15" t="s">
        <v>20</v>
      </c>
      <c r="D302" s="12" t="s">
        <v>21</v>
      </c>
      <c r="E302" s="12" t="s">
        <v>12</v>
      </c>
      <c r="F302" s="12">
        <v>101.9</v>
      </c>
      <c r="G302" s="13">
        <v>50</v>
      </c>
      <c r="H302" s="68" t="s">
        <v>13</v>
      </c>
      <c r="I302" s="8" t="s">
        <v>14</v>
      </c>
      <c r="J302" s="9"/>
      <c r="K302" s="9">
        <v>48131</v>
      </c>
    </row>
    <row r="303" spans="1:11" ht="15.6" x14ac:dyDescent="0.3">
      <c r="A303" s="3">
        <f>A302+1</f>
        <v>5</v>
      </c>
      <c r="B303" s="4"/>
      <c r="C303" s="11" t="s">
        <v>299</v>
      </c>
      <c r="D303" s="12" t="s">
        <v>30</v>
      </c>
      <c r="E303" s="12" t="s">
        <v>12</v>
      </c>
      <c r="F303" s="12">
        <v>95.7</v>
      </c>
      <c r="G303" s="27">
        <v>150</v>
      </c>
      <c r="H303" s="7" t="s">
        <v>13</v>
      </c>
      <c r="I303" s="24" t="s">
        <v>14</v>
      </c>
      <c r="J303" s="9"/>
      <c r="K303" s="9">
        <v>48146</v>
      </c>
    </row>
    <row r="304" spans="1:11" ht="15.6" x14ac:dyDescent="0.3">
      <c r="A304" s="3">
        <v>22</v>
      </c>
      <c r="B304" s="4"/>
      <c r="C304" s="11" t="s">
        <v>55</v>
      </c>
      <c r="D304" s="12" t="s">
        <v>19</v>
      </c>
      <c r="E304" s="12" t="s">
        <v>12</v>
      </c>
      <c r="F304" s="12">
        <v>96.5</v>
      </c>
      <c r="G304" s="13">
        <v>250</v>
      </c>
      <c r="H304" s="7" t="s">
        <v>13</v>
      </c>
      <c r="I304" s="8" t="s">
        <v>14</v>
      </c>
      <c r="J304" s="9"/>
      <c r="K304" s="9">
        <v>48175</v>
      </c>
    </row>
    <row r="305" spans="1:11" ht="15.6" x14ac:dyDescent="0.3">
      <c r="A305" s="3">
        <v>27</v>
      </c>
      <c r="B305" s="4"/>
      <c r="C305" s="11" t="s">
        <v>60</v>
      </c>
      <c r="D305" s="12" t="s">
        <v>19</v>
      </c>
      <c r="E305" s="12" t="s">
        <v>16</v>
      </c>
      <c r="F305" s="12" t="s">
        <v>61</v>
      </c>
      <c r="G305" s="13">
        <v>5000</v>
      </c>
      <c r="H305" s="7" t="s">
        <v>13</v>
      </c>
      <c r="I305" s="8" t="s">
        <v>14</v>
      </c>
      <c r="J305" s="9"/>
      <c r="K305" s="9">
        <v>48186</v>
      </c>
    </row>
    <row r="306" spans="1:11" ht="28.2" x14ac:dyDescent="0.3">
      <c r="A306" s="3">
        <v>68</v>
      </c>
      <c r="B306" s="14"/>
      <c r="C306" s="15" t="s">
        <v>117</v>
      </c>
      <c r="D306" s="12" t="s">
        <v>44</v>
      </c>
      <c r="E306" s="12" t="s">
        <v>12</v>
      </c>
      <c r="F306" s="12">
        <v>97.1</v>
      </c>
      <c r="G306" s="13">
        <v>100</v>
      </c>
      <c r="H306" s="17" t="s">
        <v>28</v>
      </c>
      <c r="I306" s="23" t="s">
        <v>14</v>
      </c>
      <c r="J306" s="9"/>
      <c r="K306" s="9">
        <v>48195</v>
      </c>
    </row>
    <row r="307" spans="1:11" ht="14.4" x14ac:dyDescent="0.3">
      <c r="A307" s="3">
        <f>A306+1</f>
        <v>69</v>
      </c>
      <c r="B307" s="3">
        <v>24</v>
      </c>
      <c r="C307" s="15" t="s">
        <v>498</v>
      </c>
      <c r="D307" s="12" t="s">
        <v>498</v>
      </c>
      <c r="E307" s="12" t="s">
        <v>12</v>
      </c>
      <c r="F307" s="12">
        <v>102.1</v>
      </c>
      <c r="G307" s="16">
        <v>950</v>
      </c>
      <c r="H307" s="7" t="s">
        <v>13</v>
      </c>
      <c r="I307" s="8" t="s">
        <v>14</v>
      </c>
      <c r="J307" s="10" t="s">
        <v>499</v>
      </c>
      <c r="K307" s="19">
        <v>48195</v>
      </c>
    </row>
    <row r="308" spans="1:11" ht="14.4" x14ac:dyDescent="0.3">
      <c r="A308" s="3">
        <f>A307+1</f>
        <v>70</v>
      </c>
      <c r="B308" s="14"/>
      <c r="C308" s="15" t="s">
        <v>514</v>
      </c>
      <c r="D308" s="12" t="s">
        <v>87</v>
      </c>
      <c r="E308" s="12" t="s">
        <v>12</v>
      </c>
      <c r="F308" s="12">
        <v>93.1</v>
      </c>
      <c r="G308" s="27">
        <v>50</v>
      </c>
      <c r="H308" s="7" t="s">
        <v>13</v>
      </c>
      <c r="I308" s="73" t="s">
        <v>515</v>
      </c>
      <c r="J308" s="9"/>
      <c r="K308" s="9">
        <v>48198</v>
      </c>
    </row>
    <row r="309" spans="1:11" ht="14.4" x14ac:dyDescent="0.3">
      <c r="A309" s="3">
        <f>A308+1</f>
        <v>71</v>
      </c>
      <c r="B309" s="14"/>
      <c r="C309" s="15" t="s">
        <v>244</v>
      </c>
      <c r="D309" s="12" t="s">
        <v>22</v>
      </c>
      <c r="E309" s="12" t="s">
        <v>12</v>
      </c>
      <c r="F309" s="12">
        <v>93.9</v>
      </c>
      <c r="G309" s="27">
        <v>250</v>
      </c>
      <c r="H309" s="7" t="s">
        <v>13</v>
      </c>
      <c r="I309" s="23" t="s">
        <v>14</v>
      </c>
      <c r="J309" s="19"/>
      <c r="K309" s="19">
        <v>48203</v>
      </c>
    </row>
    <row r="310" spans="1:11" ht="14.4" x14ac:dyDescent="0.3">
      <c r="A310" s="3">
        <v>83</v>
      </c>
      <c r="B310" s="14"/>
      <c r="C310" s="15" t="s">
        <v>132</v>
      </c>
      <c r="D310" s="12" t="s">
        <v>81</v>
      </c>
      <c r="E310" s="12" t="s">
        <v>12</v>
      </c>
      <c r="F310" s="12">
        <v>94.9</v>
      </c>
      <c r="G310" s="13">
        <v>250</v>
      </c>
      <c r="H310" s="7" t="s">
        <v>13</v>
      </c>
      <c r="I310" s="23" t="s">
        <v>14</v>
      </c>
      <c r="J310" s="9"/>
      <c r="K310" s="9">
        <v>48219</v>
      </c>
    </row>
    <row r="311" spans="1:11" ht="14.4" x14ac:dyDescent="0.3">
      <c r="A311" s="3">
        <v>67</v>
      </c>
      <c r="B311" s="14"/>
      <c r="C311" s="15" t="s">
        <v>116</v>
      </c>
      <c r="D311" s="12" t="s">
        <v>44</v>
      </c>
      <c r="E311" s="12" t="s">
        <v>12</v>
      </c>
      <c r="F311" s="12">
        <v>97.7</v>
      </c>
      <c r="G311" s="13">
        <v>250</v>
      </c>
      <c r="H311" s="7" t="s">
        <v>13</v>
      </c>
      <c r="I311" s="8" t="s">
        <v>14</v>
      </c>
      <c r="J311" s="9"/>
      <c r="K311" s="9">
        <v>48232</v>
      </c>
    </row>
    <row r="312" spans="1:11" ht="15.6" x14ac:dyDescent="0.3">
      <c r="A312" s="3">
        <v>86</v>
      </c>
      <c r="B312" s="4"/>
      <c r="C312" s="11" t="s">
        <v>137</v>
      </c>
      <c r="D312" s="12" t="s">
        <v>19</v>
      </c>
      <c r="E312" s="12" t="s">
        <v>12</v>
      </c>
      <c r="F312" s="12">
        <v>98.7</v>
      </c>
      <c r="G312" s="13">
        <v>250</v>
      </c>
      <c r="H312" s="7" t="s">
        <v>13</v>
      </c>
      <c r="I312" s="8" t="s">
        <v>14</v>
      </c>
      <c r="J312" s="9"/>
      <c r="K312" s="9">
        <v>48233</v>
      </c>
    </row>
    <row r="313" spans="1:11" ht="15.6" x14ac:dyDescent="0.3">
      <c r="A313" s="3">
        <v>128</v>
      </c>
      <c r="B313" s="4"/>
      <c r="C313" s="11" t="s">
        <v>51</v>
      </c>
      <c r="D313" s="12" t="s">
        <v>51</v>
      </c>
      <c r="E313" s="12" t="s">
        <v>71</v>
      </c>
      <c r="F313" s="12">
        <v>1170</v>
      </c>
      <c r="G313" s="13">
        <v>2500</v>
      </c>
      <c r="H313" s="7" t="s">
        <v>13</v>
      </c>
      <c r="I313" s="8" t="s">
        <v>14</v>
      </c>
      <c r="J313" s="9"/>
      <c r="K313" s="9">
        <v>48263</v>
      </c>
    </row>
    <row r="314" spans="1:11" ht="15.6" x14ac:dyDescent="0.3">
      <c r="A314" s="3">
        <v>1</v>
      </c>
      <c r="B314" s="4"/>
      <c r="C314" s="11" t="s">
        <v>10</v>
      </c>
      <c r="D314" s="12" t="s">
        <v>11</v>
      </c>
      <c r="E314" s="12" t="s">
        <v>12</v>
      </c>
      <c r="F314" s="12">
        <v>106.7</v>
      </c>
      <c r="G314" s="13">
        <v>250</v>
      </c>
      <c r="H314" s="7" t="s">
        <v>13</v>
      </c>
      <c r="I314" s="8" t="s">
        <v>14</v>
      </c>
      <c r="J314" s="9"/>
      <c r="K314" s="9">
        <v>48270</v>
      </c>
    </row>
    <row r="315" spans="1:11" ht="28.2" x14ac:dyDescent="0.3">
      <c r="A315" s="3">
        <f>A314+1</f>
        <v>2</v>
      </c>
      <c r="B315" s="14"/>
      <c r="C315" s="15" t="s">
        <v>475</v>
      </c>
      <c r="D315" s="12" t="s">
        <v>36</v>
      </c>
      <c r="E315" s="12" t="s">
        <v>12</v>
      </c>
      <c r="F315" s="12">
        <v>103.1</v>
      </c>
      <c r="G315" s="16">
        <v>500</v>
      </c>
      <c r="H315" s="67" t="s">
        <v>28</v>
      </c>
      <c r="I315" s="8" t="s">
        <v>14</v>
      </c>
      <c r="J315" s="9"/>
      <c r="K315" s="9">
        <v>48307</v>
      </c>
    </row>
    <row r="316" spans="1:11" ht="14.4" x14ac:dyDescent="0.3">
      <c r="A316" s="3">
        <f>A315+1</f>
        <v>3</v>
      </c>
      <c r="B316" s="14"/>
      <c r="C316" s="15" t="s">
        <v>214</v>
      </c>
      <c r="D316" s="12" t="s">
        <v>34</v>
      </c>
      <c r="E316" s="12" t="s">
        <v>16</v>
      </c>
      <c r="F316" s="12">
        <v>27</v>
      </c>
      <c r="G316" s="13">
        <v>500</v>
      </c>
      <c r="H316" s="7" t="s">
        <v>13</v>
      </c>
      <c r="I316" s="8" t="s">
        <v>14</v>
      </c>
      <c r="J316" s="9"/>
      <c r="K316" s="9">
        <v>48326</v>
      </c>
    </row>
    <row r="317" spans="1:11" ht="14.4" x14ac:dyDescent="0.3">
      <c r="A317" s="3">
        <f>A316+1</f>
        <v>4</v>
      </c>
      <c r="B317" s="14"/>
      <c r="C317" s="15" t="s">
        <v>479</v>
      </c>
      <c r="D317" s="12" t="s">
        <v>107</v>
      </c>
      <c r="E317" s="12" t="s">
        <v>16</v>
      </c>
      <c r="F317" s="12">
        <v>15</v>
      </c>
      <c r="G317" s="16">
        <v>500</v>
      </c>
      <c r="H317" s="7" t="s">
        <v>13</v>
      </c>
      <c r="I317" s="23" t="s">
        <v>14</v>
      </c>
      <c r="J317" s="9"/>
      <c r="K317" s="9">
        <v>48326</v>
      </c>
    </row>
    <row r="318" spans="1:11" ht="28.2" x14ac:dyDescent="0.3">
      <c r="A318" s="3">
        <f>A317+1</f>
        <v>5</v>
      </c>
      <c r="B318" s="14"/>
      <c r="C318" s="15" t="s">
        <v>462</v>
      </c>
      <c r="D318" s="12" t="s">
        <v>26</v>
      </c>
      <c r="E318" s="12" t="s">
        <v>27</v>
      </c>
      <c r="F318" s="12">
        <v>9</v>
      </c>
      <c r="G318" s="16">
        <v>50</v>
      </c>
      <c r="H318" s="69" t="s">
        <v>48</v>
      </c>
      <c r="I318" s="8" t="s">
        <v>14</v>
      </c>
      <c r="J318" s="9"/>
      <c r="K318" s="9">
        <v>48337</v>
      </c>
    </row>
    <row r="319" spans="1:11" ht="28.2" x14ac:dyDescent="0.3">
      <c r="A319" s="3">
        <v>7</v>
      </c>
      <c r="B319" s="14"/>
      <c r="C319" s="15" t="s">
        <v>25</v>
      </c>
      <c r="D319" s="12" t="s">
        <v>26</v>
      </c>
      <c r="E319" s="12" t="s">
        <v>27</v>
      </c>
      <c r="F319" s="12">
        <v>9</v>
      </c>
      <c r="G319" s="13">
        <v>250</v>
      </c>
      <c r="H319" s="17" t="s">
        <v>28</v>
      </c>
      <c r="I319" s="8" t="s">
        <v>14</v>
      </c>
      <c r="J319" s="9"/>
      <c r="K319" s="9">
        <v>48339</v>
      </c>
    </row>
    <row r="320" spans="1:11" ht="15.6" x14ac:dyDescent="0.3">
      <c r="A320" s="3">
        <f>A319+1</f>
        <v>8</v>
      </c>
      <c r="B320" s="4"/>
      <c r="C320" s="11" t="s">
        <v>460</v>
      </c>
      <c r="D320" s="12" t="s">
        <v>51</v>
      </c>
      <c r="E320" s="12" t="s">
        <v>12</v>
      </c>
      <c r="F320" s="12">
        <v>102.7</v>
      </c>
      <c r="G320" s="27">
        <v>500</v>
      </c>
      <c r="H320" s="7" t="s">
        <v>13</v>
      </c>
      <c r="I320" s="8" t="s">
        <v>14</v>
      </c>
      <c r="J320" s="9"/>
      <c r="K320" s="9">
        <v>48340</v>
      </c>
    </row>
    <row r="321" spans="1:11" ht="15.6" x14ac:dyDescent="0.3">
      <c r="A321" s="3">
        <v>62</v>
      </c>
      <c r="B321" s="4"/>
      <c r="C321" s="11" t="s">
        <v>104</v>
      </c>
      <c r="D321" s="12" t="s">
        <v>19</v>
      </c>
      <c r="E321" s="12" t="s">
        <v>16</v>
      </c>
      <c r="F321" s="12">
        <v>21</v>
      </c>
      <c r="G321" s="13">
        <v>250</v>
      </c>
      <c r="H321" s="7" t="s">
        <v>13</v>
      </c>
      <c r="I321" s="8" t="s">
        <v>14</v>
      </c>
      <c r="J321" s="9"/>
      <c r="K321" s="9">
        <v>48347</v>
      </c>
    </row>
    <row r="322" spans="1:11" ht="14.4" x14ac:dyDescent="0.3">
      <c r="A322" s="3">
        <f>A321+1</f>
        <v>63</v>
      </c>
      <c r="B322" s="14"/>
      <c r="C322" s="15" t="s">
        <v>208</v>
      </c>
      <c r="D322" s="12" t="s">
        <v>22</v>
      </c>
      <c r="E322" s="12" t="s">
        <v>16</v>
      </c>
      <c r="F322" s="12">
        <v>29</v>
      </c>
      <c r="G322" s="13">
        <v>250</v>
      </c>
      <c r="H322" s="7" t="s">
        <v>13</v>
      </c>
      <c r="I322" s="23" t="s">
        <v>14</v>
      </c>
      <c r="J322" s="9"/>
      <c r="K322" s="9">
        <v>48355</v>
      </c>
    </row>
    <row r="323" spans="1:11" ht="14.4" x14ac:dyDescent="0.3">
      <c r="A323" s="3">
        <v>43</v>
      </c>
      <c r="B323" s="14"/>
      <c r="C323" s="15" t="s">
        <v>76</v>
      </c>
      <c r="D323" s="12" t="s">
        <v>77</v>
      </c>
      <c r="E323" s="12" t="s">
        <v>16</v>
      </c>
      <c r="F323" s="12">
        <v>19</v>
      </c>
      <c r="G323" s="13">
        <v>100</v>
      </c>
      <c r="H323" s="7" t="s">
        <v>13</v>
      </c>
      <c r="I323" s="8" t="s">
        <v>14</v>
      </c>
      <c r="J323" s="9"/>
      <c r="K323" s="9">
        <v>48389</v>
      </c>
    </row>
    <row r="324" spans="1:11" ht="14.4" x14ac:dyDescent="0.3">
      <c r="A324" s="3">
        <v>6</v>
      </c>
      <c r="B324" s="14"/>
      <c r="C324" s="15" t="s">
        <v>23</v>
      </c>
      <c r="D324" s="12" t="s">
        <v>24</v>
      </c>
      <c r="E324" s="12" t="s">
        <v>12</v>
      </c>
      <c r="F324" s="12">
        <v>102.1</v>
      </c>
      <c r="G324" s="16">
        <v>250</v>
      </c>
      <c r="H324" s="7" t="s">
        <v>13</v>
      </c>
      <c r="I324" s="23" t="s">
        <v>14</v>
      </c>
      <c r="J324" s="9"/>
      <c r="K324" s="9">
        <v>48412</v>
      </c>
    </row>
    <row r="325" spans="1:11" ht="28.2" x14ac:dyDescent="0.3">
      <c r="A325" s="3">
        <v>31</v>
      </c>
      <c r="B325" s="14"/>
      <c r="C325" s="15" t="s">
        <v>66</v>
      </c>
      <c r="D325" s="12" t="s">
        <v>34</v>
      </c>
      <c r="E325" s="12" t="s">
        <v>12</v>
      </c>
      <c r="F325" s="12">
        <v>97.7</v>
      </c>
      <c r="G325" s="13">
        <v>250</v>
      </c>
      <c r="H325" s="68" t="s">
        <v>13</v>
      </c>
      <c r="I325" s="23" t="s">
        <v>14</v>
      </c>
      <c r="J325" s="9"/>
      <c r="K325" s="9">
        <v>48412</v>
      </c>
    </row>
    <row r="326" spans="1:11" ht="14.4" x14ac:dyDescent="0.3">
      <c r="A326" s="3">
        <f>A325+1</f>
        <v>32</v>
      </c>
      <c r="B326" s="14"/>
      <c r="C326" s="15" t="s">
        <v>491</v>
      </c>
      <c r="D326" s="12" t="s">
        <v>34</v>
      </c>
      <c r="E326" s="12" t="s">
        <v>16</v>
      </c>
      <c r="F326" s="12">
        <v>25</v>
      </c>
      <c r="G326" s="27">
        <v>500</v>
      </c>
      <c r="H326" s="7" t="s">
        <v>13</v>
      </c>
      <c r="I326" s="8" t="s">
        <v>14</v>
      </c>
      <c r="J326" s="9"/>
      <c r="K326" s="9">
        <v>48412</v>
      </c>
    </row>
    <row r="327" spans="1:11" ht="15.6" x14ac:dyDescent="0.3">
      <c r="A327" s="3">
        <v>139</v>
      </c>
      <c r="B327" s="4"/>
      <c r="C327" s="11" t="s">
        <v>203</v>
      </c>
      <c r="D327" s="12" t="s">
        <v>38</v>
      </c>
      <c r="E327" s="12" t="s">
        <v>12</v>
      </c>
      <c r="F327" s="12">
        <v>95.5</v>
      </c>
      <c r="G327" s="13">
        <v>250</v>
      </c>
      <c r="H327" s="7" t="s">
        <v>13</v>
      </c>
      <c r="I327" s="8" t="s">
        <v>14</v>
      </c>
      <c r="J327" s="9"/>
      <c r="K327" s="9">
        <v>48447</v>
      </c>
    </row>
    <row r="328" spans="1:11" ht="15.6" x14ac:dyDescent="0.3">
      <c r="A328" s="3">
        <v>131</v>
      </c>
      <c r="B328" s="4"/>
      <c r="C328" s="11" t="s">
        <v>193</v>
      </c>
      <c r="D328" s="12" t="s">
        <v>38</v>
      </c>
      <c r="E328" s="12" t="s">
        <v>12</v>
      </c>
      <c r="F328" s="12" t="s">
        <v>194</v>
      </c>
      <c r="G328" s="13">
        <v>50</v>
      </c>
      <c r="H328" s="7" t="s">
        <v>13</v>
      </c>
      <c r="I328" s="8" t="s">
        <v>14</v>
      </c>
      <c r="J328" s="9"/>
      <c r="K328" s="9">
        <v>48455</v>
      </c>
    </row>
    <row r="329" spans="1:11" ht="15.6" x14ac:dyDescent="0.3">
      <c r="A329" s="3">
        <v>92</v>
      </c>
      <c r="B329" s="4"/>
      <c r="C329" s="11" t="s">
        <v>143</v>
      </c>
      <c r="D329" s="12" t="s">
        <v>51</v>
      </c>
      <c r="E329" s="12" t="s">
        <v>12</v>
      </c>
      <c r="F329" s="12">
        <v>99.5</v>
      </c>
      <c r="G329" s="13">
        <v>100</v>
      </c>
      <c r="H329" s="7" t="s">
        <v>13</v>
      </c>
      <c r="I329" s="23" t="s">
        <v>131</v>
      </c>
      <c r="J329" s="9"/>
      <c r="K329" s="9">
        <v>48471</v>
      </c>
    </row>
    <row r="330" spans="1:11" ht="14.4" x14ac:dyDescent="0.3">
      <c r="A330" s="3">
        <f>A329+1</f>
        <v>93</v>
      </c>
      <c r="B330" s="14"/>
      <c r="C330" s="15" t="s">
        <v>496</v>
      </c>
      <c r="D330" s="12" t="s">
        <v>125</v>
      </c>
      <c r="E330" s="12" t="s">
        <v>16</v>
      </c>
      <c r="F330" s="12">
        <v>33</v>
      </c>
      <c r="G330" s="16">
        <v>5000</v>
      </c>
      <c r="H330" s="7" t="s">
        <v>13</v>
      </c>
      <c r="I330" s="24" t="s">
        <v>14</v>
      </c>
      <c r="J330" s="9"/>
      <c r="K330" s="9">
        <v>48483</v>
      </c>
    </row>
    <row r="331" spans="1:11" ht="14.4" x14ac:dyDescent="0.3">
      <c r="A331" s="3">
        <v>58</v>
      </c>
      <c r="B331" s="14"/>
      <c r="C331" s="15" t="s">
        <v>81</v>
      </c>
      <c r="D331" s="12" t="s">
        <v>81</v>
      </c>
      <c r="E331" s="12" t="s">
        <v>12</v>
      </c>
      <c r="F331" s="12" t="s">
        <v>100</v>
      </c>
      <c r="G331" s="13">
        <v>1400</v>
      </c>
      <c r="H331" s="7" t="s">
        <v>13</v>
      </c>
      <c r="I331" s="8" t="s">
        <v>14</v>
      </c>
      <c r="J331" s="9"/>
      <c r="K331" s="9">
        <v>48491</v>
      </c>
    </row>
    <row r="332" spans="1:11" ht="14.4" x14ac:dyDescent="0.3">
      <c r="A332" s="3">
        <v>136</v>
      </c>
      <c r="B332" s="14"/>
      <c r="C332" s="15" t="s">
        <v>201</v>
      </c>
      <c r="D332" s="12" t="s">
        <v>125</v>
      </c>
      <c r="E332" s="12" t="s">
        <v>12</v>
      </c>
      <c r="F332" s="12">
        <v>92.5</v>
      </c>
      <c r="G332" s="13">
        <v>500</v>
      </c>
      <c r="H332" s="7" t="s">
        <v>13</v>
      </c>
      <c r="I332" s="8" t="s">
        <v>14</v>
      </c>
      <c r="J332" s="26"/>
      <c r="K332" s="26">
        <v>48526</v>
      </c>
    </row>
    <row r="333" spans="1:11" ht="14.4" x14ac:dyDescent="0.3">
      <c r="A333" s="3">
        <f>A332+1</f>
        <v>137</v>
      </c>
      <c r="B333" s="14"/>
      <c r="C333" s="15" t="s">
        <v>334</v>
      </c>
      <c r="D333" s="12" t="s">
        <v>180</v>
      </c>
      <c r="E333" s="12" t="s">
        <v>12</v>
      </c>
      <c r="F333" s="12">
        <v>106.5</v>
      </c>
      <c r="G333" s="27">
        <v>250</v>
      </c>
      <c r="H333" s="7" t="s">
        <v>13</v>
      </c>
      <c r="I333" s="8" t="s">
        <v>14</v>
      </c>
      <c r="J333" s="9"/>
      <c r="K333" s="9">
        <v>48526</v>
      </c>
    </row>
    <row r="334" spans="1:11" ht="14.4" x14ac:dyDescent="0.3">
      <c r="A334" s="3">
        <f>A333+1</f>
        <v>138</v>
      </c>
      <c r="B334" s="14"/>
      <c r="C334" s="15" t="s">
        <v>496</v>
      </c>
      <c r="D334" s="12" t="s">
        <v>125</v>
      </c>
      <c r="E334" s="12" t="s">
        <v>12</v>
      </c>
      <c r="F334" s="12" t="s">
        <v>497</v>
      </c>
      <c r="G334" s="28"/>
      <c r="H334" s="7" t="s">
        <v>13</v>
      </c>
      <c r="I334" s="8" t="s">
        <v>14</v>
      </c>
      <c r="J334" s="19"/>
      <c r="K334" s="19">
        <v>48537</v>
      </c>
    </row>
    <row r="335" spans="1:11" ht="15.6" x14ac:dyDescent="0.3">
      <c r="A335" s="3">
        <v>39</v>
      </c>
      <c r="B335" s="4"/>
      <c r="C335" s="11" t="s">
        <v>73</v>
      </c>
      <c r="D335" s="12" t="s">
        <v>38</v>
      </c>
      <c r="E335" s="12" t="s">
        <v>12</v>
      </c>
      <c r="F335" s="12">
        <v>106.3</v>
      </c>
      <c r="G335" s="13">
        <v>500</v>
      </c>
      <c r="H335" s="68" t="s">
        <v>13</v>
      </c>
      <c r="I335" s="8" t="s">
        <v>14</v>
      </c>
      <c r="J335" s="19"/>
      <c r="K335" s="19">
        <v>48544</v>
      </c>
    </row>
    <row r="336" spans="1:11" ht="14.4" x14ac:dyDescent="0.3">
      <c r="A336" s="3">
        <f>A335+1</f>
        <v>40</v>
      </c>
      <c r="B336" s="14"/>
      <c r="C336" s="15" t="s">
        <v>277</v>
      </c>
      <c r="D336" s="12" t="s">
        <v>21</v>
      </c>
      <c r="E336" s="12" t="s">
        <v>12</v>
      </c>
      <c r="F336" s="12">
        <v>106.3</v>
      </c>
      <c r="G336" s="27">
        <v>100</v>
      </c>
      <c r="H336" s="7" t="s">
        <v>13</v>
      </c>
      <c r="I336" s="8" t="s">
        <v>14</v>
      </c>
      <c r="J336" s="19"/>
      <c r="K336" s="19">
        <v>48545</v>
      </c>
    </row>
    <row r="337" spans="1:11" ht="14.4" x14ac:dyDescent="0.3">
      <c r="A337" s="3">
        <v>37</v>
      </c>
      <c r="B337" s="14"/>
      <c r="C337" s="15" t="s">
        <v>65</v>
      </c>
      <c r="D337" s="12" t="s">
        <v>65</v>
      </c>
      <c r="E337" s="12" t="s">
        <v>71</v>
      </c>
      <c r="F337" s="12">
        <v>780</v>
      </c>
      <c r="G337" s="13">
        <v>2000</v>
      </c>
      <c r="H337" s="7" t="s">
        <v>13</v>
      </c>
      <c r="I337" s="8" t="s">
        <v>49</v>
      </c>
      <c r="J337" s="19"/>
      <c r="K337" s="19">
        <v>48547</v>
      </c>
    </row>
    <row r="338" spans="1:11" ht="14.4" x14ac:dyDescent="0.3">
      <c r="A338" s="3">
        <v>71</v>
      </c>
      <c r="B338" s="14"/>
      <c r="C338" s="15" t="s">
        <v>121</v>
      </c>
      <c r="D338" s="12" t="s">
        <v>26</v>
      </c>
      <c r="E338" s="12" t="s">
        <v>12</v>
      </c>
      <c r="F338" s="12">
        <v>106.1</v>
      </c>
      <c r="G338" s="13">
        <v>250</v>
      </c>
      <c r="H338" s="7" t="s">
        <v>13</v>
      </c>
      <c r="I338" s="8" t="s">
        <v>14</v>
      </c>
      <c r="J338" s="19"/>
      <c r="K338" s="19">
        <v>48547</v>
      </c>
    </row>
    <row r="339" spans="1:11" ht="15.6" x14ac:dyDescent="0.3">
      <c r="A339" s="3">
        <f>A338+1</f>
        <v>72</v>
      </c>
      <c r="B339" s="4"/>
      <c r="C339" s="11" t="s">
        <v>501</v>
      </c>
      <c r="D339" s="12" t="s">
        <v>51</v>
      </c>
      <c r="E339" s="12" t="s">
        <v>12</v>
      </c>
      <c r="F339" s="12" t="s">
        <v>100</v>
      </c>
      <c r="G339" s="27">
        <v>300</v>
      </c>
      <c r="H339" s="7" t="s">
        <v>13</v>
      </c>
      <c r="I339" s="8" t="s">
        <v>14</v>
      </c>
      <c r="J339" s="9"/>
      <c r="K339" s="9">
        <v>48550</v>
      </c>
    </row>
    <row r="340" spans="1:11" ht="28.2" x14ac:dyDescent="0.3">
      <c r="A340" s="3">
        <f>A339+1</f>
        <v>73</v>
      </c>
      <c r="B340" s="3">
        <v>11</v>
      </c>
      <c r="C340" s="15" t="s">
        <v>287</v>
      </c>
      <c r="D340" s="12" t="s">
        <v>44</v>
      </c>
      <c r="E340" s="12" t="s">
        <v>12</v>
      </c>
      <c r="F340" s="12">
        <v>97.7</v>
      </c>
      <c r="G340" s="27">
        <v>100</v>
      </c>
      <c r="H340" s="7" t="s">
        <v>13</v>
      </c>
      <c r="I340" s="8" t="s">
        <v>14</v>
      </c>
      <c r="J340" s="10" t="s">
        <v>288</v>
      </c>
      <c r="K340" s="19">
        <v>48559</v>
      </c>
    </row>
    <row r="341" spans="1:11" ht="31.2" x14ac:dyDescent="0.3">
      <c r="A341" s="3">
        <f>A340+1</f>
        <v>74</v>
      </c>
      <c r="B341" s="4"/>
      <c r="C341" s="11" t="s">
        <v>472</v>
      </c>
      <c r="D341" s="12" t="s">
        <v>113</v>
      </c>
      <c r="E341" s="12" t="s">
        <v>16</v>
      </c>
      <c r="F341" s="12">
        <v>35</v>
      </c>
      <c r="G341" s="27">
        <v>600</v>
      </c>
      <c r="H341" s="7" t="s">
        <v>13</v>
      </c>
      <c r="I341" s="23" t="s">
        <v>14</v>
      </c>
      <c r="J341" s="9"/>
      <c r="K341" s="9">
        <v>48564</v>
      </c>
    </row>
    <row r="342" spans="1:11" ht="14.4" x14ac:dyDescent="0.3">
      <c r="A342" s="3">
        <f>A341+1</f>
        <v>75</v>
      </c>
      <c r="B342" s="14"/>
      <c r="C342" s="15" t="s">
        <v>310</v>
      </c>
      <c r="D342" s="12" t="s">
        <v>147</v>
      </c>
      <c r="E342" s="12" t="s">
        <v>27</v>
      </c>
      <c r="F342" s="12">
        <v>12</v>
      </c>
      <c r="G342" s="16">
        <v>100</v>
      </c>
      <c r="H342" s="7" t="s">
        <v>13</v>
      </c>
      <c r="I342" s="24" t="s">
        <v>14</v>
      </c>
      <c r="J342" s="19"/>
      <c r="K342" s="19">
        <v>48570</v>
      </c>
    </row>
    <row r="343" spans="1:11" ht="14.4" x14ac:dyDescent="0.3">
      <c r="A343" s="3">
        <f>A342+1</f>
        <v>76</v>
      </c>
      <c r="B343" s="3">
        <v>19</v>
      </c>
      <c r="C343" s="15" t="s">
        <v>454</v>
      </c>
      <c r="D343" s="12" t="s">
        <v>22</v>
      </c>
      <c r="E343" s="12" t="s">
        <v>27</v>
      </c>
      <c r="F343" s="12">
        <v>5</v>
      </c>
      <c r="G343" s="16">
        <v>250</v>
      </c>
      <c r="H343" s="7" t="s">
        <v>13</v>
      </c>
      <c r="I343" s="23" t="s">
        <v>14</v>
      </c>
      <c r="J343" s="10" t="s">
        <v>455</v>
      </c>
      <c r="K343" s="9">
        <v>48586</v>
      </c>
    </row>
    <row r="344" spans="1:11" ht="14.4" x14ac:dyDescent="0.3">
      <c r="A344" s="3">
        <v>56</v>
      </c>
      <c r="B344" s="14"/>
      <c r="C344" s="15" t="s">
        <v>99</v>
      </c>
      <c r="D344" s="12" t="s">
        <v>99</v>
      </c>
      <c r="E344" s="12" t="s">
        <v>12</v>
      </c>
      <c r="F344" s="12">
        <v>106.5</v>
      </c>
      <c r="G344" s="13">
        <v>50</v>
      </c>
      <c r="H344" s="7" t="s">
        <v>13</v>
      </c>
      <c r="I344" s="24" t="s">
        <v>14</v>
      </c>
      <c r="J344" s="9"/>
      <c r="K344" s="9">
        <v>48610</v>
      </c>
    </row>
    <row r="345" spans="1:11" ht="14.4" x14ac:dyDescent="0.3">
      <c r="A345" s="3">
        <f>A344+1</f>
        <v>57</v>
      </c>
      <c r="B345" s="14"/>
      <c r="C345" s="15" t="s">
        <v>518</v>
      </c>
      <c r="D345" s="12" t="s">
        <v>87</v>
      </c>
      <c r="E345" s="12" t="s">
        <v>12</v>
      </c>
      <c r="F345" s="12">
        <v>96.1</v>
      </c>
      <c r="G345" s="27">
        <v>500</v>
      </c>
      <c r="H345" s="7" t="s">
        <v>13</v>
      </c>
      <c r="I345" s="8" t="s">
        <v>14</v>
      </c>
      <c r="J345" s="9"/>
      <c r="K345" s="9">
        <v>48610</v>
      </c>
    </row>
    <row r="346" spans="1:11" ht="28.2" x14ac:dyDescent="0.3">
      <c r="A346" s="3">
        <f>A345+1</f>
        <v>58</v>
      </c>
      <c r="B346" s="4"/>
      <c r="C346" s="11" t="s">
        <v>247</v>
      </c>
      <c r="D346" s="12" t="s">
        <v>38</v>
      </c>
      <c r="E346" s="12" t="s">
        <v>12</v>
      </c>
      <c r="F346" s="12">
        <v>92.3</v>
      </c>
      <c r="G346" s="27">
        <v>250</v>
      </c>
      <c r="H346" s="67" t="s">
        <v>28</v>
      </c>
      <c r="I346" s="8" t="s">
        <v>14</v>
      </c>
      <c r="J346" s="9"/>
      <c r="K346" s="9">
        <v>48611</v>
      </c>
    </row>
    <row r="347" spans="1:11" ht="15.6" x14ac:dyDescent="0.3">
      <c r="A347" s="3">
        <v>26</v>
      </c>
      <c r="B347" s="4"/>
      <c r="C347" s="11" t="s">
        <v>19</v>
      </c>
      <c r="D347" s="12" t="s">
        <v>19</v>
      </c>
      <c r="E347" s="12" t="s">
        <v>12</v>
      </c>
      <c r="F347" s="12" t="s">
        <v>59</v>
      </c>
      <c r="G347" s="13">
        <v>5000</v>
      </c>
      <c r="H347" s="7" t="s">
        <v>13</v>
      </c>
      <c r="I347" s="70" t="s">
        <v>54</v>
      </c>
      <c r="J347" s="9"/>
      <c r="K347" s="9">
        <v>48615</v>
      </c>
    </row>
    <row r="348" spans="1:11" ht="28.2" x14ac:dyDescent="0.3">
      <c r="A348" s="3">
        <v>35</v>
      </c>
      <c r="B348" s="3">
        <v>1</v>
      </c>
      <c r="C348" s="15" t="s">
        <v>65</v>
      </c>
      <c r="D348" s="12" t="s">
        <v>65</v>
      </c>
      <c r="E348" s="12" t="s">
        <v>16</v>
      </c>
      <c r="F348" s="12">
        <v>39</v>
      </c>
      <c r="G348" s="16">
        <v>300</v>
      </c>
      <c r="H348" s="7" t="s">
        <v>13</v>
      </c>
      <c r="I348" s="8" t="s">
        <v>14</v>
      </c>
      <c r="J348" s="10" t="s">
        <v>68</v>
      </c>
      <c r="K348" s="19">
        <v>48644</v>
      </c>
    </row>
    <row r="349" spans="1:11" ht="28.2" x14ac:dyDescent="0.3">
      <c r="A349" s="3">
        <f>A348+1</f>
        <v>36</v>
      </c>
      <c r="B349" s="3">
        <v>14</v>
      </c>
      <c r="C349" s="11" t="s">
        <v>324</v>
      </c>
      <c r="D349" s="12" t="s">
        <v>19</v>
      </c>
      <c r="E349" s="12" t="s">
        <v>12</v>
      </c>
      <c r="F349" s="12">
        <v>96.9</v>
      </c>
      <c r="G349" s="27">
        <v>250</v>
      </c>
      <c r="H349" s="7" t="s">
        <v>13</v>
      </c>
      <c r="I349" s="8" t="s">
        <v>14</v>
      </c>
      <c r="J349" s="10" t="s">
        <v>325</v>
      </c>
      <c r="K349" s="9">
        <v>48658</v>
      </c>
    </row>
    <row r="350" spans="1:11" ht="28.2" x14ac:dyDescent="0.3">
      <c r="A350" s="3">
        <f>A349+1</f>
        <v>37</v>
      </c>
      <c r="B350" s="3">
        <v>13</v>
      </c>
      <c r="C350" s="15" t="s">
        <v>313</v>
      </c>
      <c r="D350" s="12" t="s">
        <v>87</v>
      </c>
      <c r="E350" s="12" t="s">
        <v>12</v>
      </c>
      <c r="F350" s="12">
        <v>93.3</v>
      </c>
      <c r="G350" s="27">
        <v>250</v>
      </c>
      <c r="H350" s="7" t="s">
        <v>13</v>
      </c>
      <c r="I350" s="8" t="s">
        <v>14</v>
      </c>
      <c r="J350" s="10" t="s">
        <v>314</v>
      </c>
      <c r="K350" s="9">
        <v>48660</v>
      </c>
    </row>
    <row r="351" spans="1:11" ht="14.4" x14ac:dyDescent="0.3">
      <c r="A351" s="3">
        <f>A350+1</f>
        <v>38</v>
      </c>
      <c r="B351" s="14"/>
      <c r="C351" s="15" t="s">
        <v>389</v>
      </c>
      <c r="D351" s="12" t="s">
        <v>24</v>
      </c>
      <c r="E351" s="12" t="s">
        <v>16</v>
      </c>
      <c r="F351" s="12">
        <v>39</v>
      </c>
      <c r="G351" s="27">
        <v>1400</v>
      </c>
      <c r="H351" s="7" t="s">
        <v>13</v>
      </c>
      <c r="I351" s="8" t="s">
        <v>14</v>
      </c>
      <c r="J351" s="9"/>
      <c r="K351" s="9">
        <v>48669</v>
      </c>
    </row>
    <row r="352" spans="1:11" ht="28.2" x14ac:dyDescent="0.3">
      <c r="A352" s="3">
        <f>A351+1</f>
        <v>39</v>
      </c>
      <c r="B352" s="3">
        <v>21</v>
      </c>
      <c r="C352" s="15" t="s">
        <v>468</v>
      </c>
      <c r="D352" s="12" t="s">
        <v>36</v>
      </c>
      <c r="E352" s="12" t="s">
        <v>12</v>
      </c>
      <c r="F352" s="12">
        <v>100.7</v>
      </c>
      <c r="G352" s="16">
        <v>500</v>
      </c>
      <c r="H352" s="7" t="s">
        <v>13</v>
      </c>
      <c r="I352" s="8" t="s">
        <v>14</v>
      </c>
      <c r="J352" s="10" t="s">
        <v>469</v>
      </c>
      <c r="K352" s="9">
        <v>48669</v>
      </c>
    </row>
    <row r="353" spans="1:11" ht="15.6" x14ac:dyDescent="0.3">
      <c r="A353" s="3">
        <f>A352+1</f>
        <v>40</v>
      </c>
      <c r="B353" s="4"/>
      <c r="C353" s="11" t="s">
        <v>407</v>
      </c>
      <c r="D353" s="12" t="s">
        <v>38</v>
      </c>
      <c r="E353" s="12" t="s">
        <v>12</v>
      </c>
      <c r="F353" s="12">
        <v>91.9</v>
      </c>
      <c r="G353" s="27">
        <v>250</v>
      </c>
      <c r="H353" s="7" t="s">
        <v>13</v>
      </c>
      <c r="I353" s="8" t="s">
        <v>131</v>
      </c>
      <c r="J353" s="9"/>
      <c r="K353" s="9">
        <v>48688</v>
      </c>
    </row>
    <row r="354" spans="1:11" ht="15.6" x14ac:dyDescent="0.3">
      <c r="A354" s="3">
        <f>A353+1</f>
        <v>41</v>
      </c>
      <c r="B354" s="4"/>
      <c r="C354" s="11" t="s">
        <v>392</v>
      </c>
      <c r="D354" s="12" t="s">
        <v>38</v>
      </c>
      <c r="E354" s="12" t="s">
        <v>12</v>
      </c>
      <c r="F354" s="12">
        <v>98.3</v>
      </c>
      <c r="G354" s="27">
        <v>250</v>
      </c>
      <c r="H354" s="7" t="s">
        <v>13</v>
      </c>
      <c r="I354" s="23" t="s">
        <v>131</v>
      </c>
      <c r="J354" s="9"/>
      <c r="K354" s="9">
        <v>48689</v>
      </c>
    </row>
    <row r="355" spans="1:11" ht="31.2" x14ac:dyDescent="0.3">
      <c r="A355" s="3">
        <f>A354+1</f>
        <v>42</v>
      </c>
      <c r="B355" s="3">
        <v>22</v>
      </c>
      <c r="C355" s="11" t="s">
        <v>473</v>
      </c>
      <c r="D355" s="12" t="s">
        <v>113</v>
      </c>
      <c r="E355" s="12" t="s">
        <v>57</v>
      </c>
      <c r="F355" s="12">
        <v>610</v>
      </c>
      <c r="G355" s="27">
        <v>1000</v>
      </c>
      <c r="H355" s="68" t="s">
        <v>13</v>
      </c>
      <c r="I355" s="21" t="s">
        <v>54</v>
      </c>
      <c r="J355" s="10" t="s">
        <v>474</v>
      </c>
      <c r="K355" s="9">
        <v>48715</v>
      </c>
    </row>
    <row r="356" spans="1:11" ht="14.4" x14ac:dyDescent="0.3">
      <c r="A356" s="3">
        <f>A355+1</f>
        <v>43</v>
      </c>
      <c r="B356" s="14"/>
      <c r="C356" s="15" t="s">
        <v>371</v>
      </c>
      <c r="D356" s="12" t="s">
        <v>22</v>
      </c>
      <c r="E356" s="12" t="s">
        <v>27</v>
      </c>
      <c r="F356" s="12">
        <v>10</v>
      </c>
      <c r="G356" s="27">
        <v>250</v>
      </c>
      <c r="H356" s="7" t="s">
        <v>13</v>
      </c>
      <c r="I356" s="23" t="s">
        <v>14</v>
      </c>
      <c r="J356" s="9"/>
      <c r="K356" s="9">
        <v>48720</v>
      </c>
    </row>
    <row r="357" spans="1:11" ht="14.4" x14ac:dyDescent="0.3">
      <c r="A357" s="3">
        <v>11</v>
      </c>
      <c r="B357" s="14"/>
      <c r="C357" s="15" t="s">
        <v>33</v>
      </c>
      <c r="D357" s="12" t="s">
        <v>34</v>
      </c>
      <c r="E357" s="12" t="s">
        <v>12</v>
      </c>
      <c r="F357" s="12">
        <v>102.1</v>
      </c>
      <c r="G357" s="13">
        <v>100</v>
      </c>
      <c r="H357" s="7" t="s">
        <v>13</v>
      </c>
      <c r="I357" s="8" t="s">
        <v>14</v>
      </c>
      <c r="J357" s="9"/>
      <c r="K357" s="9">
        <v>48740</v>
      </c>
    </row>
    <row r="358" spans="1:11" ht="14.4" x14ac:dyDescent="0.3">
      <c r="A358" s="3">
        <v>52</v>
      </c>
      <c r="B358" s="3">
        <f>B341+1</f>
        <v>1</v>
      </c>
      <c r="C358" s="15" t="s">
        <v>92</v>
      </c>
      <c r="D358" s="12" t="s">
        <v>26</v>
      </c>
      <c r="E358" s="12" t="s">
        <v>12</v>
      </c>
      <c r="F358" s="12">
        <v>92.9</v>
      </c>
      <c r="G358" s="13">
        <v>50</v>
      </c>
      <c r="H358" s="68" t="s">
        <v>13</v>
      </c>
      <c r="I358" s="23" t="s">
        <v>93</v>
      </c>
      <c r="J358" s="25" t="s">
        <v>94</v>
      </c>
      <c r="K358" s="26">
        <v>48765</v>
      </c>
    </row>
    <row r="359" spans="1:11" ht="28.2" x14ac:dyDescent="0.3">
      <c r="A359" s="3">
        <f>A358+1</f>
        <v>53</v>
      </c>
      <c r="B359" s="3">
        <v>9</v>
      </c>
      <c r="C359" s="11" t="s">
        <v>265</v>
      </c>
      <c r="D359" s="12" t="s">
        <v>30</v>
      </c>
      <c r="E359" s="12" t="s">
        <v>12</v>
      </c>
      <c r="F359" s="12">
        <v>93.7</v>
      </c>
      <c r="G359" s="27">
        <v>100</v>
      </c>
      <c r="H359" s="7" t="s">
        <v>13</v>
      </c>
      <c r="I359" s="23" t="s">
        <v>14</v>
      </c>
      <c r="J359" s="10" t="s">
        <v>266</v>
      </c>
      <c r="K359" s="9">
        <v>48765</v>
      </c>
    </row>
    <row r="360" spans="1:11" ht="28.2" x14ac:dyDescent="0.3">
      <c r="A360" s="3">
        <f>A359+1</f>
        <v>54</v>
      </c>
      <c r="B360" s="3">
        <v>10</v>
      </c>
      <c r="C360" s="15" t="s">
        <v>44</v>
      </c>
      <c r="D360" s="12" t="s">
        <v>44</v>
      </c>
      <c r="E360" s="12" t="s">
        <v>16</v>
      </c>
      <c r="F360" s="12">
        <v>25</v>
      </c>
      <c r="G360" s="27">
        <v>6000</v>
      </c>
      <c r="H360" s="7" t="s">
        <v>13</v>
      </c>
      <c r="I360" s="8" t="s">
        <v>14</v>
      </c>
      <c r="J360" s="10" t="s">
        <v>273</v>
      </c>
      <c r="K360" s="9">
        <v>48782</v>
      </c>
    </row>
    <row r="361" spans="1:11" ht="28.2" x14ac:dyDescent="0.3">
      <c r="A361" s="3">
        <f>A360+1</f>
        <v>55</v>
      </c>
      <c r="B361" s="3">
        <v>18</v>
      </c>
      <c r="C361" s="15" t="s">
        <v>447</v>
      </c>
      <c r="D361" s="12" t="s">
        <v>44</v>
      </c>
      <c r="E361" s="12" t="s">
        <v>12</v>
      </c>
      <c r="F361" s="12">
        <v>94.5</v>
      </c>
      <c r="G361" s="27">
        <v>100</v>
      </c>
      <c r="H361" s="67" t="s">
        <v>28</v>
      </c>
      <c r="I361" s="70" t="s">
        <v>54</v>
      </c>
      <c r="J361" s="10" t="s">
        <v>448</v>
      </c>
      <c r="K361" s="9">
        <v>48824</v>
      </c>
    </row>
    <row r="362" spans="1:11" ht="28.2" x14ac:dyDescent="0.3">
      <c r="A362" s="3">
        <v>109</v>
      </c>
      <c r="B362" s="3">
        <f>B355+1</f>
        <v>23</v>
      </c>
      <c r="C362" s="15" t="s">
        <v>169</v>
      </c>
      <c r="D362" s="12" t="s">
        <v>36</v>
      </c>
      <c r="E362" s="12" t="s">
        <v>12</v>
      </c>
      <c r="F362" s="12">
        <v>95.3</v>
      </c>
      <c r="G362" s="13">
        <v>500</v>
      </c>
      <c r="H362" s="7" t="s">
        <v>13</v>
      </c>
      <c r="I362" s="8" t="s">
        <v>14</v>
      </c>
      <c r="J362" s="10" t="s">
        <v>170</v>
      </c>
      <c r="K362" s="9">
        <v>48826</v>
      </c>
    </row>
    <row r="363" spans="1:11" ht="14.4" x14ac:dyDescent="0.3">
      <c r="A363" s="3">
        <f>A362+1</f>
        <v>110</v>
      </c>
      <c r="B363" s="14"/>
      <c r="C363" s="15" t="s">
        <v>36</v>
      </c>
      <c r="D363" s="12" t="s">
        <v>36</v>
      </c>
      <c r="E363" s="12" t="s">
        <v>12</v>
      </c>
      <c r="F363" s="12" t="s">
        <v>380</v>
      </c>
      <c r="G363" s="16">
        <v>1000</v>
      </c>
      <c r="H363" s="7" t="s">
        <v>13</v>
      </c>
      <c r="I363" s="8" t="s">
        <v>14</v>
      </c>
      <c r="J363" s="9"/>
      <c r="K363" s="9">
        <v>48837</v>
      </c>
    </row>
    <row r="364" spans="1:11" ht="28.2" x14ac:dyDescent="0.3">
      <c r="A364" s="3">
        <f>A363+1</f>
        <v>111</v>
      </c>
      <c r="B364" s="3">
        <v>17</v>
      </c>
      <c r="C364" s="15" t="s">
        <v>405</v>
      </c>
      <c r="D364" s="12" t="s">
        <v>65</v>
      </c>
      <c r="E364" s="12" t="s">
        <v>12</v>
      </c>
      <c r="F364" s="12">
        <v>99.3</v>
      </c>
      <c r="G364" s="27">
        <v>250</v>
      </c>
      <c r="H364" s="7" t="s">
        <v>13</v>
      </c>
      <c r="I364" s="23" t="s">
        <v>14</v>
      </c>
      <c r="J364" s="10" t="s">
        <v>406</v>
      </c>
      <c r="K364" s="9">
        <v>48838</v>
      </c>
    </row>
    <row r="365" spans="1:11" ht="15.6" x14ac:dyDescent="0.3">
      <c r="A365" s="3">
        <f>A364+1</f>
        <v>112</v>
      </c>
      <c r="B365" s="4"/>
      <c r="C365" s="11" t="s">
        <v>376</v>
      </c>
      <c r="D365" s="12" t="s">
        <v>153</v>
      </c>
      <c r="E365" s="12" t="s">
        <v>12</v>
      </c>
      <c r="F365" s="12">
        <v>99.5</v>
      </c>
      <c r="G365" s="27">
        <v>500</v>
      </c>
      <c r="H365" s="7" t="s">
        <v>13</v>
      </c>
      <c r="I365" s="70" t="s">
        <v>54</v>
      </c>
      <c r="J365" s="9"/>
      <c r="K365" s="9">
        <v>48843</v>
      </c>
    </row>
    <row r="366" spans="1:11" ht="28.2" x14ac:dyDescent="0.3">
      <c r="A366" s="3">
        <v>100</v>
      </c>
      <c r="B366" s="3">
        <f>B318+1</f>
        <v>1</v>
      </c>
      <c r="C366" s="11" t="s">
        <v>152</v>
      </c>
      <c r="D366" s="12" t="s">
        <v>153</v>
      </c>
      <c r="E366" s="12" t="s">
        <v>12</v>
      </c>
      <c r="F366" s="12">
        <v>95.1</v>
      </c>
      <c r="G366" s="13">
        <v>500</v>
      </c>
      <c r="H366" s="7" t="s">
        <v>13</v>
      </c>
      <c r="I366" s="8" t="s">
        <v>14</v>
      </c>
      <c r="J366" s="10" t="s">
        <v>154</v>
      </c>
      <c r="K366" s="9">
        <v>48844</v>
      </c>
    </row>
    <row r="367" spans="1:11" ht="28.2" x14ac:dyDescent="0.3">
      <c r="A367" s="3">
        <f>A366+1</f>
        <v>101</v>
      </c>
      <c r="B367" s="3">
        <v>7</v>
      </c>
      <c r="C367" s="11" t="s">
        <v>255</v>
      </c>
      <c r="D367" s="12" t="s">
        <v>51</v>
      </c>
      <c r="E367" s="12" t="s">
        <v>12</v>
      </c>
      <c r="F367" s="12">
        <v>92.5</v>
      </c>
      <c r="G367" s="27">
        <v>100</v>
      </c>
      <c r="H367" s="7" t="s">
        <v>13</v>
      </c>
      <c r="I367" s="8" t="s">
        <v>14</v>
      </c>
      <c r="J367" s="10" t="s">
        <v>256</v>
      </c>
      <c r="K367" s="9">
        <v>48846</v>
      </c>
    </row>
    <row r="368" spans="1:11" ht="14.4" x14ac:dyDescent="0.3">
      <c r="A368" s="3">
        <f>A367+1</f>
        <v>102</v>
      </c>
      <c r="B368" s="14"/>
      <c r="C368" s="15" t="s">
        <v>215</v>
      </c>
      <c r="D368" s="12" t="s">
        <v>44</v>
      </c>
      <c r="E368" s="12" t="s">
        <v>12</v>
      </c>
      <c r="F368" s="12" t="s">
        <v>216</v>
      </c>
      <c r="G368" s="16">
        <v>250</v>
      </c>
      <c r="H368" s="7" t="s">
        <v>13</v>
      </c>
      <c r="I368" s="23" t="s">
        <v>14</v>
      </c>
      <c r="J368" s="19"/>
      <c r="K368" s="19">
        <v>48863</v>
      </c>
    </row>
    <row r="369" spans="1:11" ht="28.2" x14ac:dyDescent="0.3">
      <c r="A369" s="3">
        <v>134</v>
      </c>
      <c r="B369" s="3">
        <v>6</v>
      </c>
      <c r="C369" s="15" t="s">
        <v>198</v>
      </c>
      <c r="D369" s="12" t="s">
        <v>44</v>
      </c>
      <c r="E369" s="12" t="s">
        <v>12</v>
      </c>
      <c r="F369" s="12">
        <v>89.1</v>
      </c>
      <c r="G369" s="13">
        <v>950</v>
      </c>
      <c r="H369" s="68" t="s">
        <v>13</v>
      </c>
      <c r="I369" s="8" t="s">
        <v>14</v>
      </c>
      <c r="J369" s="10" t="s">
        <v>199</v>
      </c>
      <c r="K369" s="19">
        <v>48869</v>
      </c>
    </row>
    <row r="370" spans="1:11" ht="28.2" x14ac:dyDescent="0.3">
      <c r="A370" s="3">
        <f>A369+1</f>
        <v>135</v>
      </c>
      <c r="B370" s="3">
        <v>20</v>
      </c>
      <c r="C370" s="15" t="s">
        <v>463</v>
      </c>
      <c r="D370" s="12" t="s">
        <v>36</v>
      </c>
      <c r="E370" s="12" t="s">
        <v>12</v>
      </c>
      <c r="F370" s="12">
        <v>90.1</v>
      </c>
      <c r="G370" s="16">
        <v>50</v>
      </c>
      <c r="H370" s="7" t="s">
        <v>13</v>
      </c>
      <c r="I370" s="8" t="s">
        <v>14</v>
      </c>
      <c r="J370" s="10" t="s">
        <v>464</v>
      </c>
      <c r="K370" s="19">
        <v>48874</v>
      </c>
    </row>
    <row r="371" spans="1:11" ht="28.2" x14ac:dyDescent="0.3">
      <c r="A371" s="3">
        <f>A370+1</f>
        <v>136</v>
      </c>
      <c r="B371" s="3">
        <v>23</v>
      </c>
      <c r="C371" s="15" t="s">
        <v>481</v>
      </c>
      <c r="D371" s="12" t="s">
        <v>22</v>
      </c>
      <c r="E371" s="12" t="s">
        <v>27</v>
      </c>
      <c r="F371" s="12">
        <v>9</v>
      </c>
      <c r="G371" s="27">
        <v>500</v>
      </c>
      <c r="H371" s="67" t="s">
        <v>28</v>
      </c>
      <c r="I371" s="23" t="s">
        <v>14</v>
      </c>
      <c r="J371" s="10" t="s">
        <v>482</v>
      </c>
      <c r="K371" s="19">
        <v>48876</v>
      </c>
    </row>
    <row r="372" spans="1:11" ht="14.4" x14ac:dyDescent="0.3">
      <c r="A372" s="3">
        <f>A371+1</f>
        <v>137</v>
      </c>
      <c r="B372" s="14"/>
      <c r="C372" s="15" t="s">
        <v>44</v>
      </c>
      <c r="D372" s="12" t="s">
        <v>44</v>
      </c>
      <c r="E372" s="12" t="s">
        <v>57</v>
      </c>
      <c r="F372" s="12">
        <v>760</v>
      </c>
      <c r="G372" s="27">
        <v>10000</v>
      </c>
      <c r="H372" s="7" t="s">
        <v>13</v>
      </c>
      <c r="I372" s="23" t="s">
        <v>49</v>
      </c>
      <c r="J372" s="19"/>
      <c r="K372" s="19">
        <v>48880</v>
      </c>
    </row>
    <row r="373" spans="1:11" ht="28.2" x14ac:dyDescent="0.3">
      <c r="A373" s="3">
        <f>A372+1</f>
        <v>138</v>
      </c>
      <c r="B373" s="3">
        <v>12</v>
      </c>
      <c r="C373" s="11" t="s">
        <v>234</v>
      </c>
      <c r="D373" s="12" t="s">
        <v>234</v>
      </c>
      <c r="E373" s="12" t="s">
        <v>12</v>
      </c>
      <c r="F373" s="12">
        <v>107.7</v>
      </c>
      <c r="G373" s="27">
        <v>500</v>
      </c>
      <c r="H373" s="7" t="s">
        <v>13</v>
      </c>
      <c r="I373" s="8" t="s">
        <v>14</v>
      </c>
      <c r="J373" s="10" t="s">
        <v>308</v>
      </c>
      <c r="K373" s="19">
        <v>48907</v>
      </c>
    </row>
    <row r="374" spans="1:11" ht="31.2" x14ac:dyDescent="0.3">
      <c r="A374" s="3">
        <v>102</v>
      </c>
      <c r="B374" s="3">
        <v>4</v>
      </c>
      <c r="C374" s="11" t="s">
        <v>157</v>
      </c>
      <c r="D374" s="12" t="s">
        <v>11</v>
      </c>
      <c r="E374" s="12" t="s">
        <v>12</v>
      </c>
      <c r="F374" s="12">
        <v>93.1</v>
      </c>
      <c r="G374" s="13">
        <v>500</v>
      </c>
      <c r="H374" s="7" t="s">
        <v>13</v>
      </c>
      <c r="I374" s="8" t="s">
        <v>14</v>
      </c>
      <c r="J374" s="10" t="s">
        <v>158</v>
      </c>
      <c r="K374" s="9">
        <v>48917</v>
      </c>
    </row>
    <row r="375" spans="1:11" ht="31.2" x14ac:dyDescent="0.3">
      <c r="A375" s="3">
        <f>A374+1</f>
        <v>103</v>
      </c>
      <c r="B375" s="3">
        <v>16</v>
      </c>
      <c r="C375" s="11" t="s">
        <v>396</v>
      </c>
      <c r="D375" s="12" t="s">
        <v>30</v>
      </c>
      <c r="E375" s="12" t="s">
        <v>12</v>
      </c>
      <c r="F375" s="12">
        <v>91.7</v>
      </c>
      <c r="G375" s="27">
        <v>950</v>
      </c>
      <c r="H375" s="7" t="s">
        <v>13</v>
      </c>
      <c r="I375" s="23" t="s">
        <v>14</v>
      </c>
      <c r="J375" s="10" t="s">
        <v>397</v>
      </c>
      <c r="K375" s="19">
        <v>48927</v>
      </c>
    </row>
    <row r="376" spans="1:11" ht="28.2" x14ac:dyDescent="0.3">
      <c r="A376" s="3">
        <f>A375+1</f>
        <v>104</v>
      </c>
      <c r="B376" s="3">
        <v>8</v>
      </c>
      <c r="C376" s="15" t="s">
        <v>263</v>
      </c>
      <c r="D376" s="12" t="s">
        <v>34</v>
      </c>
      <c r="E376" s="12" t="s">
        <v>12</v>
      </c>
      <c r="F376" s="12">
        <v>94.7</v>
      </c>
      <c r="G376" s="27">
        <v>300</v>
      </c>
      <c r="H376" s="7" t="s">
        <v>13</v>
      </c>
      <c r="I376" s="8" t="s">
        <v>14</v>
      </c>
      <c r="J376" s="10" t="s">
        <v>264</v>
      </c>
      <c r="K376" s="19">
        <v>48933</v>
      </c>
    </row>
    <row r="377" spans="1:11" ht="28.2" x14ac:dyDescent="0.3">
      <c r="A377" s="3">
        <f>A376+1</f>
        <v>105</v>
      </c>
      <c r="B377" s="3">
        <v>15</v>
      </c>
      <c r="C377" s="11" t="s">
        <v>329</v>
      </c>
      <c r="D377" s="12" t="s">
        <v>234</v>
      </c>
      <c r="E377" s="12" t="s">
        <v>12</v>
      </c>
      <c r="F377" s="12">
        <v>95.3</v>
      </c>
      <c r="G377" s="27">
        <v>50</v>
      </c>
      <c r="H377" s="7" t="s">
        <v>13</v>
      </c>
      <c r="I377" s="23" t="s">
        <v>14</v>
      </c>
      <c r="J377" s="10" t="s">
        <v>330</v>
      </c>
      <c r="K377" s="19">
        <v>48933</v>
      </c>
    </row>
    <row r="378" spans="1:11" ht="28.2" x14ac:dyDescent="0.3">
      <c r="A378" s="3">
        <f>A377+1</f>
        <v>106</v>
      </c>
      <c r="B378" s="3">
        <v>17</v>
      </c>
      <c r="C378" s="11" t="s">
        <v>403</v>
      </c>
      <c r="D378" s="12" t="s">
        <v>234</v>
      </c>
      <c r="E378" s="12" t="s">
        <v>12</v>
      </c>
      <c r="F378" s="12">
        <v>94.7</v>
      </c>
      <c r="G378" s="27">
        <v>50</v>
      </c>
      <c r="H378" s="68" t="s">
        <v>13</v>
      </c>
      <c r="I378" s="8" t="s">
        <v>14</v>
      </c>
      <c r="J378" s="10" t="s">
        <v>404</v>
      </c>
      <c r="K378" s="9">
        <v>48967</v>
      </c>
    </row>
    <row r="379" spans="1:11" ht="28.2" x14ac:dyDescent="0.3">
      <c r="A379" s="3">
        <v>81</v>
      </c>
      <c r="B379" s="4"/>
      <c r="C379" s="11" t="s">
        <v>130</v>
      </c>
      <c r="D379" s="12" t="s">
        <v>51</v>
      </c>
      <c r="E379" s="12" t="s">
        <v>12</v>
      </c>
      <c r="F379" s="12">
        <v>96.5</v>
      </c>
      <c r="G379" s="13">
        <v>100</v>
      </c>
      <c r="H379" s="67" t="s">
        <v>28</v>
      </c>
      <c r="I379" s="23" t="s">
        <v>131</v>
      </c>
      <c r="J379" s="9"/>
      <c r="K379" s="9">
        <v>48973</v>
      </c>
    </row>
    <row r="380" spans="1:11" ht="28.2" x14ac:dyDescent="0.3">
      <c r="A380" s="3">
        <f>A379+1</f>
        <v>82</v>
      </c>
      <c r="B380" s="3">
        <v>16</v>
      </c>
      <c r="C380" s="11" t="s">
        <v>38</v>
      </c>
      <c r="D380" s="12" t="s">
        <v>38</v>
      </c>
      <c r="E380" s="12" t="s">
        <v>12</v>
      </c>
      <c r="F380" s="12">
        <v>92.1</v>
      </c>
      <c r="G380" s="27">
        <v>950</v>
      </c>
      <c r="H380" s="7" t="s">
        <v>13</v>
      </c>
      <c r="I380" s="29" t="s">
        <v>400</v>
      </c>
      <c r="J380" s="10" t="s">
        <v>401</v>
      </c>
      <c r="K380" s="9">
        <v>48974</v>
      </c>
    </row>
    <row r="381" spans="1:11" ht="28.2" x14ac:dyDescent="0.3">
      <c r="A381" s="3">
        <v>126</v>
      </c>
      <c r="B381" s="3">
        <v>9</v>
      </c>
      <c r="C381" s="11" t="s">
        <v>189</v>
      </c>
      <c r="D381" s="12" t="s">
        <v>11</v>
      </c>
      <c r="E381" s="12" t="s">
        <v>12</v>
      </c>
      <c r="F381" s="12">
        <v>90.9</v>
      </c>
      <c r="G381" s="13">
        <v>150</v>
      </c>
      <c r="H381" s="7" t="s">
        <v>13</v>
      </c>
      <c r="I381" s="8" t="s">
        <v>14</v>
      </c>
      <c r="J381" s="10" t="s">
        <v>191</v>
      </c>
      <c r="K381" s="9">
        <v>48980</v>
      </c>
    </row>
    <row r="382" spans="1:11" ht="14.4" x14ac:dyDescent="0.3">
      <c r="A382" s="3">
        <v>36</v>
      </c>
      <c r="B382" s="3">
        <v>5</v>
      </c>
      <c r="C382" s="15" t="s">
        <v>65</v>
      </c>
      <c r="D382" s="12" t="s">
        <v>65</v>
      </c>
      <c r="E382" s="12" t="s">
        <v>12</v>
      </c>
      <c r="F382" s="12">
        <v>93.9</v>
      </c>
      <c r="G382" s="13">
        <v>2000</v>
      </c>
      <c r="H382" s="7" t="s">
        <v>13</v>
      </c>
      <c r="I382" s="8" t="s">
        <v>69</v>
      </c>
      <c r="J382" s="10" t="s">
        <v>70</v>
      </c>
      <c r="K382" s="9">
        <v>48987</v>
      </c>
    </row>
    <row r="383" spans="1:11" ht="15.6" x14ac:dyDescent="0.3">
      <c r="A383" s="3">
        <f>A382+1</f>
        <v>37</v>
      </c>
      <c r="B383" s="3">
        <v>21</v>
      </c>
      <c r="C383" s="11" t="s">
        <v>460</v>
      </c>
      <c r="D383" s="12" t="s">
        <v>51</v>
      </c>
      <c r="E383" s="12" t="s">
        <v>27</v>
      </c>
      <c r="F383" s="12">
        <v>4</v>
      </c>
      <c r="G383" s="27">
        <v>250</v>
      </c>
      <c r="H383" s="7" t="s">
        <v>13</v>
      </c>
      <c r="I383" s="8" t="s">
        <v>14</v>
      </c>
      <c r="J383" s="10" t="s">
        <v>461</v>
      </c>
      <c r="K383" s="9">
        <v>48991</v>
      </c>
    </row>
    <row r="384" spans="1:11" ht="14.4" x14ac:dyDescent="0.3">
      <c r="A384" s="3">
        <v>96</v>
      </c>
      <c r="B384" s="14"/>
      <c r="C384" s="15" t="s">
        <v>146</v>
      </c>
      <c r="D384" s="12" t="s">
        <v>147</v>
      </c>
      <c r="E384" s="12" t="s">
        <v>12</v>
      </c>
      <c r="F384" s="12" t="s">
        <v>148</v>
      </c>
      <c r="G384" s="13">
        <v>2000</v>
      </c>
      <c r="H384" s="68" t="s">
        <v>13</v>
      </c>
      <c r="I384" s="8" t="s">
        <v>14</v>
      </c>
      <c r="J384" s="9"/>
      <c r="K384" s="9">
        <v>49005</v>
      </c>
    </row>
    <row r="385" spans="1:11" ht="28.2" x14ac:dyDescent="0.3">
      <c r="A385" s="3">
        <f>A384+1</f>
        <v>97</v>
      </c>
      <c r="B385" s="3">
        <v>11</v>
      </c>
      <c r="C385" s="11" t="s">
        <v>248</v>
      </c>
      <c r="D385" s="12" t="s">
        <v>38</v>
      </c>
      <c r="E385" s="12" t="s">
        <v>12</v>
      </c>
      <c r="F385" s="12">
        <v>101.3</v>
      </c>
      <c r="G385" s="27">
        <v>1000</v>
      </c>
      <c r="H385" s="68" t="s">
        <v>13</v>
      </c>
      <c r="I385" s="8" t="s">
        <v>249</v>
      </c>
      <c r="J385" s="10" t="s">
        <v>250</v>
      </c>
      <c r="K385" s="9">
        <v>49008</v>
      </c>
    </row>
    <row r="386" spans="1:11" ht="15.6" x14ac:dyDescent="0.3">
      <c r="A386" s="3">
        <v>16</v>
      </c>
      <c r="B386" s="3">
        <v>2</v>
      </c>
      <c r="C386" s="11" t="s">
        <v>40</v>
      </c>
      <c r="D386" s="12" t="s">
        <v>11</v>
      </c>
      <c r="E386" s="12" t="s">
        <v>27</v>
      </c>
      <c r="F386" s="12">
        <v>9</v>
      </c>
      <c r="G386" s="13">
        <v>100</v>
      </c>
      <c r="H386" s="68" t="s">
        <v>13</v>
      </c>
      <c r="I386" s="8" t="s">
        <v>14</v>
      </c>
      <c r="J386" s="70" t="s">
        <v>42</v>
      </c>
      <c r="K386" s="9">
        <v>49012</v>
      </c>
    </row>
    <row r="387" spans="1:11" ht="28.2" x14ac:dyDescent="0.3">
      <c r="A387" s="3">
        <f>A386+1</f>
        <v>17</v>
      </c>
      <c r="B387" s="3">
        <v>13</v>
      </c>
      <c r="C387" s="11" t="s">
        <v>304</v>
      </c>
      <c r="D387" s="12" t="s">
        <v>51</v>
      </c>
      <c r="E387" s="12" t="s">
        <v>12</v>
      </c>
      <c r="F387" s="12">
        <v>96.1</v>
      </c>
      <c r="G387" s="27">
        <v>150</v>
      </c>
      <c r="H387" s="7" t="s">
        <v>13</v>
      </c>
      <c r="I387" s="23" t="s">
        <v>14</v>
      </c>
      <c r="J387" s="10" t="s">
        <v>305</v>
      </c>
      <c r="K387" s="9">
        <v>49050</v>
      </c>
    </row>
    <row r="388" spans="1:11" ht="28.2" x14ac:dyDescent="0.3">
      <c r="A388" s="3">
        <f>A387+1</f>
        <v>18</v>
      </c>
      <c r="B388" s="3">
        <v>18</v>
      </c>
      <c r="C388" s="15" t="s">
        <v>437</v>
      </c>
      <c r="D388" s="12" t="s">
        <v>87</v>
      </c>
      <c r="E388" s="12" t="s">
        <v>12</v>
      </c>
      <c r="F388" s="12">
        <v>97.7</v>
      </c>
      <c r="G388" s="27">
        <v>100</v>
      </c>
      <c r="H388" s="7" t="s">
        <v>13</v>
      </c>
      <c r="I388" s="23" t="s">
        <v>14</v>
      </c>
      <c r="J388" s="10" t="s">
        <v>438</v>
      </c>
      <c r="K388" s="9">
        <v>49050</v>
      </c>
    </row>
    <row r="389" spans="1:11" ht="28.2" x14ac:dyDescent="0.3">
      <c r="A389" s="3">
        <f>A388+1</f>
        <v>19</v>
      </c>
      <c r="B389" s="3">
        <v>19</v>
      </c>
      <c r="C389" s="15" t="s">
        <v>439</v>
      </c>
      <c r="D389" s="12" t="s">
        <v>81</v>
      </c>
      <c r="E389" s="12" t="s">
        <v>12</v>
      </c>
      <c r="F389" s="12">
        <v>95.3</v>
      </c>
      <c r="G389" s="16">
        <v>250</v>
      </c>
      <c r="H389" s="7" t="s">
        <v>13</v>
      </c>
      <c r="I389" s="8" t="s">
        <v>14</v>
      </c>
      <c r="J389" s="10" t="s">
        <v>440</v>
      </c>
      <c r="K389" s="9">
        <v>49058</v>
      </c>
    </row>
    <row r="390" spans="1:11" ht="14.4" x14ac:dyDescent="0.3">
      <c r="A390" s="3">
        <f>A389+1</f>
        <v>20</v>
      </c>
      <c r="B390" s="3">
        <v>22</v>
      </c>
      <c r="C390" s="15" t="s">
        <v>487</v>
      </c>
      <c r="D390" s="12" t="s">
        <v>81</v>
      </c>
      <c r="E390" s="12" t="s">
        <v>12</v>
      </c>
      <c r="F390" s="12" t="s">
        <v>488</v>
      </c>
      <c r="G390" s="16">
        <v>250</v>
      </c>
      <c r="H390" s="7" t="s">
        <v>13</v>
      </c>
      <c r="I390" s="8" t="s">
        <v>14</v>
      </c>
      <c r="J390" s="10" t="s">
        <v>489</v>
      </c>
      <c r="K390" s="9">
        <v>49086</v>
      </c>
    </row>
    <row r="391" spans="1:11" ht="15.6" x14ac:dyDescent="0.3">
      <c r="A391" s="3">
        <f>A390+1</f>
        <v>21</v>
      </c>
      <c r="B391" s="4"/>
      <c r="C391" s="11" t="s">
        <v>416</v>
      </c>
      <c r="D391" s="12" t="s">
        <v>19</v>
      </c>
      <c r="E391" s="12" t="s">
        <v>12</v>
      </c>
      <c r="F391" s="12">
        <v>97.1</v>
      </c>
      <c r="G391" s="16">
        <v>50</v>
      </c>
      <c r="H391" s="7" t="s">
        <v>13</v>
      </c>
      <c r="I391" s="8" t="s">
        <v>131</v>
      </c>
      <c r="J391" s="9"/>
      <c r="K391" s="9">
        <v>49093</v>
      </c>
    </row>
    <row r="392" spans="1:11" ht="14.4" x14ac:dyDescent="0.3">
      <c r="A392" s="3">
        <v>84</v>
      </c>
      <c r="B392" s="14"/>
      <c r="C392" s="15" t="s">
        <v>133</v>
      </c>
      <c r="D392" s="12" t="s">
        <v>26</v>
      </c>
      <c r="E392" s="12" t="s">
        <v>12</v>
      </c>
      <c r="F392" s="12" t="s">
        <v>134</v>
      </c>
      <c r="G392" s="13">
        <v>250</v>
      </c>
      <c r="H392" s="7" t="s">
        <v>13</v>
      </c>
      <c r="I392" s="8" t="s">
        <v>14</v>
      </c>
      <c r="J392" s="9"/>
      <c r="K392" s="9">
        <v>49136</v>
      </c>
    </row>
    <row r="393" spans="1:11" ht="28.2" x14ac:dyDescent="0.3">
      <c r="A393" s="3">
        <f>A392+1</f>
        <v>85</v>
      </c>
      <c r="B393" s="14"/>
      <c r="C393" s="15" t="s">
        <v>262</v>
      </c>
      <c r="D393" s="12" t="s">
        <v>26</v>
      </c>
      <c r="E393" s="12" t="s">
        <v>12</v>
      </c>
      <c r="F393" s="12">
        <v>103.5</v>
      </c>
      <c r="G393" s="16">
        <v>50</v>
      </c>
      <c r="H393" s="69" t="s">
        <v>48</v>
      </c>
      <c r="I393" s="8" t="s">
        <v>131</v>
      </c>
      <c r="J393" s="19"/>
      <c r="K393" s="19">
        <v>49142</v>
      </c>
    </row>
    <row r="394" spans="1:11" ht="15.6" x14ac:dyDescent="0.3">
      <c r="A394" s="3">
        <v>19</v>
      </c>
      <c r="B394" s="3">
        <v>3</v>
      </c>
      <c r="C394" s="11" t="s">
        <v>50</v>
      </c>
      <c r="D394" s="12" t="s">
        <v>51</v>
      </c>
      <c r="E394" s="12" t="s">
        <v>12</v>
      </c>
      <c r="F394" s="12">
        <v>101.1</v>
      </c>
      <c r="G394" s="13">
        <v>250</v>
      </c>
      <c r="H394" s="7" t="s">
        <v>13</v>
      </c>
      <c r="I394" s="8" t="s">
        <v>14</v>
      </c>
      <c r="J394" s="70" t="s">
        <v>52</v>
      </c>
      <c r="K394" s="9">
        <v>49156</v>
      </c>
    </row>
    <row r="395" spans="1:11" ht="28.2" x14ac:dyDescent="0.3">
      <c r="A395" s="3">
        <v>64</v>
      </c>
      <c r="B395" s="3">
        <v>7</v>
      </c>
      <c r="C395" s="15" t="s">
        <v>110</v>
      </c>
      <c r="D395" s="12" t="s">
        <v>24</v>
      </c>
      <c r="E395" s="12" t="s">
        <v>12</v>
      </c>
      <c r="F395" s="12">
        <v>93.3</v>
      </c>
      <c r="G395" s="13">
        <v>50</v>
      </c>
      <c r="H395" s="7" t="s">
        <v>13</v>
      </c>
      <c r="I395" s="8" t="s">
        <v>14</v>
      </c>
      <c r="J395" s="10" t="s">
        <v>111</v>
      </c>
      <c r="K395" s="9">
        <v>49191</v>
      </c>
    </row>
    <row r="396" spans="1:11" ht="28.2" x14ac:dyDescent="0.3">
      <c r="A396" s="3">
        <v>25</v>
      </c>
      <c r="B396" s="3">
        <v>4</v>
      </c>
      <c r="C396" s="11" t="s">
        <v>19</v>
      </c>
      <c r="D396" s="12" t="s">
        <v>19</v>
      </c>
      <c r="E396" s="12" t="s">
        <v>57</v>
      </c>
      <c r="F396" s="12">
        <v>770</v>
      </c>
      <c r="G396" s="13">
        <v>2500</v>
      </c>
      <c r="H396" s="7" t="s">
        <v>13</v>
      </c>
      <c r="I396" s="8" t="s">
        <v>14</v>
      </c>
      <c r="J396" s="10" t="s">
        <v>58</v>
      </c>
      <c r="K396" s="9">
        <v>49201</v>
      </c>
    </row>
    <row r="397" spans="1:11" ht="14.4" x14ac:dyDescent="0.3">
      <c r="A397" s="3">
        <f>A396+1</f>
        <v>26</v>
      </c>
      <c r="B397" s="14"/>
      <c r="C397" s="15" t="s">
        <v>208</v>
      </c>
      <c r="D397" s="12" t="s">
        <v>22</v>
      </c>
      <c r="E397" s="12" t="s">
        <v>12</v>
      </c>
      <c r="F397" s="12" t="s">
        <v>148</v>
      </c>
      <c r="G397" s="13">
        <v>950</v>
      </c>
      <c r="H397" s="7" t="s">
        <v>13</v>
      </c>
      <c r="I397" s="8" t="s">
        <v>210</v>
      </c>
      <c r="J397" s="9"/>
      <c r="K397" s="9">
        <v>49207</v>
      </c>
    </row>
    <row r="398" spans="1:11" ht="28.2" x14ac:dyDescent="0.3">
      <c r="A398" s="3">
        <v>18</v>
      </c>
      <c r="B398" s="14"/>
      <c r="C398" s="15" t="s">
        <v>46</v>
      </c>
      <c r="D398" s="12" t="s">
        <v>47</v>
      </c>
      <c r="E398" s="12" t="s">
        <v>12</v>
      </c>
      <c r="F398" s="12">
        <v>91.7</v>
      </c>
      <c r="G398" s="13">
        <v>100</v>
      </c>
      <c r="H398" s="69" t="s">
        <v>48</v>
      </c>
      <c r="I398" s="8" t="s">
        <v>49</v>
      </c>
      <c r="J398" s="9"/>
      <c r="K398" s="9">
        <v>49214</v>
      </c>
    </row>
    <row r="399" spans="1:11" ht="28.2" x14ac:dyDescent="0.3">
      <c r="A399" s="3">
        <f>A398+1</f>
        <v>19</v>
      </c>
      <c r="B399" s="3">
        <v>12</v>
      </c>
      <c r="C399" s="15" t="s">
        <v>281</v>
      </c>
      <c r="D399" s="12" t="s">
        <v>77</v>
      </c>
      <c r="E399" s="12" t="s">
        <v>12</v>
      </c>
      <c r="F399" s="12">
        <v>95.7</v>
      </c>
      <c r="G399" s="16">
        <v>50</v>
      </c>
      <c r="H399" s="7" t="s">
        <v>13</v>
      </c>
      <c r="I399" s="8" t="s">
        <v>14</v>
      </c>
      <c r="J399" s="10" t="s">
        <v>282</v>
      </c>
      <c r="K399" s="9">
        <v>49226</v>
      </c>
    </row>
    <row r="400" spans="1:11" ht="28.2" x14ac:dyDescent="0.3">
      <c r="A400" s="3">
        <f>A399+1</f>
        <v>20</v>
      </c>
      <c r="B400" s="3">
        <v>15</v>
      </c>
      <c r="C400" s="15" t="s">
        <v>385</v>
      </c>
      <c r="D400" s="12" t="s">
        <v>125</v>
      </c>
      <c r="E400" s="12" t="s">
        <v>12</v>
      </c>
      <c r="F400" s="12" t="s">
        <v>386</v>
      </c>
      <c r="G400" s="16">
        <v>150</v>
      </c>
      <c r="H400" s="67" t="s">
        <v>28</v>
      </c>
      <c r="I400" s="8" t="s">
        <v>49</v>
      </c>
      <c r="J400" s="10" t="s">
        <v>387</v>
      </c>
      <c r="K400" s="19">
        <v>49245</v>
      </c>
    </row>
    <row r="401" spans="1:11" ht="28.2" x14ac:dyDescent="0.3">
      <c r="A401" s="3">
        <f>A400+1</f>
        <v>21</v>
      </c>
      <c r="B401" s="3">
        <v>20</v>
      </c>
      <c r="C401" s="15" t="s">
        <v>457</v>
      </c>
      <c r="D401" s="12" t="s">
        <v>36</v>
      </c>
      <c r="E401" s="12" t="s">
        <v>27</v>
      </c>
      <c r="F401" s="12">
        <v>8</v>
      </c>
      <c r="G401" s="16">
        <v>250</v>
      </c>
      <c r="H401" s="7" t="s">
        <v>13</v>
      </c>
      <c r="I401" s="70" t="s">
        <v>54</v>
      </c>
      <c r="J401" s="10" t="s">
        <v>458</v>
      </c>
      <c r="K401" s="9">
        <v>49252</v>
      </c>
    </row>
    <row r="402" spans="1:11" ht="14.4" x14ac:dyDescent="0.3">
      <c r="A402" s="3">
        <f>A401+1</f>
        <v>22</v>
      </c>
      <c r="B402" s="14"/>
      <c r="C402" s="15" t="s">
        <v>462</v>
      </c>
      <c r="D402" s="12" t="s">
        <v>26</v>
      </c>
      <c r="E402" s="12" t="s">
        <v>12</v>
      </c>
      <c r="F402" s="12">
        <v>98.1</v>
      </c>
      <c r="G402" s="16">
        <v>250</v>
      </c>
      <c r="H402" s="7" t="s">
        <v>13</v>
      </c>
      <c r="I402" s="8" t="s">
        <v>49</v>
      </c>
      <c r="J402" s="9"/>
      <c r="K402" s="9">
        <v>49253</v>
      </c>
    </row>
    <row r="403" spans="1:11" ht="14.4" x14ac:dyDescent="0.3">
      <c r="A403" s="3">
        <f>A402+1</f>
        <v>23</v>
      </c>
      <c r="B403" s="14"/>
      <c r="C403" s="15" t="s">
        <v>332</v>
      </c>
      <c r="D403" s="12" t="s">
        <v>125</v>
      </c>
      <c r="E403" s="12" t="s">
        <v>12</v>
      </c>
      <c r="F403" s="12" t="s">
        <v>333</v>
      </c>
      <c r="G403" s="16">
        <v>250</v>
      </c>
      <c r="H403" s="7" t="s">
        <v>13</v>
      </c>
      <c r="I403" s="8" t="s">
        <v>49</v>
      </c>
      <c r="J403" s="19"/>
      <c r="K403" s="19">
        <v>49255</v>
      </c>
    </row>
    <row r="404" spans="1:11" ht="28.2" x14ac:dyDescent="0.3">
      <c r="A404" s="3">
        <f>A403+1</f>
        <v>24</v>
      </c>
      <c r="B404" s="3">
        <v>14</v>
      </c>
      <c r="C404" s="11" t="s">
        <v>383</v>
      </c>
      <c r="D404" s="12" t="s">
        <v>51</v>
      </c>
      <c r="E404" s="12" t="s">
        <v>12</v>
      </c>
      <c r="F404" s="12">
        <v>97.9</v>
      </c>
      <c r="G404" s="16">
        <v>250</v>
      </c>
      <c r="H404" s="7" t="s">
        <v>13</v>
      </c>
      <c r="I404" s="8" t="s">
        <v>14</v>
      </c>
      <c r="J404" s="10" t="s">
        <v>384</v>
      </c>
      <c r="K404" s="9">
        <v>49283</v>
      </c>
    </row>
    <row r="405" spans="1:11" ht="15.6" x14ac:dyDescent="0.3">
      <c r="A405" s="3">
        <v>15</v>
      </c>
      <c r="B405" s="3">
        <v>1</v>
      </c>
      <c r="C405" s="11" t="s">
        <v>40</v>
      </c>
      <c r="D405" s="12" t="s">
        <v>11</v>
      </c>
      <c r="E405" s="12" t="s">
        <v>12</v>
      </c>
      <c r="F405" s="12">
        <v>91.7</v>
      </c>
      <c r="G405" s="13">
        <v>500</v>
      </c>
      <c r="H405" s="7" t="s">
        <v>13</v>
      </c>
      <c r="I405" s="23" t="s">
        <v>14</v>
      </c>
      <c r="J405" s="20" t="s">
        <v>41</v>
      </c>
      <c r="K405" s="9">
        <v>49286</v>
      </c>
    </row>
    <row r="406" spans="1:11" ht="28.2" x14ac:dyDescent="0.3">
      <c r="A406" s="3">
        <v>140</v>
      </c>
      <c r="B406" s="14"/>
      <c r="C406" s="15" t="s">
        <v>204</v>
      </c>
      <c r="D406" s="12" t="s">
        <v>34</v>
      </c>
      <c r="E406" s="12" t="s">
        <v>12</v>
      </c>
      <c r="F406" s="12">
        <v>98.1</v>
      </c>
      <c r="G406" s="13">
        <v>100</v>
      </c>
      <c r="H406" s="69" t="s">
        <v>48</v>
      </c>
      <c r="I406" s="8" t="s">
        <v>49</v>
      </c>
      <c r="J406" s="19"/>
      <c r="K406" s="19">
        <v>49297</v>
      </c>
    </row>
    <row r="407" spans="1:11" ht="28.2" x14ac:dyDescent="0.3">
      <c r="A407" s="3">
        <f>A406+1</f>
        <v>141</v>
      </c>
      <c r="B407" s="3">
        <v>10</v>
      </c>
      <c r="C407" s="11" t="s">
        <v>205</v>
      </c>
      <c r="D407" s="12" t="s">
        <v>11</v>
      </c>
      <c r="E407" s="12" t="s">
        <v>12</v>
      </c>
      <c r="F407" s="12">
        <v>94.9</v>
      </c>
      <c r="G407" s="13">
        <v>50</v>
      </c>
      <c r="H407" s="7" t="s">
        <v>13</v>
      </c>
      <c r="I407" s="8" t="s">
        <v>14</v>
      </c>
      <c r="J407" s="10" t="s">
        <v>206</v>
      </c>
      <c r="K407" s="19">
        <v>49302</v>
      </c>
    </row>
    <row r="408" spans="1:11" ht="28.2" x14ac:dyDescent="0.3">
      <c r="A408" s="3">
        <v>44</v>
      </c>
      <c r="B408" s="3">
        <v>6</v>
      </c>
      <c r="C408" s="15" t="s">
        <v>76</v>
      </c>
      <c r="D408" s="12" t="s">
        <v>77</v>
      </c>
      <c r="E408" s="12" t="s">
        <v>12</v>
      </c>
      <c r="F408" s="12">
        <v>93.1</v>
      </c>
      <c r="G408" s="13">
        <v>250</v>
      </c>
      <c r="H408" s="7" t="s">
        <v>13</v>
      </c>
      <c r="I408" s="24" t="s">
        <v>14</v>
      </c>
      <c r="J408" s="10" t="s">
        <v>78</v>
      </c>
      <c r="K408" s="19">
        <v>49305</v>
      </c>
    </row>
    <row r="409" spans="1:11" ht="28.2" x14ac:dyDescent="0.3">
      <c r="A409" s="3">
        <v>85</v>
      </c>
      <c r="B409" s="3">
        <v>8</v>
      </c>
      <c r="C409" s="15" t="s">
        <v>135</v>
      </c>
      <c r="D409" s="12" t="s">
        <v>77</v>
      </c>
      <c r="E409" s="12" t="s">
        <v>12</v>
      </c>
      <c r="F409" s="12">
        <v>94.3</v>
      </c>
      <c r="G409" s="13">
        <v>500</v>
      </c>
      <c r="H409" s="7" t="s">
        <v>13</v>
      </c>
      <c r="I409" s="8" t="s">
        <v>14</v>
      </c>
      <c r="J409" s="10" t="s">
        <v>136</v>
      </c>
      <c r="K409" s="19">
        <v>49305</v>
      </c>
    </row>
    <row r="410" spans="1:11" ht="28.2" x14ac:dyDescent="0.3">
      <c r="A410" s="3">
        <v>121</v>
      </c>
      <c r="B410" s="14"/>
      <c r="C410" s="15" t="s">
        <v>184</v>
      </c>
      <c r="D410" s="12" t="s">
        <v>26</v>
      </c>
      <c r="E410" s="12" t="s">
        <v>12</v>
      </c>
      <c r="F410" s="12" t="s">
        <v>185</v>
      </c>
      <c r="G410" s="13">
        <v>50</v>
      </c>
      <c r="H410" s="69" t="s">
        <v>48</v>
      </c>
      <c r="I410" s="8" t="s">
        <v>145</v>
      </c>
      <c r="J410" s="19"/>
      <c r="K410" s="19">
        <v>49305</v>
      </c>
    </row>
    <row r="411" spans="1:11" ht="28.2" x14ac:dyDescent="0.3">
      <c r="A411" s="3">
        <v>23</v>
      </c>
      <c r="B411" s="14"/>
      <c r="C411" s="15" t="s">
        <v>56</v>
      </c>
      <c r="D411" s="12" t="s">
        <v>34</v>
      </c>
      <c r="E411" s="12" t="s">
        <v>12</v>
      </c>
      <c r="F411" s="12">
        <v>96.9</v>
      </c>
      <c r="G411" s="13">
        <v>50</v>
      </c>
      <c r="H411" s="69" t="s">
        <v>48</v>
      </c>
      <c r="I411" s="23" t="s">
        <v>49</v>
      </c>
      <c r="J411" s="9"/>
      <c r="K411" s="9">
        <v>49312</v>
      </c>
    </row>
    <row r="412" spans="1:11" ht="28.2" x14ac:dyDescent="0.3">
      <c r="A412" s="3">
        <f>A411+1</f>
        <v>24</v>
      </c>
      <c r="B412" s="14"/>
      <c r="C412" s="15" t="s">
        <v>374</v>
      </c>
      <c r="D412" s="12" t="s">
        <v>34</v>
      </c>
      <c r="E412" s="12" t="s">
        <v>12</v>
      </c>
      <c r="F412" s="12" t="s">
        <v>375</v>
      </c>
      <c r="G412" s="16">
        <v>100</v>
      </c>
      <c r="H412" s="69" t="s">
        <v>48</v>
      </c>
      <c r="I412" s="23" t="s">
        <v>49</v>
      </c>
      <c r="J412" s="9"/>
      <c r="K412" s="9">
        <v>49318</v>
      </c>
    </row>
    <row r="413" spans="1:11" ht="14.4" x14ac:dyDescent="0.3">
      <c r="A413" s="3">
        <f>A412+1</f>
        <v>25</v>
      </c>
      <c r="B413" s="3">
        <v>24</v>
      </c>
      <c r="C413" s="15" t="s">
        <v>284</v>
      </c>
      <c r="D413" s="12" t="s">
        <v>44</v>
      </c>
      <c r="E413" s="12" t="s">
        <v>12</v>
      </c>
      <c r="F413" s="12">
        <v>93.3</v>
      </c>
      <c r="G413" s="27">
        <v>150</v>
      </c>
      <c r="H413" s="7" t="s">
        <v>13</v>
      </c>
      <c r="I413" s="23" t="s">
        <v>14</v>
      </c>
      <c r="J413" s="10" t="s">
        <v>285</v>
      </c>
      <c r="K413" s="9">
        <v>49350</v>
      </c>
    </row>
    <row r="414" spans="1:11" ht="15.6" x14ac:dyDescent="0.3">
      <c r="A414" s="3">
        <f>A413+1</f>
        <v>26</v>
      </c>
      <c r="B414" s="3">
        <v>33</v>
      </c>
      <c r="C414" s="11" t="s">
        <v>345</v>
      </c>
      <c r="D414" s="12" t="s">
        <v>19</v>
      </c>
      <c r="E414" s="12" t="s">
        <v>12</v>
      </c>
      <c r="F414" s="12">
        <v>92.9</v>
      </c>
      <c r="G414" s="13">
        <v>250</v>
      </c>
      <c r="H414" s="68" t="s">
        <v>13</v>
      </c>
      <c r="I414" s="8" t="s">
        <v>14</v>
      </c>
      <c r="J414" s="10" t="s">
        <v>346</v>
      </c>
      <c r="K414" s="9">
        <v>49350</v>
      </c>
    </row>
    <row r="415" spans="1:11" ht="14.4" x14ac:dyDescent="0.3">
      <c r="A415" s="3">
        <f>A414+1</f>
        <v>27</v>
      </c>
      <c r="B415" s="3">
        <v>34</v>
      </c>
      <c r="C415" s="15" t="s">
        <v>363</v>
      </c>
      <c r="D415" s="12" t="s">
        <v>21</v>
      </c>
      <c r="E415" s="12" t="s">
        <v>12</v>
      </c>
      <c r="F415" s="12">
        <v>94.7</v>
      </c>
      <c r="G415" s="27">
        <v>50</v>
      </c>
      <c r="H415" s="7" t="s">
        <v>13</v>
      </c>
      <c r="I415" s="8" t="s">
        <v>14</v>
      </c>
      <c r="J415" s="10" t="s">
        <v>364</v>
      </c>
      <c r="K415" s="9">
        <v>49350</v>
      </c>
    </row>
    <row r="416" spans="1:11" ht="14.4" x14ac:dyDescent="0.3">
      <c r="A416" s="3">
        <f>A415+1</f>
        <v>28</v>
      </c>
      <c r="B416" s="3">
        <v>25</v>
      </c>
      <c r="C416" s="15" t="s">
        <v>289</v>
      </c>
      <c r="D416" s="12" t="s">
        <v>36</v>
      </c>
      <c r="E416" s="12" t="s">
        <v>12</v>
      </c>
      <c r="F416" s="12">
        <v>105.9</v>
      </c>
      <c r="G416" s="16">
        <v>50</v>
      </c>
      <c r="H416" s="7" t="s">
        <v>13</v>
      </c>
      <c r="I416" s="8" t="s">
        <v>14</v>
      </c>
      <c r="J416" s="10" t="s">
        <v>290</v>
      </c>
      <c r="K416" s="9">
        <v>49356</v>
      </c>
    </row>
    <row r="417" spans="1:11" ht="14.4" x14ac:dyDescent="0.3">
      <c r="A417" s="3">
        <f>A416+1</f>
        <v>29</v>
      </c>
      <c r="B417" s="3">
        <v>39</v>
      </c>
      <c r="C417" s="15" t="s">
        <v>419</v>
      </c>
      <c r="D417" s="12" t="s">
        <v>81</v>
      </c>
      <c r="E417" s="12" t="s">
        <v>12</v>
      </c>
      <c r="F417" s="12">
        <v>89.9</v>
      </c>
      <c r="G417" s="16">
        <v>500</v>
      </c>
      <c r="H417" s="7" t="s">
        <v>13</v>
      </c>
      <c r="I417" s="23" t="s">
        <v>14</v>
      </c>
      <c r="J417" s="10" t="s">
        <v>420</v>
      </c>
      <c r="K417" s="9">
        <v>49356</v>
      </c>
    </row>
    <row r="418" spans="1:11" ht="28.2" x14ac:dyDescent="0.3">
      <c r="A418" s="3">
        <v>98</v>
      </c>
      <c r="B418" s="3">
        <v>9</v>
      </c>
      <c r="C418" s="15" t="s">
        <v>150</v>
      </c>
      <c r="D418" s="12" t="s">
        <v>26</v>
      </c>
      <c r="E418" s="12" t="s">
        <v>12</v>
      </c>
      <c r="F418" s="12">
        <v>96.3</v>
      </c>
      <c r="G418" s="13">
        <v>2000</v>
      </c>
      <c r="H418" s="7" t="s">
        <v>13</v>
      </c>
      <c r="I418" s="23" t="s">
        <v>145</v>
      </c>
      <c r="J418" s="10" t="s">
        <v>151</v>
      </c>
      <c r="K418" s="9">
        <v>49382</v>
      </c>
    </row>
    <row r="419" spans="1:11" ht="28.2" x14ac:dyDescent="0.3">
      <c r="A419" s="3">
        <f>A418+1</f>
        <v>99</v>
      </c>
      <c r="B419" s="14"/>
      <c r="C419" s="15" t="s">
        <v>516</v>
      </c>
      <c r="D419" s="12" t="s">
        <v>26</v>
      </c>
      <c r="E419" s="12" t="s">
        <v>27</v>
      </c>
      <c r="F419" s="12">
        <v>13</v>
      </c>
      <c r="G419" s="16">
        <v>200</v>
      </c>
      <c r="H419" s="17" t="s">
        <v>28</v>
      </c>
      <c r="I419" s="21" t="s">
        <v>54</v>
      </c>
      <c r="J419" s="9"/>
      <c r="K419" s="9">
        <v>49382</v>
      </c>
    </row>
    <row r="420" spans="1:11" ht="15.6" x14ac:dyDescent="0.3">
      <c r="A420" s="3">
        <f>A419+1</f>
        <v>100</v>
      </c>
      <c r="B420" s="3">
        <v>42</v>
      </c>
      <c r="C420" s="11" t="s">
        <v>502</v>
      </c>
      <c r="D420" s="12" t="s">
        <v>51</v>
      </c>
      <c r="E420" s="12" t="s">
        <v>12</v>
      </c>
      <c r="F420" s="12">
        <v>103.1</v>
      </c>
      <c r="G420" s="27">
        <v>250</v>
      </c>
      <c r="H420" s="7" t="s">
        <v>13</v>
      </c>
      <c r="I420" s="70" t="s">
        <v>54</v>
      </c>
      <c r="J420" s="10" t="s">
        <v>503</v>
      </c>
      <c r="K420" s="9">
        <v>49407</v>
      </c>
    </row>
    <row r="421" spans="1:11" ht="15.6" x14ac:dyDescent="0.3">
      <c r="A421" s="3">
        <f>A420+1</f>
        <v>101</v>
      </c>
      <c r="B421" s="4"/>
      <c r="C421" s="11" t="s">
        <v>453</v>
      </c>
      <c r="D421" s="12" t="s">
        <v>30</v>
      </c>
      <c r="E421" s="12" t="s">
        <v>12</v>
      </c>
      <c r="F421" s="12">
        <v>102.1</v>
      </c>
      <c r="G421" s="16">
        <v>50</v>
      </c>
      <c r="H421" s="7" t="s">
        <v>13</v>
      </c>
      <c r="I421" s="8" t="s">
        <v>131</v>
      </c>
      <c r="J421" s="9"/>
      <c r="K421" s="9">
        <v>49408</v>
      </c>
    </row>
    <row r="422" spans="1:11" ht="14.4" x14ac:dyDescent="0.3">
      <c r="A422" s="3">
        <f>A421+1</f>
        <v>102</v>
      </c>
      <c r="B422" s="14"/>
      <c r="C422" s="15" t="s">
        <v>432</v>
      </c>
      <c r="D422" s="12" t="s">
        <v>22</v>
      </c>
      <c r="E422" s="12" t="s">
        <v>12</v>
      </c>
      <c r="F422" s="12">
        <v>106.3</v>
      </c>
      <c r="G422" s="27">
        <v>250</v>
      </c>
      <c r="H422" s="7" t="s">
        <v>13</v>
      </c>
      <c r="I422" s="71" t="s">
        <v>433</v>
      </c>
      <c r="J422" s="9"/>
      <c r="K422" s="9">
        <v>49440</v>
      </c>
    </row>
    <row r="423" spans="1:11" ht="28.2" x14ac:dyDescent="0.3">
      <c r="A423" s="3">
        <f>A422+1</f>
        <v>103</v>
      </c>
      <c r="B423" s="3">
        <v>26</v>
      </c>
      <c r="C423" s="11" t="s">
        <v>294</v>
      </c>
      <c r="D423" s="12" t="s">
        <v>153</v>
      </c>
      <c r="E423" s="12" t="s">
        <v>12</v>
      </c>
      <c r="F423" s="12">
        <v>91.5</v>
      </c>
      <c r="G423" s="27">
        <v>250</v>
      </c>
      <c r="H423" s="7" t="s">
        <v>13</v>
      </c>
      <c r="I423" s="23" t="s">
        <v>14</v>
      </c>
      <c r="J423" s="10" t="s">
        <v>295</v>
      </c>
      <c r="K423" s="9">
        <v>49561</v>
      </c>
    </row>
    <row r="424" spans="1:11" ht="15.6" x14ac:dyDescent="0.3">
      <c r="A424" s="3">
        <f>A423+1</f>
        <v>104</v>
      </c>
      <c r="B424" s="4"/>
      <c r="C424" s="4" t="s">
        <v>510</v>
      </c>
      <c r="D424" s="5" t="s">
        <v>51</v>
      </c>
      <c r="E424" s="5" t="s">
        <v>12</v>
      </c>
      <c r="F424" s="5">
        <v>88.9</v>
      </c>
      <c r="G424" s="30">
        <v>50</v>
      </c>
      <c r="H424" s="7" t="s">
        <v>13</v>
      </c>
      <c r="I424" s="8" t="s">
        <v>131</v>
      </c>
      <c r="J424" s="10"/>
      <c r="K424" s="10" t="s">
        <v>511</v>
      </c>
    </row>
    <row r="425" spans="1:11" ht="14.4" x14ac:dyDescent="0.3">
      <c r="A425" s="31"/>
      <c r="B425" s="31"/>
      <c r="C425" s="31"/>
      <c r="D425" s="31"/>
      <c r="E425" s="31"/>
      <c r="F425" s="31"/>
      <c r="G425" s="32"/>
      <c r="H425" s="31"/>
      <c r="I425" s="33"/>
      <c r="J425" s="31"/>
      <c r="K425" s="31"/>
    </row>
    <row r="426" spans="1:11" ht="14.4" x14ac:dyDescent="0.3">
      <c r="A426" s="31"/>
      <c r="B426" s="31"/>
      <c r="C426" s="31"/>
      <c r="D426" s="31"/>
      <c r="E426" s="31"/>
      <c r="F426" s="31"/>
      <c r="G426" s="32"/>
      <c r="H426" s="31"/>
      <c r="I426" s="33"/>
      <c r="J426" s="31"/>
      <c r="K426" s="31"/>
    </row>
    <row r="427" spans="1:11" ht="14.4" x14ac:dyDescent="0.3">
      <c r="A427" s="31"/>
      <c r="B427" s="31"/>
      <c r="C427" s="31"/>
      <c r="D427" s="31"/>
      <c r="E427" s="31"/>
      <c r="F427" s="31"/>
      <c r="G427" s="32"/>
      <c r="H427" s="31"/>
      <c r="I427" s="33"/>
      <c r="J427" s="31"/>
      <c r="K427" s="31"/>
    </row>
    <row r="428" spans="1:11" ht="14.4" x14ac:dyDescent="0.3">
      <c r="A428" s="31"/>
      <c r="B428" s="31"/>
      <c r="C428" s="31"/>
      <c r="D428" s="31"/>
      <c r="E428" s="31"/>
      <c r="F428" s="31"/>
      <c r="G428" s="32"/>
      <c r="H428" s="31"/>
      <c r="I428" s="33"/>
      <c r="J428" s="31"/>
      <c r="K428" s="31"/>
    </row>
    <row r="429" spans="1:11" ht="14.4" x14ac:dyDescent="0.3">
      <c r="A429" s="31"/>
      <c r="B429" s="31"/>
      <c r="C429" s="31"/>
      <c r="D429" s="31"/>
      <c r="E429" s="31"/>
      <c r="F429" s="31"/>
      <c r="G429" s="32"/>
      <c r="H429" s="31"/>
      <c r="I429" s="33"/>
      <c r="J429" s="31"/>
      <c r="K429" s="31"/>
    </row>
    <row r="430" spans="1:11" ht="14.4" x14ac:dyDescent="0.3">
      <c r="A430" s="31"/>
      <c r="B430" s="31"/>
      <c r="C430" s="31"/>
      <c r="D430" s="31"/>
      <c r="E430" s="31"/>
      <c r="F430" s="31"/>
      <c r="G430" s="32"/>
      <c r="H430" s="31"/>
      <c r="I430" s="33"/>
      <c r="J430" s="31"/>
      <c r="K430" s="31"/>
    </row>
    <row r="431" spans="1:11" ht="14.4" x14ac:dyDescent="0.3">
      <c r="A431" s="31"/>
      <c r="B431" s="31"/>
      <c r="C431" s="31"/>
      <c r="D431" s="31"/>
      <c r="E431" s="31"/>
      <c r="F431" s="31"/>
      <c r="G431" s="32"/>
      <c r="H431" s="31"/>
      <c r="I431" s="33"/>
      <c r="J431" s="31"/>
      <c r="K431" s="31"/>
    </row>
    <row r="432" spans="1:11" ht="14.4" x14ac:dyDescent="0.3">
      <c r="A432" s="31"/>
      <c r="B432" s="31"/>
      <c r="C432" s="31"/>
      <c r="D432" s="31"/>
      <c r="E432" s="31"/>
      <c r="F432" s="31"/>
      <c r="G432" s="32"/>
      <c r="H432" s="31"/>
      <c r="I432" s="33"/>
      <c r="J432" s="31"/>
      <c r="K432" s="31"/>
    </row>
    <row r="433" spans="1:11" ht="14.4" x14ac:dyDescent="0.3">
      <c r="A433" s="31"/>
      <c r="B433" s="31"/>
      <c r="C433" s="31"/>
      <c r="D433" s="31"/>
      <c r="E433" s="31"/>
      <c r="F433" s="31"/>
      <c r="G433" s="32"/>
      <c r="H433" s="31"/>
      <c r="I433" s="33"/>
      <c r="J433" s="31"/>
      <c r="K433" s="31"/>
    </row>
    <row r="434" spans="1:11" ht="14.4" x14ac:dyDescent="0.3">
      <c r="A434" s="31"/>
      <c r="B434" s="31"/>
      <c r="C434" s="31"/>
      <c r="D434" s="31"/>
      <c r="E434" s="31"/>
      <c r="F434" s="31"/>
      <c r="G434" s="32"/>
      <c r="H434" s="31"/>
      <c r="I434" s="33"/>
      <c r="J434" s="31"/>
      <c r="K434" s="31"/>
    </row>
    <row r="435" spans="1:11" ht="14.4" x14ac:dyDescent="0.3">
      <c r="A435" s="31"/>
      <c r="B435" s="31"/>
      <c r="C435" s="31"/>
      <c r="D435" s="31"/>
      <c r="E435" s="31"/>
      <c r="F435" s="31"/>
      <c r="G435" s="32"/>
      <c r="H435" s="31"/>
      <c r="I435" s="33"/>
      <c r="J435" s="31"/>
      <c r="K435" s="31"/>
    </row>
    <row r="436" spans="1:11" ht="14.4" x14ac:dyDescent="0.3">
      <c r="A436" s="31"/>
      <c r="B436" s="31"/>
      <c r="C436" s="31"/>
      <c r="D436" s="31"/>
      <c r="E436" s="31"/>
      <c r="F436" s="31"/>
      <c r="G436" s="32"/>
      <c r="H436" s="31"/>
      <c r="I436" s="33"/>
      <c r="J436" s="31"/>
      <c r="K436" s="31"/>
    </row>
    <row r="437" spans="1:11" ht="14.4" x14ac:dyDescent="0.3">
      <c r="A437" s="31"/>
      <c r="B437" s="31"/>
      <c r="C437" s="31"/>
      <c r="D437" s="31"/>
      <c r="E437" s="31"/>
      <c r="F437" s="31"/>
      <c r="G437" s="32"/>
      <c r="H437" s="31"/>
      <c r="I437" s="33"/>
      <c r="J437" s="31"/>
      <c r="K437" s="31"/>
    </row>
    <row r="438" spans="1:11" ht="14.4" x14ac:dyDescent="0.3">
      <c r="A438" s="31"/>
      <c r="B438" s="31"/>
      <c r="C438" s="31"/>
      <c r="D438" s="31"/>
      <c r="E438" s="31"/>
      <c r="F438" s="31"/>
      <c r="G438" s="32"/>
      <c r="H438" s="31"/>
      <c r="I438" s="33"/>
      <c r="J438" s="31"/>
      <c r="K438" s="31"/>
    </row>
    <row r="439" spans="1:11" ht="14.4" x14ac:dyDescent="0.3">
      <c r="A439" s="31"/>
      <c r="B439" s="31"/>
      <c r="C439" s="31"/>
      <c r="D439" s="31"/>
      <c r="E439" s="31"/>
      <c r="F439" s="31"/>
      <c r="G439" s="32"/>
      <c r="H439" s="31"/>
      <c r="I439" s="33"/>
      <c r="J439" s="31"/>
      <c r="K439" s="31"/>
    </row>
    <row r="440" spans="1:11" ht="14.4" x14ac:dyDescent="0.3">
      <c r="A440" s="31"/>
      <c r="B440" s="31"/>
      <c r="C440" s="31"/>
      <c r="D440" s="31"/>
      <c r="E440" s="31"/>
      <c r="F440" s="31"/>
      <c r="G440" s="32"/>
      <c r="H440" s="31"/>
      <c r="I440" s="33"/>
      <c r="J440" s="31"/>
      <c r="K440" s="31"/>
    </row>
    <row r="441" spans="1:11" ht="14.4" x14ac:dyDescent="0.3">
      <c r="A441" s="31"/>
      <c r="B441" s="31"/>
      <c r="C441" s="31"/>
      <c r="D441" s="31"/>
      <c r="E441" s="31"/>
      <c r="F441" s="31"/>
      <c r="G441" s="32"/>
      <c r="H441" s="31"/>
      <c r="I441" s="33"/>
      <c r="J441" s="31"/>
      <c r="K441" s="31"/>
    </row>
    <row r="442" spans="1:11" ht="14.4" x14ac:dyDescent="0.3">
      <c r="A442" s="31"/>
      <c r="B442" s="31"/>
      <c r="C442" s="31"/>
      <c r="D442" s="31"/>
      <c r="E442" s="31"/>
      <c r="F442" s="31"/>
      <c r="G442" s="32"/>
      <c r="H442" s="31"/>
      <c r="I442" s="33"/>
      <c r="J442" s="31"/>
      <c r="K442" s="31"/>
    </row>
    <row r="443" spans="1:11" ht="14.4" x14ac:dyDescent="0.3">
      <c r="A443" s="31"/>
      <c r="B443" s="31"/>
      <c r="C443" s="31"/>
      <c r="D443" s="31"/>
      <c r="E443" s="31"/>
      <c r="F443" s="31"/>
      <c r="G443" s="32"/>
      <c r="H443" s="31"/>
      <c r="I443" s="33"/>
      <c r="J443" s="31"/>
      <c r="K443" s="31"/>
    </row>
    <row r="444" spans="1:11" ht="14.4" x14ac:dyDescent="0.3">
      <c r="A444" s="31"/>
      <c r="B444" s="31"/>
      <c r="C444" s="31"/>
      <c r="D444" s="31"/>
      <c r="E444" s="31"/>
      <c r="F444" s="31"/>
      <c r="G444" s="32"/>
      <c r="H444" s="31"/>
      <c r="I444" s="33"/>
      <c r="J444" s="31"/>
      <c r="K444" s="31"/>
    </row>
    <row r="445" spans="1:11" ht="14.4" x14ac:dyDescent="0.3">
      <c r="A445" s="31"/>
      <c r="B445" s="31"/>
      <c r="C445" s="31"/>
      <c r="D445" s="31"/>
      <c r="E445" s="31"/>
      <c r="F445" s="31"/>
      <c r="G445" s="32"/>
      <c r="H445" s="31"/>
      <c r="I445" s="33"/>
      <c r="J445" s="31"/>
      <c r="K445" s="31"/>
    </row>
    <row r="446" spans="1:11" ht="14.4" x14ac:dyDescent="0.3">
      <c r="A446" s="31"/>
      <c r="B446" s="31"/>
      <c r="C446" s="31"/>
      <c r="D446" s="31"/>
      <c r="E446" s="31"/>
      <c r="F446" s="31"/>
      <c r="G446" s="32"/>
      <c r="H446" s="31"/>
      <c r="I446" s="33"/>
      <c r="J446" s="31"/>
      <c r="K446" s="31"/>
    </row>
    <row r="447" spans="1:11" ht="14.4" x14ac:dyDescent="0.3">
      <c r="A447" s="31"/>
      <c r="B447" s="31"/>
      <c r="C447" s="31"/>
      <c r="D447" s="31"/>
      <c r="E447" s="31"/>
      <c r="F447" s="31"/>
      <c r="G447" s="32"/>
      <c r="H447" s="31"/>
      <c r="I447" s="33"/>
      <c r="J447" s="31"/>
      <c r="K447" s="31"/>
    </row>
    <row r="448" spans="1:11" ht="14.4" x14ac:dyDescent="0.3">
      <c r="A448" s="31"/>
      <c r="B448" s="31"/>
      <c r="C448" s="31"/>
      <c r="D448" s="31"/>
      <c r="E448" s="31"/>
      <c r="F448" s="31"/>
      <c r="G448" s="32"/>
      <c r="H448" s="31"/>
      <c r="I448" s="33"/>
      <c r="J448" s="31"/>
      <c r="K448" s="31"/>
    </row>
    <row r="449" spans="1:11" ht="14.4" x14ac:dyDescent="0.3">
      <c r="A449" s="31"/>
      <c r="B449" s="31"/>
      <c r="C449" s="31"/>
      <c r="D449" s="31"/>
      <c r="E449" s="31"/>
      <c r="F449" s="31"/>
      <c r="G449" s="32"/>
      <c r="H449" s="31"/>
      <c r="I449" s="33"/>
      <c r="J449" s="31"/>
      <c r="K449" s="31"/>
    </row>
    <row r="450" spans="1:11" ht="14.4" x14ac:dyDescent="0.3">
      <c r="A450" s="31"/>
      <c r="B450" s="31"/>
      <c r="C450" s="31"/>
      <c r="D450" s="31"/>
      <c r="E450" s="31"/>
      <c r="F450" s="31"/>
      <c r="G450" s="32"/>
      <c r="H450" s="31"/>
      <c r="I450" s="33"/>
      <c r="J450" s="31"/>
      <c r="K450" s="31"/>
    </row>
    <row r="451" spans="1:11" ht="14.4" x14ac:dyDescent="0.3">
      <c r="A451" s="31"/>
      <c r="B451" s="31"/>
      <c r="C451" s="31"/>
      <c r="D451" s="31"/>
      <c r="E451" s="31"/>
      <c r="F451" s="31"/>
      <c r="G451" s="32"/>
      <c r="H451" s="31"/>
      <c r="I451" s="33"/>
      <c r="J451" s="31"/>
      <c r="K451" s="31"/>
    </row>
    <row r="452" spans="1:11" ht="14.4" x14ac:dyDescent="0.3">
      <c r="A452" s="31"/>
      <c r="B452" s="31"/>
      <c r="C452" s="31"/>
      <c r="D452" s="31"/>
      <c r="E452" s="31"/>
      <c r="F452" s="31"/>
      <c r="G452" s="32"/>
      <c r="H452" s="31"/>
      <c r="I452" s="33"/>
      <c r="J452" s="31"/>
      <c r="K452" s="31"/>
    </row>
    <row r="453" spans="1:11" ht="14.4" x14ac:dyDescent="0.3">
      <c r="A453" s="31"/>
      <c r="B453" s="31"/>
      <c r="C453" s="31"/>
      <c r="D453" s="31"/>
      <c r="E453" s="31"/>
      <c r="F453" s="31"/>
      <c r="G453" s="32"/>
      <c r="H453" s="31"/>
      <c r="I453" s="33"/>
      <c r="J453" s="31"/>
      <c r="K453" s="31"/>
    </row>
    <row r="454" spans="1:11" ht="14.4" x14ac:dyDescent="0.3">
      <c r="A454" s="31"/>
      <c r="B454" s="31"/>
      <c r="C454" s="31"/>
      <c r="D454" s="31"/>
      <c r="E454" s="31"/>
      <c r="F454" s="31"/>
      <c r="G454" s="32"/>
      <c r="H454" s="31"/>
      <c r="I454" s="33"/>
      <c r="J454" s="31"/>
      <c r="K454" s="31"/>
    </row>
    <row r="455" spans="1:11" ht="14.4" x14ac:dyDescent="0.3">
      <c r="A455" s="31"/>
      <c r="B455" s="31"/>
      <c r="C455" s="31"/>
      <c r="D455" s="31"/>
      <c r="E455" s="31"/>
      <c r="F455" s="31"/>
      <c r="G455" s="32"/>
      <c r="H455" s="31"/>
      <c r="I455" s="33"/>
      <c r="J455" s="31"/>
      <c r="K455" s="31"/>
    </row>
    <row r="456" spans="1:11" ht="14.4" x14ac:dyDescent="0.3">
      <c r="A456" s="31"/>
      <c r="B456" s="31"/>
      <c r="C456" s="31"/>
      <c r="D456" s="31"/>
      <c r="E456" s="31"/>
      <c r="F456" s="31"/>
      <c r="G456" s="32"/>
      <c r="H456" s="31"/>
      <c r="I456" s="33"/>
      <c r="J456" s="31"/>
      <c r="K456" s="31"/>
    </row>
    <row r="457" spans="1:11" ht="14.4" x14ac:dyDescent="0.3">
      <c r="A457" s="31"/>
      <c r="B457" s="31"/>
      <c r="C457" s="31"/>
      <c r="D457" s="31"/>
      <c r="E457" s="31"/>
      <c r="F457" s="31"/>
      <c r="G457" s="32"/>
      <c r="H457" s="31"/>
      <c r="I457" s="33"/>
      <c r="J457" s="31"/>
      <c r="K457" s="31"/>
    </row>
    <row r="458" spans="1:11" ht="14.4" x14ac:dyDescent="0.3">
      <c r="A458" s="31"/>
      <c r="B458" s="31"/>
      <c r="C458" s="31"/>
      <c r="D458" s="31"/>
      <c r="E458" s="31"/>
      <c r="F458" s="31"/>
      <c r="G458" s="32"/>
      <c r="H458" s="31"/>
      <c r="I458" s="33"/>
      <c r="J458" s="31"/>
      <c r="K458" s="31"/>
    </row>
    <row r="459" spans="1:11" ht="14.4" x14ac:dyDescent="0.3">
      <c r="A459" s="31"/>
      <c r="B459" s="31"/>
      <c r="C459" s="31"/>
      <c r="D459" s="31"/>
      <c r="E459" s="31"/>
      <c r="F459" s="31"/>
      <c r="G459" s="32"/>
      <c r="H459" s="31"/>
      <c r="I459" s="33"/>
      <c r="J459" s="31"/>
      <c r="K459" s="31"/>
    </row>
    <row r="460" spans="1:11" ht="14.4" x14ac:dyDescent="0.3">
      <c r="A460" s="31"/>
      <c r="B460" s="31"/>
      <c r="C460" s="31"/>
      <c r="D460" s="31"/>
      <c r="E460" s="31"/>
      <c r="F460" s="31"/>
      <c r="G460" s="32"/>
      <c r="H460" s="31"/>
      <c r="I460" s="33"/>
      <c r="J460" s="31"/>
      <c r="K460" s="31"/>
    </row>
    <row r="461" spans="1:11" ht="14.4" x14ac:dyDescent="0.3">
      <c r="A461" s="31"/>
      <c r="B461" s="31"/>
      <c r="C461" s="31"/>
      <c r="D461" s="31"/>
      <c r="E461" s="31"/>
      <c r="F461" s="31"/>
      <c r="G461" s="32"/>
      <c r="H461" s="31"/>
      <c r="I461" s="33"/>
      <c r="J461" s="31"/>
      <c r="K461" s="31"/>
    </row>
    <row r="462" spans="1:11" ht="14.4" x14ac:dyDescent="0.3">
      <c r="A462" s="31"/>
      <c r="B462" s="31"/>
      <c r="C462" s="31"/>
      <c r="D462" s="31"/>
      <c r="E462" s="31"/>
      <c r="F462" s="31"/>
      <c r="G462" s="32"/>
      <c r="H462" s="31"/>
      <c r="I462" s="33"/>
      <c r="J462" s="31"/>
      <c r="K462" s="31"/>
    </row>
    <row r="463" spans="1:11" ht="14.4" x14ac:dyDescent="0.3">
      <c r="A463" s="31"/>
      <c r="B463" s="31"/>
      <c r="C463" s="31"/>
      <c r="D463" s="31"/>
      <c r="E463" s="31"/>
      <c r="F463" s="31"/>
      <c r="G463" s="32"/>
      <c r="H463" s="31"/>
      <c r="I463" s="33"/>
      <c r="J463" s="31"/>
      <c r="K463" s="31"/>
    </row>
    <row r="464" spans="1:11" ht="14.4" x14ac:dyDescent="0.3">
      <c r="A464" s="31"/>
      <c r="B464" s="31"/>
      <c r="C464" s="31"/>
      <c r="D464" s="31"/>
      <c r="E464" s="31"/>
      <c r="F464" s="31"/>
      <c r="G464" s="32"/>
      <c r="H464" s="31"/>
      <c r="I464" s="33"/>
      <c r="J464" s="31"/>
      <c r="K464" s="31"/>
    </row>
    <row r="465" spans="1:11" ht="14.4" x14ac:dyDescent="0.3">
      <c r="A465" s="31"/>
      <c r="B465" s="31"/>
      <c r="C465" s="31"/>
      <c r="D465" s="31"/>
      <c r="E465" s="31"/>
      <c r="F465" s="31"/>
      <c r="G465" s="32"/>
      <c r="H465" s="31"/>
      <c r="I465" s="33"/>
      <c r="J465" s="31"/>
      <c r="K465" s="31"/>
    </row>
    <row r="466" spans="1:11" ht="14.4" x14ac:dyDescent="0.3">
      <c r="A466" s="31"/>
      <c r="B466" s="31"/>
      <c r="C466" s="31"/>
      <c r="D466" s="31"/>
      <c r="E466" s="31"/>
      <c r="F466" s="31"/>
      <c r="G466" s="32"/>
      <c r="H466" s="31"/>
      <c r="I466" s="33"/>
      <c r="J466" s="31"/>
      <c r="K466" s="31"/>
    </row>
    <row r="467" spans="1:11" ht="14.4" x14ac:dyDescent="0.3">
      <c r="A467" s="31"/>
      <c r="B467" s="31"/>
      <c r="C467" s="31"/>
      <c r="D467" s="31"/>
      <c r="E467" s="31"/>
      <c r="F467" s="31"/>
      <c r="G467" s="32"/>
      <c r="H467" s="31"/>
      <c r="I467" s="33"/>
      <c r="J467" s="31"/>
      <c r="K467" s="31"/>
    </row>
    <row r="468" spans="1:11" ht="14.4" x14ac:dyDescent="0.3">
      <c r="A468" s="31"/>
      <c r="B468" s="31"/>
      <c r="C468" s="31"/>
      <c r="D468" s="31"/>
      <c r="E468" s="31"/>
      <c r="F468" s="31"/>
      <c r="G468" s="32"/>
      <c r="H468" s="31"/>
      <c r="I468" s="33"/>
      <c r="J468" s="31"/>
      <c r="K468" s="31"/>
    </row>
    <row r="469" spans="1:11" ht="14.4" x14ac:dyDescent="0.3">
      <c r="A469" s="31"/>
      <c r="B469" s="31"/>
      <c r="C469" s="31"/>
      <c r="D469" s="31"/>
      <c r="E469" s="31"/>
      <c r="F469" s="31"/>
      <c r="G469" s="32"/>
      <c r="H469" s="31"/>
      <c r="I469" s="33"/>
      <c r="J469" s="31"/>
      <c r="K469" s="31"/>
    </row>
    <row r="470" spans="1:11" ht="14.4" x14ac:dyDescent="0.3">
      <c r="A470" s="31"/>
      <c r="B470" s="31"/>
      <c r="C470" s="31"/>
      <c r="D470" s="31"/>
      <c r="E470" s="31"/>
      <c r="F470" s="31"/>
      <c r="G470" s="32"/>
      <c r="H470" s="31"/>
      <c r="I470" s="33"/>
      <c r="J470" s="31"/>
      <c r="K470" s="31"/>
    </row>
    <row r="471" spans="1:11" ht="14.4" x14ac:dyDescent="0.3">
      <c r="A471" s="31"/>
      <c r="B471" s="31"/>
      <c r="C471" s="31"/>
      <c r="D471" s="31"/>
      <c r="E471" s="31"/>
      <c r="F471" s="31"/>
      <c r="G471" s="32"/>
      <c r="H471" s="31"/>
      <c r="I471" s="33"/>
      <c r="J471" s="31"/>
      <c r="K471" s="31"/>
    </row>
    <row r="472" spans="1:11" ht="14.4" x14ac:dyDescent="0.3">
      <c r="A472" s="31"/>
      <c r="B472" s="31"/>
      <c r="C472" s="31"/>
      <c r="D472" s="31"/>
      <c r="E472" s="31"/>
      <c r="F472" s="31"/>
      <c r="G472" s="32"/>
      <c r="H472" s="31"/>
      <c r="I472" s="33"/>
      <c r="J472" s="31"/>
      <c r="K472" s="31"/>
    </row>
    <row r="473" spans="1:11" ht="14.4" x14ac:dyDescent="0.3">
      <c r="A473" s="31"/>
      <c r="B473" s="31"/>
      <c r="C473" s="31"/>
      <c r="D473" s="31"/>
      <c r="E473" s="31"/>
      <c r="F473" s="31"/>
      <c r="G473" s="32"/>
      <c r="H473" s="31"/>
      <c r="I473" s="33"/>
      <c r="J473" s="31"/>
      <c r="K473" s="31"/>
    </row>
    <row r="474" spans="1:11" ht="14.4" x14ac:dyDescent="0.3">
      <c r="A474" s="31"/>
      <c r="B474" s="31"/>
      <c r="C474" s="31"/>
      <c r="D474" s="31"/>
      <c r="E474" s="31"/>
      <c r="F474" s="31"/>
      <c r="G474" s="32"/>
      <c r="H474" s="31"/>
      <c r="I474" s="33"/>
      <c r="J474" s="31"/>
      <c r="K474" s="31"/>
    </row>
    <row r="475" spans="1:11" ht="14.4" x14ac:dyDescent="0.3">
      <c r="A475" s="31"/>
      <c r="B475" s="31"/>
      <c r="C475" s="31"/>
      <c r="D475" s="31"/>
      <c r="E475" s="31"/>
      <c r="F475" s="31"/>
      <c r="G475" s="32"/>
      <c r="H475" s="31"/>
      <c r="I475" s="33"/>
      <c r="J475" s="31"/>
      <c r="K475" s="31"/>
    </row>
    <row r="476" spans="1:11" ht="14.4" x14ac:dyDescent="0.3">
      <c r="A476" s="31"/>
      <c r="B476" s="31"/>
      <c r="C476" s="31"/>
      <c r="D476" s="31"/>
      <c r="E476" s="31"/>
      <c r="F476" s="31"/>
      <c r="G476" s="32"/>
      <c r="H476" s="31"/>
      <c r="I476" s="33"/>
      <c r="J476" s="31"/>
      <c r="K476" s="31"/>
    </row>
    <row r="477" spans="1:11" ht="14.4" x14ac:dyDescent="0.3">
      <c r="A477" s="31"/>
      <c r="B477" s="31"/>
      <c r="C477" s="31"/>
      <c r="D477" s="31"/>
      <c r="E477" s="31"/>
      <c r="F477" s="31"/>
      <c r="G477" s="32"/>
      <c r="H477" s="31"/>
      <c r="I477" s="33"/>
      <c r="J477" s="31"/>
      <c r="K477" s="31"/>
    </row>
    <row r="478" spans="1:11" ht="14.4" x14ac:dyDescent="0.3">
      <c r="A478" s="31"/>
      <c r="B478" s="31"/>
      <c r="C478" s="31"/>
      <c r="D478" s="31"/>
      <c r="E478" s="31"/>
      <c r="F478" s="31"/>
      <c r="G478" s="32"/>
      <c r="H478" s="31"/>
      <c r="I478" s="33"/>
      <c r="J478" s="31"/>
      <c r="K478" s="31"/>
    </row>
    <row r="479" spans="1:11" ht="14.4" x14ac:dyDescent="0.3">
      <c r="A479" s="31"/>
      <c r="B479" s="31"/>
      <c r="C479" s="31"/>
      <c r="D479" s="31"/>
      <c r="E479" s="31"/>
      <c r="F479" s="31"/>
      <c r="G479" s="32"/>
      <c r="H479" s="31"/>
      <c r="I479" s="33"/>
      <c r="J479" s="31"/>
      <c r="K479" s="31"/>
    </row>
    <row r="480" spans="1:11" ht="14.4" x14ac:dyDescent="0.3">
      <c r="A480" s="31"/>
      <c r="B480" s="31"/>
      <c r="C480" s="31"/>
      <c r="D480" s="31"/>
      <c r="E480" s="31"/>
      <c r="F480" s="31"/>
      <c r="G480" s="32"/>
      <c r="H480" s="31"/>
      <c r="I480" s="33"/>
      <c r="J480" s="31"/>
      <c r="K480" s="31"/>
    </row>
    <row r="481" spans="1:11" ht="14.4" x14ac:dyDescent="0.3">
      <c r="A481" s="31"/>
      <c r="B481" s="31"/>
      <c r="C481" s="31"/>
      <c r="D481" s="31"/>
      <c r="E481" s="31"/>
      <c r="F481" s="31"/>
      <c r="G481" s="32"/>
      <c r="H481" s="31"/>
      <c r="I481" s="33"/>
      <c r="J481" s="31"/>
      <c r="K481" s="31"/>
    </row>
    <row r="482" spans="1:11" ht="14.4" x14ac:dyDescent="0.3">
      <c r="A482" s="31"/>
      <c r="B482" s="31"/>
      <c r="C482" s="31"/>
      <c r="D482" s="31"/>
      <c r="E482" s="31"/>
      <c r="F482" s="31"/>
      <c r="G482" s="32"/>
      <c r="H482" s="31"/>
      <c r="I482" s="33"/>
      <c r="J482" s="31"/>
      <c r="K482" s="31"/>
    </row>
    <row r="483" spans="1:11" ht="14.4" x14ac:dyDescent="0.3">
      <c r="A483" s="31"/>
      <c r="B483" s="31"/>
      <c r="C483" s="31"/>
      <c r="D483" s="31"/>
      <c r="E483" s="31"/>
      <c r="F483" s="31"/>
      <c r="G483" s="32"/>
      <c r="H483" s="31"/>
      <c r="I483" s="33"/>
      <c r="J483" s="31"/>
      <c r="K483" s="31"/>
    </row>
    <row r="484" spans="1:11" ht="14.4" x14ac:dyDescent="0.3">
      <c r="A484" s="31"/>
      <c r="B484" s="31"/>
      <c r="C484" s="31"/>
      <c r="D484" s="31"/>
      <c r="E484" s="31"/>
      <c r="F484" s="31"/>
      <c r="G484" s="32"/>
      <c r="H484" s="31"/>
      <c r="I484" s="33"/>
      <c r="J484" s="31"/>
      <c r="K484" s="31"/>
    </row>
    <row r="485" spans="1:11" ht="14.4" x14ac:dyDescent="0.3">
      <c r="A485" s="31"/>
      <c r="B485" s="31"/>
      <c r="C485" s="31"/>
      <c r="D485" s="31"/>
      <c r="E485" s="31"/>
      <c r="F485" s="31"/>
      <c r="G485" s="32"/>
      <c r="H485" s="31"/>
      <c r="I485" s="33"/>
      <c r="J485" s="31"/>
      <c r="K485" s="31"/>
    </row>
    <row r="486" spans="1:11" ht="14.4" x14ac:dyDescent="0.3">
      <c r="A486" s="31"/>
      <c r="B486" s="31"/>
      <c r="C486" s="31"/>
      <c r="D486" s="31"/>
      <c r="E486" s="31"/>
      <c r="F486" s="31"/>
      <c r="G486" s="32"/>
      <c r="H486" s="31"/>
      <c r="I486" s="33"/>
      <c r="J486" s="31"/>
      <c r="K486" s="31"/>
    </row>
    <row r="487" spans="1:11" ht="14.4" x14ac:dyDescent="0.3">
      <c r="A487" s="31"/>
      <c r="B487" s="31"/>
      <c r="C487" s="31"/>
      <c r="D487" s="31"/>
      <c r="E487" s="31"/>
      <c r="F487" s="31"/>
      <c r="G487" s="32"/>
      <c r="H487" s="31"/>
      <c r="I487" s="33"/>
      <c r="J487" s="31"/>
      <c r="K487" s="31"/>
    </row>
    <row r="488" spans="1:11" ht="14.4" x14ac:dyDescent="0.3">
      <c r="A488" s="31"/>
      <c r="B488" s="31"/>
      <c r="C488" s="31"/>
      <c r="D488" s="31"/>
      <c r="E488" s="31"/>
      <c r="F488" s="31"/>
      <c r="G488" s="32"/>
      <c r="H488" s="31"/>
      <c r="I488" s="33"/>
      <c r="J488" s="31"/>
      <c r="K488" s="31"/>
    </row>
    <row r="489" spans="1:11" ht="14.4" x14ac:dyDescent="0.3">
      <c r="A489" s="31"/>
      <c r="B489" s="31"/>
      <c r="C489" s="31"/>
      <c r="D489" s="31"/>
      <c r="E489" s="31"/>
      <c r="F489" s="31"/>
      <c r="G489" s="32"/>
      <c r="H489" s="31"/>
      <c r="I489" s="33"/>
      <c r="J489" s="31"/>
      <c r="K489" s="31"/>
    </row>
    <row r="490" spans="1:11" ht="14.4" x14ac:dyDescent="0.3">
      <c r="A490" s="31"/>
      <c r="B490" s="31"/>
      <c r="C490" s="31"/>
      <c r="D490" s="31"/>
      <c r="E490" s="31"/>
      <c r="F490" s="31"/>
      <c r="G490" s="32"/>
      <c r="H490" s="31"/>
      <c r="I490" s="33"/>
      <c r="J490" s="31"/>
      <c r="K490" s="31"/>
    </row>
    <row r="491" spans="1:11" ht="14.4" x14ac:dyDescent="0.3">
      <c r="A491" s="31"/>
      <c r="B491" s="31"/>
      <c r="C491" s="31"/>
      <c r="D491" s="31"/>
      <c r="E491" s="31"/>
      <c r="F491" s="31"/>
      <c r="G491" s="32"/>
      <c r="H491" s="31"/>
      <c r="I491" s="33"/>
      <c r="J491" s="31"/>
      <c r="K491" s="31"/>
    </row>
    <row r="492" spans="1:11" ht="14.4" x14ac:dyDescent="0.3">
      <c r="A492" s="31"/>
      <c r="B492" s="31"/>
      <c r="C492" s="31"/>
      <c r="D492" s="31"/>
      <c r="E492" s="31"/>
      <c r="F492" s="31"/>
      <c r="G492" s="32"/>
      <c r="H492" s="31"/>
      <c r="I492" s="33"/>
      <c r="J492" s="31"/>
      <c r="K492" s="31"/>
    </row>
    <row r="493" spans="1:11" ht="14.4" x14ac:dyDescent="0.3">
      <c r="A493" s="31"/>
      <c r="B493" s="31"/>
      <c r="C493" s="31"/>
      <c r="D493" s="31"/>
      <c r="E493" s="31"/>
      <c r="F493" s="31"/>
      <c r="G493" s="32"/>
      <c r="H493" s="31"/>
      <c r="I493" s="33"/>
      <c r="J493" s="31"/>
      <c r="K493" s="31"/>
    </row>
    <row r="494" spans="1:11" ht="14.4" x14ac:dyDescent="0.3">
      <c r="A494" s="31"/>
      <c r="B494" s="31"/>
      <c r="C494" s="31"/>
      <c r="D494" s="31"/>
      <c r="E494" s="31"/>
      <c r="F494" s="31"/>
      <c r="G494" s="32"/>
      <c r="H494" s="31"/>
      <c r="I494" s="33"/>
      <c r="J494" s="31"/>
      <c r="K494" s="31"/>
    </row>
    <row r="495" spans="1:11" ht="14.4" x14ac:dyDescent="0.3">
      <c r="A495" s="31"/>
      <c r="B495" s="31"/>
      <c r="C495" s="31"/>
      <c r="D495" s="31"/>
      <c r="E495" s="31"/>
      <c r="F495" s="31"/>
      <c r="G495" s="32"/>
      <c r="H495" s="31"/>
      <c r="I495" s="33"/>
      <c r="J495" s="31"/>
      <c r="K495" s="31"/>
    </row>
    <row r="496" spans="1:11" ht="14.4" x14ac:dyDescent="0.3">
      <c r="A496" s="31"/>
      <c r="B496" s="31"/>
      <c r="C496" s="31"/>
      <c r="D496" s="31"/>
      <c r="E496" s="31"/>
      <c r="F496" s="31"/>
      <c r="G496" s="32"/>
      <c r="H496" s="31"/>
      <c r="I496" s="33"/>
      <c r="J496" s="31"/>
      <c r="K496" s="31"/>
    </row>
    <row r="497" spans="1:11" ht="14.4" x14ac:dyDescent="0.3">
      <c r="A497" s="31"/>
      <c r="B497" s="31"/>
      <c r="C497" s="31"/>
      <c r="D497" s="31"/>
      <c r="E497" s="31"/>
      <c r="F497" s="31"/>
      <c r="G497" s="32"/>
      <c r="H497" s="31"/>
      <c r="I497" s="33"/>
      <c r="J497" s="31"/>
      <c r="K497" s="31"/>
    </row>
    <row r="498" spans="1:11" ht="14.4" x14ac:dyDescent="0.3">
      <c r="A498" s="31"/>
      <c r="B498" s="31"/>
      <c r="C498" s="31"/>
      <c r="D498" s="31"/>
      <c r="E498" s="31"/>
      <c r="F498" s="31"/>
      <c r="G498" s="32"/>
      <c r="H498" s="31"/>
      <c r="I498" s="33"/>
      <c r="J498" s="31"/>
      <c r="K498" s="31"/>
    </row>
    <row r="499" spans="1:11" ht="14.4" x14ac:dyDescent="0.3">
      <c r="A499" s="31"/>
      <c r="B499" s="31"/>
      <c r="C499" s="31"/>
      <c r="D499" s="31"/>
      <c r="E499" s="31"/>
      <c r="F499" s="31"/>
      <c r="G499" s="32"/>
      <c r="H499" s="31"/>
      <c r="I499" s="33"/>
      <c r="J499" s="31"/>
      <c r="K499" s="31"/>
    </row>
    <row r="500" spans="1:11" ht="14.4" x14ac:dyDescent="0.3">
      <c r="A500" s="31"/>
      <c r="B500" s="31"/>
      <c r="C500" s="31"/>
      <c r="D500" s="31"/>
      <c r="E500" s="31"/>
      <c r="F500" s="31"/>
      <c r="G500" s="32"/>
      <c r="H500" s="31"/>
      <c r="I500" s="33"/>
      <c r="J500" s="31"/>
      <c r="K500" s="31"/>
    </row>
    <row r="501" spans="1:11" ht="14.4" x14ac:dyDescent="0.3">
      <c r="A501" s="31"/>
      <c r="B501" s="31"/>
      <c r="C501" s="31"/>
      <c r="D501" s="31"/>
      <c r="E501" s="31"/>
      <c r="F501" s="31"/>
      <c r="G501" s="32"/>
      <c r="H501" s="31"/>
      <c r="I501" s="33"/>
      <c r="J501" s="31"/>
      <c r="K501" s="31"/>
    </row>
    <row r="502" spans="1:11" ht="14.4" x14ac:dyDescent="0.3">
      <c r="A502" s="31"/>
      <c r="B502" s="31"/>
      <c r="C502" s="31"/>
      <c r="D502" s="31"/>
      <c r="E502" s="31"/>
      <c r="F502" s="31"/>
      <c r="G502" s="32"/>
      <c r="H502" s="31"/>
      <c r="I502" s="33"/>
      <c r="J502" s="31"/>
      <c r="K502" s="31"/>
    </row>
    <row r="503" spans="1:11" ht="14.4" x14ac:dyDescent="0.3">
      <c r="A503" s="31"/>
      <c r="B503" s="31"/>
      <c r="C503" s="31"/>
      <c r="D503" s="31"/>
      <c r="E503" s="31"/>
      <c r="F503" s="31"/>
      <c r="G503" s="32"/>
      <c r="H503" s="31"/>
      <c r="I503" s="33"/>
      <c r="J503" s="31"/>
      <c r="K503" s="31"/>
    </row>
    <row r="504" spans="1:11" ht="14.4" x14ac:dyDescent="0.3">
      <c r="A504" s="31"/>
      <c r="B504" s="31"/>
      <c r="C504" s="31"/>
      <c r="D504" s="31"/>
      <c r="E504" s="31"/>
      <c r="F504" s="31"/>
      <c r="G504" s="32"/>
      <c r="H504" s="31"/>
      <c r="I504" s="33"/>
      <c r="J504" s="31"/>
      <c r="K504" s="31"/>
    </row>
    <row r="505" spans="1:11" ht="14.4" x14ac:dyDescent="0.3">
      <c r="A505" s="31"/>
      <c r="B505" s="31"/>
      <c r="C505" s="31"/>
      <c r="D505" s="31"/>
      <c r="E505" s="31"/>
      <c r="F505" s="31"/>
      <c r="G505" s="32"/>
      <c r="H505" s="31"/>
      <c r="I505" s="33"/>
      <c r="J505" s="31"/>
      <c r="K505" s="31"/>
    </row>
    <row r="506" spans="1:11" ht="14.4" x14ac:dyDescent="0.3">
      <c r="A506" s="31"/>
      <c r="B506" s="31"/>
      <c r="C506" s="31"/>
      <c r="D506" s="31"/>
      <c r="E506" s="31"/>
      <c r="F506" s="31"/>
      <c r="G506" s="32"/>
      <c r="H506" s="31"/>
      <c r="I506" s="33"/>
      <c r="J506" s="31"/>
      <c r="K506" s="31"/>
    </row>
    <row r="507" spans="1:11" ht="14.4" x14ac:dyDescent="0.3">
      <c r="A507" s="31"/>
      <c r="B507" s="31"/>
      <c r="C507" s="31"/>
      <c r="D507" s="31"/>
      <c r="E507" s="31"/>
      <c r="F507" s="31"/>
      <c r="G507" s="32"/>
      <c r="H507" s="31"/>
      <c r="I507" s="33"/>
      <c r="J507" s="31"/>
      <c r="K507" s="31"/>
    </row>
    <row r="508" spans="1:11" ht="14.4" x14ac:dyDescent="0.3">
      <c r="A508" s="31"/>
      <c r="B508" s="31"/>
      <c r="C508" s="31"/>
      <c r="D508" s="31"/>
      <c r="E508" s="31"/>
      <c r="F508" s="31"/>
      <c r="G508" s="32"/>
      <c r="H508" s="31"/>
      <c r="I508" s="33"/>
      <c r="J508" s="31"/>
      <c r="K508" s="31"/>
    </row>
    <row r="509" spans="1:11" ht="14.4" x14ac:dyDescent="0.3">
      <c r="A509" s="31"/>
      <c r="B509" s="31"/>
      <c r="C509" s="31"/>
      <c r="D509" s="31"/>
      <c r="E509" s="31"/>
      <c r="F509" s="31"/>
      <c r="G509" s="32"/>
      <c r="H509" s="31"/>
      <c r="I509" s="33"/>
      <c r="J509" s="31"/>
      <c r="K509" s="31"/>
    </row>
    <row r="510" spans="1:11" ht="14.4" x14ac:dyDescent="0.3">
      <c r="A510" s="31"/>
      <c r="B510" s="31"/>
      <c r="C510" s="31"/>
      <c r="D510" s="31"/>
      <c r="E510" s="31"/>
      <c r="F510" s="31"/>
      <c r="G510" s="32"/>
      <c r="H510" s="31"/>
      <c r="I510" s="33"/>
      <c r="J510" s="31"/>
      <c r="K510" s="31"/>
    </row>
    <row r="511" spans="1:11" ht="14.4" x14ac:dyDescent="0.3">
      <c r="A511" s="31"/>
      <c r="B511" s="31"/>
      <c r="C511" s="31"/>
      <c r="D511" s="31"/>
      <c r="E511" s="31"/>
      <c r="F511" s="31"/>
      <c r="G511" s="32"/>
      <c r="H511" s="31"/>
      <c r="I511" s="33"/>
      <c r="J511" s="31"/>
      <c r="K511" s="31"/>
    </row>
    <row r="512" spans="1:11" ht="14.4" x14ac:dyDescent="0.3">
      <c r="A512" s="31"/>
      <c r="B512" s="31"/>
      <c r="C512" s="31"/>
      <c r="D512" s="31"/>
      <c r="E512" s="31"/>
      <c r="F512" s="31"/>
      <c r="G512" s="32"/>
      <c r="H512" s="31"/>
      <c r="I512" s="33"/>
      <c r="J512" s="31"/>
      <c r="K512" s="31"/>
    </row>
    <row r="513" spans="1:11" ht="14.4" x14ac:dyDescent="0.3">
      <c r="A513" s="31"/>
      <c r="B513" s="31"/>
      <c r="C513" s="31"/>
      <c r="D513" s="31"/>
      <c r="E513" s="31"/>
      <c r="F513" s="31"/>
      <c r="G513" s="32"/>
      <c r="H513" s="31"/>
      <c r="I513" s="33"/>
      <c r="J513" s="31"/>
      <c r="K513" s="31"/>
    </row>
    <row r="514" spans="1:11" ht="14.4" x14ac:dyDescent="0.3">
      <c r="A514" s="31"/>
      <c r="B514" s="31"/>
      <c r="C514" s="31"/>
      <c r="D514" s="31"/>
      <c r="E514" s="31"/>
      <c r="F514" s="31"/>
      <c r="G514" s="32"/>
      <c r="H514" s="31"/>
      <c r="I514" s="33"/>
      <c r="J514" s="31"/>
      <c r="K514" s="31"/>
    </row>
    <row r="515" spans="1:11" ht="14.4" x14ac:dyDescent="0.3">
      <c r="A515" s="31"/>
      <c r="B515" s="31"/>
      <c r="C515" s="31"/>
      <c r="D515" s="31"/>
      <c r="E515" s="31"/>
      <c r="F515" s="31"/>
      <c r="G515" s="32"/>
      <c r="H515" s="31"/>
      <c r="I515" s="33"/>
      <c r="J515" s="31"/>
      <c r="K515" s="31"/>
    </row>
    <row r="516" spans="1:11" ht="14.4" x14ac:dyDescent="0.3">
      <c r="A516" s="31"/>
      <c r="B516" s="31"/>
      <c r="C516" s="31"/>
      <c r="D516" s="31"/>
      <c r="E516" s="31"/>
      <c r="F516" s="31"/>
      <c r="G516" s="32"/>
      <c r="H516" s="31"/>
      <c r="I516" s="33"/>
      <c r="J516" s="31"/>
      <c r="K516" s="31"/>
    </row>
    <row r="517" spans="1:11" ht="14.4" x14ac:dyDescent="0.3">
      <c r="A517" s="31"/>
      <c r="B517" s="31"/>
      <c r="C517" s="31"/>
      <c r="D517" s="31"/>
      <c r="E517" s="31"/>
      <c r="F517" s="31"/>
      <c r="G517" s="32"/>
      <c r="H517" s="31"/>
      <c r="I517" s="33"/>
      <c r="J517" s="31"/>
      <c r="K517" s="31"/>
    </row>
    <row r="518" spans="1:11" ht="14.4" x14ac:dyDescent="0.3">
      <c r="A518" s="31"/>
      <c r="B518" s="31"/>
      <c r="C518" s="31"/>
      <c r="D518" s="31"/>
      <c r="E518" s="31"/>
      <c r="F518" s="31"/>
      <c r="G518" s="32"/>
      <c r="H518" s="31"/>
      <c r="I518" s="33"/>
      <c r="J518" s="31"/>
      <c r="K518" s="31"/>
    </row>
    <row r="519" spans="1:11" ht="14.4" x14ac:dyDescent="0.3">
      <c r="A519" s="31"/>
      <c r="B519" s="31"/>
      <c r="C519" s="31"/>
      <c r="D519" s="31"/>
      <c r="E519" s="31"/>
      <c r="F519" s="31"/>
      <c r="G519" s="32"/>
      <c r="H519" s="31"/>
      <c r="I519" s="33"/>
      <c r="J519" s="31"/>
      <c r="K519" s="31"/>
    </row>
    <row r="520" spans="1:11" ht="14.4" x14ac:dyDescent="0.3">
      <c r="A520" s="31"/>
      <c r="B520" s="31"/>
      <c r="C520" s="31"/>
      <c r="D520" s="31"/>
      <c r="E520" s="31"/>
      <c r="F520" s="31"/>
      <c r="G520" s="32"/>
      <c r="H520" s="31"/>
      <c r="I520" s="33"/>
      <c r="J520" s="31"/>
      <c r="K520" s="31"/>
    </row>
    <row r="521" spans="1:11" ht="14.4" x14ac:dyDescent="0.3">
      <c r="A521" s="31"/>
      <c r="B521" s="31"/>
      <c r="C521" s="31"/>
      <c r="D521" s="31"/>
      <c r="E521" s="31"/>
      <c r="F521" s="31"/>
      <c r="G521" s="32"/>
      <c r="H521" s="31"/>
      <c r="I521" s="33"/>
      <c r="J521" s="31"/>
      <c r="K521" s="31"/>
    </row>
    <row r="522" spans="1:11" ht="14.4" x14ac:dyDescent="0.3">
      <c r="A522" s="31"/>
      <c r="B522" s="31"/>
      <c r="C522" s="31"/>
      <c r="D522" s="31"/>
      <c r="E522" s="31"/>
      <c r="F522" s="31"/>
      <c r="G522" s="32"/>
      <c r="H522" s="31"/>
      <c r="I522" s="33"/>
      <c r="J522" s="31"/>
      <c r="K522" s="31"/>
    </row>
    <row r="523" spans="1:11" ht="14.4" x14ac:dyDescent="0.3">
      <c r="A523" s="31"/>
      <c r="B523" s="31"/>
      <c r="C523" s="31"/>
      <c r="D523" s="31"/>
      <c r="E523" s="31"/>
      <c r="F523" s="31"/>
      <c r="G523" s="32"/>
      <c r="H523" s="31"/>
      <c r="I523" s="33"/>
      <c r="J523" s="31"/>
      <c r="K523" s="31"/>
    </row>
    <row r="524" spans="1:11" ht="14.4" x14ac:dyDescent="0.3">
      <c r="A524" s="31"/>
      <c r="B524" s="31"/>
      <c r="C524" s="31"/>
      <c r="D524" s="31"/>
      <c r="E524" s="31"/>
      <c r="F524" s="31"/>
      <c r="G524" s="32"/>
      <c r="H524" s="31"/>
      <c r="I524" s="33"/>
      <c r="J524" s="31"/>
      <c r="K524" s="31"/>
    </row>
    <row r="525" spans="1:11" ht="14.4" x14ac:dyDescent="0.3">
      <c r="A525" s="31"/>
      <c r="B525" s="31"/>
      <c r="C525" s="31"/>
      <c r="D525" s="31"/>
      <c r="E525" s="31"/>
      <c r="F525" s="31"/>
      <c r="G525" s="32"/>
      <c r="H525" s="31"/>
      <c r="I525" s="33"/>
      <c r="J525" s="31"/>
      <c r="K525" s="31"/>
    </row>
    <row r="526" spans="1:11" ht="14.4" x14ac:dyDescent="0.3">
      <c r="A526" s="31"/>
      <c r="B526" s="31"/>
      <c r="C526" s="31"/>
      <c r="D526" s="31"/>
      <c r="E526" s="31"/>
      <c r="F526" s="31"/>
      <c r="G526" s="32"/>
      <c r="H526" s="31"/>
      <c r="I526" s="33"/>
      <c r="J526" s="31"/>
      <c r="K526" s="31"/>
    </row>
    <row r="527" spans="1:11" ht="14.4" x14ac:dyDescent="0.3">
      <c r="A527" s="31"/>
      <c r="B527" s="31"/>
      <c r="C527" s="31"/>
      <c r="D527" s="31"/>
      <c r="E527" s="31"/>
      <c r="F527" s="31"/>
      <c r="G527" s="32"/>
      <c r="H527" s="31"/>
      <c r="I527" s="33"/>
      <c r="J527" s="31"/>
      <c r="K527" s="31"/>
    </row>
    <row r="528" spans="1:11" ht="14.4" x14ac:dyDescent="0.3">
      <c r="A528" s="31"/>
      <c r="B528" s="31"/>
      <c r="C528" s="31"/>
      <c r="D528" s="31"/>
      <c r="E528" s="31"/>
      <c r="F528" s="31"/>
      <c r="G528" s="32"/>
      <c r="H528" s="31"/>
      <c r="I528" s="33"/>
      <c r="J528" s="31"/>
      <c r="K528" s="31"/>
    </row>
    <row r="529" spans="1:11" ht="14.4" x14ac:dyDescent="0.3">
      <c r="A529" s="31"/>
      <c r="B529" s="31"/>
      <c r="C529" s="31"/>
      <c r="D529" s="31"/>
      <c r="E529" s="31"/>
      <c r="F529" s="31"/>
      <c r="G529" s="32"/>
      <c r="H529" s="31"/>
      <c r="I529" s="33"/>
      <c r="J529" s="31"/>
      <c r="K529" s="31"/>
    </row>
    <row r="530" spans="1:11" ht="14.4" x14ac:dyDescent="0.3">
      <c r="A530" s="31"/>
      <c r="B530" s="31"/>
      <c r="C530" s="31"/>
      <c r="D530" s="31"/>
      <c r="E530" s="31"/>
      <c r="F530" s="31"/>
      <c r="G530" s="32"/>
      <c r="H530" s="31"/>
      <c r="I530" s="33"/>
      <c r="J530" s="31"/>
      <c r="K530" s="31"/>
    </row>
    <row r="531" spans="1:11" ht="14.4" x14ac:dyDescent="0.3">
      <c r="A531" s="31"/>
      <c r="B531" s="31"/>
      <c r="C531" s="31"/>
      <c r="D531" s="31"/>
      <c r="E531" s="31"/>
      <c r="F531" s="31"/>
      <c r="G531" s="32"/>
      <c r="H531" s="31"/>
      <c r="I531" s="33"/>
      <c r="J531" s="31"/>
      <c r="K531" s="31"/>
    </row>
    <row r="532" spans="1:11" ht="14.4" x14ac:dyDescent="0.3">
      <c r="A532" s="31"/>
      <c r="B532" s="31"/>
      <c r="C532" s="31"/>
      <c r="D532" s="31"/>
      <c r="E532" s="31"/>
      <c r="F532" s="31"/>
      <c r="G532" s="32"/>
      <c r="H532" s="31"/>
      <c r="I532" s="33"/>
      <c r="J532" s="31"/>
      <c r="K532" s="31"/>
    </row>
    <row r="533" spans="1:11" ht="14.4" x14ac:dyDescent="0.3">
      <c r="A533" s="31"/>
      <c r="B533" s="31"/>
      <c r="C533" s="31"/>
      <c r="D533" s="31"/>
      <c r="E533" s="31"/>
      <c r="F533" s="31"/>
      <c r="G533" s="32"/>
      <c r="H533" s="31"/>
      <c r="I533" s="33"/>
      <c r="J533" s="31"/>
      <c r="K533" s="31"/>
    </row>
    <row r="534" spans="1:11" ht="14.4" x14ac:dyDescent="0.3">
      <c r="A534" s="31"/>
      <c r="B534" s="31"/>
      <c r="C534" s="31"/>
      <c r="D534" s="31"/>
      <c r="E534" s="31"/>
      <c r="F534" s="31"/>
      <c r="G534" s="32"/>
      <c r="H534" s="31"/>
      <c r="I534" s="33"/>
      <c r="J534" s="31"/>
      <c r="K534" s="31"/>
    </row>
    <row r="535" spans="1:11" ht="14.4" x14ac:dyDescent="0.3">
      <c r="A535" s="31"/>
      <c r="B535" s="31"/>
      <c r="C535" s="31"/>
      <c r="D535" s="31"/>
      <c r="E535" s="31"/>
      <c r="F535" s="31"/>
      <c r="G535" s="32"/>
      <c r="H535" s="31"/>
      <c r="I535" s="33"/>
      <c r="J535" s="31"/>
      <c r="K535" s="31"/>
    </row>
    <row r="536" spans="1:11" ht="14.4" x14ac:dyDescent="0.3">
      <c r="A536" s="31"/>
      <c r="B536" s="31"/>
      <c r="C536" s="31"/>
      <c r="D536" s="31"/>
      <c r="E536" s="31"/>
      <c r="F536" s="31"/>
      <c r="G536" s="32"/>
      <c r="H536" s="31"/>
      <c r="I536" s="33"/>
      <c r="J536" s="31"/>
      <c r="K536" s="31"/>
    </row>
    <row r="537" spans="1:11" ht="14.4" x14ac:dyDescent="0.3">
      <c r="A537" s="31"/>
      <c r="B537" s="31"/>
      <c r="C537" s="31"/>
      <c r="D537" s="31"/>
      <c r="E537" s="31"/>
      <c r="F537" s="31"/>
      <c r="G537" s="32"/>
      <c r="H537" s="31"/>
      <c r="I537" s="33"/>
      <c r="J537" s="31"/>
      <c r="K537" s="31"/>
    </row>
    <row r="538" spans="1:11" ht="14.4" x14ac:dyDescent="0.3">
      <c r="A538" s="31"/>
      <c r="B538" s="31"/>
      <c r="C538" s="31"/>
      <c r="D538" s="31"/>
      <c r="E538" s="31"/>
      <c r="F538" s="31"/>
      <c r="G538" s="32"/>
      <c r="H538" s="31"/>
      <c r="I538" s="33"/>
      <c r="J538" s="31"/>
      <c r="K538" s="31"/>
    </row>
    <row r="539" spans="1:11" ht="14.4" x14ac:dyDescent="0.3">
      <c r="A539" s="31"/>
      <c r="B539" s="31"/>
      <c r="C539" s="31"/>
      <c r="D539" s="31"/>
      <c r="E539" s="31"/>
      <c r="F539" s="31"/>
      <c r="G539" s="32"/>
      <c r="H539" s="31"/>
      <c r="I539" s="33"/>
      <c r="J539" s="31"/>
      <c r="K539" s="31"/>
    </row>
    <row r="540" spans="1:11" ht="14.4" x14ac:dyDescent="0.3">
      <c r="A540" s="31"/>
      <c r="B540" s="31"/>
      <c r="C540" s="31"/>
      <c r="D540" s="31"/>
      <c r="E540" s="31"/>
      <c r="F540" s="31"/>
      <c r="G540" s="32"/>
      <c r="H540" s="31"/>
      <c r="I540" s="33"/>
      <c r="J540" s="31"/>
      <c r="K540" s="31"/>
    </row>
    <row r="541" spans="1:11" ht="14.4" x14ac:dyDescent="0.3">
      <c r="A541" s="31"/>
      <c r="B541" s="31"/>
      <c r="C541" s="31"/>
      <c r="D541" s="31"/>
      <c r="E541" s="31"/>
      <c r="F541" s="31"/>
      <c r="G541" s="32"/>
      <c r="H541" s="31"/>
      <c r="I541" s="33"/>
      <c r="J541" s="31"/>
      <c r="K541" s="31"/>
    </row>
    <row r="542" spans="1:11" ht="14.4" x14ac:dyDescent="0.3">
      <c r="A542" s="31"/>
      <c r="B542" s="31"/>
      <c r="C542" s="31"/>
      <c r="D542" s="31"/>
      <c r="E542" s="31"/>
      <c r="F542" s="31"/>
      <c r="G542" s="32"/>
      <c r="H542" s="31"/>
      <c r="I542" s="33"/>
      <c r="J542" s="31"/>
      <c r="K542" s="31"/>
    </row>
    <row r="543" spans="1:11" ht="14.4" x14ac:dyDescent="0.3">
      <c r="A543" s="31"/>
      <c r="B543" s="31"/>
      <c r="C543" s="31"/>
      <c r="D543" s="31"/>
      <c r="E543" s="31"/>
      <c r="F543" s="31"/>
      <c r="G543" s="32"/>
      <c r="H543" s="31"/>
      <c r="I543" s="33"/>
      <c r="J543" s="31"/>
      <c r="K543" s="31"/>
    </row>
    <row r="544" spans="1:11" ht="14.4" x14ac:dyDescent="0.3">
      <c r="A544" s="31"/>
      <c r="B544" s="31"/>
      <c r="C544" s="31"/>
      <c r="D544" s="31"/>
      <c r="E544" s="31"/>
      <c r="F544" s="31"/>
      <c r="G544" s="32"/>
      <c r="H544" s="31"/>
      <c r="I544" s="33"/>
      <c r="J544" s="31"/>
      <c r="K544" s="31"/>
    </row>
    <row r="545" spans="1:11" ht="14.4" x14ac:dyDescent="0.3">
      <c r="A545" s="31"/>
      <c r="B545" s="31"/>
      <c r="C545" s="31"/>
      <c r="D545" s="31"/>
      <c r="E545" s="31"/>
      <c r="F545" s="31"/>
      <c r="G545" s="32"/>
      <c r="H545" s="31"/>
      <c r="I545" s="33"/>
      <c r="J545" s="31"/>
      <c r="K545" s="31"/>
    </row>
    <row r="546" spans="1:11" ht="14.4" x14ac:dyDescent="0.3">
      <c r="A546" s="31"/>
      <c r="B546" s="31"/>
      <c r="C546" s="31"/>
      <c r="D546" s="31"/>
      <c r="E546" s="31"/>
      <c r="F546" s="31"/>
      <c r="G546" s="32"/>
      <c r="H546" s="31"/>
      <c r="I546" s="33"/>
      <c r="J546" s="31"/>
      <c r="K546" s="31"/>
    </row>
    <row r="547" spans="1:11" ht="14.4" x14ac:dyDescent="0.3">
      <c r="A547" s="31"/>
      <c r="B547" s="31"/>
      <c r="C547" s="31"/>
      <c r="D547" s="31"/>
      <c r="E547" s="31"/>
      <c r="F547" s="31"/>
      <c r="G547" s="32"/>
      <c r="H547" s="31"/>
      <c r="I547" s="33"/>
      <c r="J547" s="31"/>
      <c r="K547" s="31"/>
    </row>
    <row r="548" spans="1:11" ht="14.4" x14ac:dyDescent="0.3">
      <c r="A548" s="31"/>
      <c r="B548" s="31"/>
      <c r="C548" s="31"/>
      <c r="D548" s="31"/>
      <c r="E548" s="31"/>
      <c r="F548" s="31"/>
      <c r="G548" s="32"/>
      <c r="H548" s="31"/>
      <c r="I548" s="33"/>
      <c r="J548" s="31"/>
      <c r="K548" s="31"/>
    </row>
    <row r="549" spans="1:11" ht="14.4" x14ac:dyDescent="0.3">
      <c r="A549" s="31"/>
      <c r="B549" s="31"/>
      <c r="C549" s="31"/>
      <c r="D549" s="31"/>
      <c r="E549" s="31"/>
      <c r="F549" s="31"/>
      <c r="G549" s="32"/>
      <c r="H549" s="31"/>
      <c r="I549" s="33"/>
      <c r="J549" s="31"/>
      <c r="K549" s="31"/>
    </row>
    <row r="550" spans="1:11" ht="14.4" x14ac:dyDescent="0.3">
      <c r="A550" s="31"/>
      <c r="B550" s="31"/>
      <c r="C550" s="31"/>
      <c r="D550" s="31"/>
      <c r="E550" s="31"/>
      <c r="F550" s="31"/>
      <c r="G550" s="32"/>
      <c r="H550" s="31"/>
      <c r="I550" s="33"/>
      <c r="J550" s="31"/>
      <c r="K550" s="31"/>
    </row>
    <row r="551" spans="1:11" ht="14.4" x14ac:dyDescent="0.3">
      <c r="A551" s="31"/>
      <c r="B551" s="31"/>
      <c r="C551" s="31"/>
      <c r="D551" s="31"/>
      <c r="E551" s="31"/>
      <c r="F551" s="31"/>
      <c r="G551" s="32"/>
      <c r="H551" s="31"/>
      <c r="I551" s="33"/>
      <c r="J551" s="31"/>
      <c r="K551" s="31"/>
    </row>
    <row r="552" spans="1:11" ht="14.4" x14ac:dyDescent="0.3">
      <c r="A552" s="31"/>
      <c r="B552" s="31"/>
      <c r="C552" s="31"/>
      <c r="D552" s="31"/>
      <c r="E552" s="31"/>
      <c r="F552" s="31"/>
      <c r="G552" s="32"/>
      <c r="H552" s="31"/>
      <c r="I552" s="33"/>
      <c r="J552" s="31"/>
      <c r="K552" s="31"/>
    </row>
    <row r="553" spans="1:11" ht="14.4" x14ac:dyDescent="0.3">
      <c r="A553" s="31"/>
      <c r="B553" s="31"/>
      <c r="C553" s="31"/>
      <c r="D553" s="31"/>
      <c r="E553" s="31"/>
      <c r="F553" s="31"/>
      <c r="G553" s="32"/>
      <c r="H553" s="31"/>
      <c r="I553" s="33"/>
      <c r="J553" s="31"/>
      <c r="K553" s="31"/>
    </row>
    <row r="554" spans="1:11" ht="14.4" x14ac:dyDescent="0.3">
      <c r="A554" s="31"/>
      <c r="B554" s="31"/>
      <c r="C554" s="31"/>
      <c r="D554" s="31"/>
      <c r="E554" s="31"/>
      <c r="F554" s="31"/>
      <c r="G554" s="32"/>
      <c r="H554" s="31"/>
      <c r="I554" s="33"/>
      <c r="J554" s="31"/>
      <c r="K554" s="31"/>
    </row>
    <row r="555" spans="1:11" ht="14.4" x14ac:dyDescent="0.3">
      <c r="A555" s="31"/>
      <c r="B555" s="31"/>
      <c r="C555" s="31"/>
      <c r="D555" s="31"/>
      <c r="E555" s="31"/>
      <c r="F555" s="31"/>
      <c r="G555" s="32"/>
      <c r="H555" s="31"/>
      <c r="I555" s="33"/>
      <c r="J555" s="31"/>
      <c r="K555" s="31"/>
    </row>
    <row r="556" spans="1:11" ht="14.4" x14ac:dyDescent="0.3">
      <c r="A556" s="31"/>
      <c r="B556" s="31"/>
      <c r="C556" s="31"/>
      <c r="D556" s="31"/>
      <c r="E556" s="31"/>
      <c r="F556" s="31"/>
      <c r="G556" s="32"/>
      <c r="H556" s="31"/>
      <c r="I556" s="33"/>
      <c r="J556" s="31"/>
      <c r="K556" s="31"/>
    </row>
    <row r="557" spans="1:11" ht="14.4" x14ac:dyDescent="0.3">
      <c r="A557" s="31"/>
      <c r="B557" s="31"/>
      <c r="C557" s="31"/>
      <c r="D557" s="31"/>
      <c r="E557" s="31"/>
      <c r="F557" s="31"/>
      <c r="G557" s="32"/>
      <c r="H557" s="31"/>
      <c r="I557" s="33"/>
      <c r="J557" s="31"/>
      <c r="K557" s="31"/>
    </row>
    <row r="558" spans="1:11" ht="14.4" x14ac:dyDescent="0.3">
      <c r="A558" s="31"/>
      <c r="B558" s="31"/>
      <c r="C558" s="31"/>
      <c r="D558" s="31"/>
      <c r="E558" s="31"/>
      <c r="F558" s="31"/>
      <c r="G558" s="32"/>
      <c r="H558" s="31"/>
      <c r="I558" s="33"/>
      <c r="J558" s="31"/>
      <c r="K558" s="31"/>
    </row>
    <row r="559" spans="1:11" ht="14.4" x14ac:dyDescent="0.3">
      <c r="A559" s="31"/>
      <c r="B559" s="31"/>
      <c r="C559" s="31"/>
      <c r="D559" s="31"/>
      <c r="E559" s="31"/>
      <c r="F559" s="31"/>
      <c r="G559" s="32"/>
      <c r="H559" s="31"/>
      <c r="I559" s="33"/>
      <c r="J559" s="31"/>
      <c r="K559" s="31"/>
    </row>
    <row r="560" spans="1:11" ht="14.4" x14ac:dyDescent="0.3">
      <c r="A560" s="31"/>
      <c r="B560" s="31"/>
      <c r="C560" s="31"/>
      <c r="D560" s="31"/>
      <c r="E560" s="31"/>
      <c r="F560" s="31"/>
      <c r="G560" s="32"/>
      <c r="H560" s="31"/>
      <c r="I560" s="33"/>
      <c r="J560" s="31"/>
      <c r="K560" s="31"/>
    </row>
    <row r="561" spans="1:11" ht="14.4" x14ac:dyDescent="0.3">
      <c r="A561" s="31"/>
      <c r="B561" s="31"/>
      <c r="C561" s="31"/>
      <c r="D561" s="31"/>
      <c r="E561" s="31"/>
      <c r="F561" s="31"/>
      <c r="G561" s="32"/>
      <c r="H561" s="31"/>
      <c r="I561" s="33"/>
      <c r="J561" s="31"/>
      <c r="K561" s="31"/>
    </row>
    <row r="562" spans="1:11" ht="14.4" x14ac:dyDescent="0.3">
      <c r="A562" s="31"/>
      <c r="B562" s="31"/>
      <c r="C562" s="31"/>
      <c r="D562" s="31"/>
      <c r="E562" s="31"/>
      <c r="F562" s="31"/>
      <c r="G562" s="32"/>
      <c r="H562" s="31"/>
      <c r="I562" s="33"/>
      <c r="J562" s="31"/>
      <c r="K562" s="31"/>
    </row>
    <row r="563" spans="1:11" ht="14.4" x14ac:dyDescent="0.3">
      <c r="A563" s="31"/>
      <c r="B563" s="31"/>
      <c r="C563" s="31"/>
      <c r="D563" s="31"/>
      <c r="E563" s="31"/>
      <c r="F563" s="31"/>
      <c r="G563" s="32"/>
      <c r="H563" s="31"/>
      <c r="I563" s="33"/>
      <c r="J563" s="31"/>
      <c r="K563" s="31"/>
    </row>
    <row r="564" spans="1:11" ht="14.4" x14ac:dyDescent="0.3">
      <c r="A564" s="31"/>
      <c r="B564" s="31"/>
      <c r="C564" s="31"/>
      <c r="D564" s="31"/>
      <c r="E564" s="31"/>
      <c r="F564" s="31"/>
      <c r="G564" s="32"/>
      <c r="H564" s="31"/>
      <c r="I564" s="33"/>
      <c r="J564" s="31"/>
      <c r="K564" s="31"/>
    </row>
    <row r="565" spans="1:11" ht="14.4" x14ac:dyDescent="0.3">
      <c r="A565" s="31"/>
      <c r="B565" s="31"/>
      <c r="C565" s="31"/>
      <c r="D565" s="31"/>
      <c r="E565" s="31"/>
      <c r="F565" s="31"/>
      <c r="G565" s="32"/>
      <c r="H565" s="31"/>
      <c r="I565" s="33"/>
      <c r="J565" s="31"/>
      <c r="K565" s="31"/>
    </row>
    <row r="566" spans="1:11" ht="14.4" x14ac:dyDescent="0.3">
      <c r="A566" s="31"/>
      <c r="B566" s="31"/>
      <c r="C566" s="31"/>
      <c r="D566" s="31"/>
      <c r="E566" s="31"/>
      <c r="F566" s="31"/>
      <c r="G566" s="32"/>
      <c r="H566" s="31"/>
      <c r="I566" s="33"/>
      <c r="J566" s="31"/>
      <c r="K566" s="31"/>
    </row>
    <row r="567" spans="1:11" ht="14.4" x14ac:dyDescent="0.3">
      <c r="A567" s="31"/>
      <c r="B567" s="31"/>
      <c r="C567" s="31"/>
      <c r="D567" s="31"/>
      <c r="E567" s="31"/>
      <c r="F567" s="31"/>
      <c r="G567" s="32"/>
      <c r="H567" s="31"/>
      <c r="I567" s="33"/>
      <c r="J567" s="31"/>
      <c r="K567" s="31"/>
    </row>
    <row r="568" spans="1:11" ht="14.4" x14ac:dyDescent="0.3">
      <c r="A568" s="31"/>
      <c r="B568" s="31"/>
      <c r="C568" s="31"/>
      <c r="D568" s="31"/>
      <c r="E568" s="31"/>
      <c r="F568" s="31"/>
      <c r="G568" s="32"/>
      <c r="H568" s="31"/>
      <c r="I568" s="33"/>
      <c r="J568" s="31"/>
      <c r="K568" s="31"/>
    </row>
    <row r="569" spans="1:11" ht="14.4" x14ac:dyDescent="0.3">
      <c r="A569" s="31"/>
      <c r="B569" s="31"/>
      <c r="C569" s="31"/>
      <c r="D569" s="31"/>
      <c r="E569" s="31"/>
      <c r="F569" s="31"/>
      <c r="G569" s="32"/>
      <c r="H569" s="31"/>
      <c r="I569" s="33"/>
      <c r="J569" s="31"/>
      <c r="K569" s="31"/>
    </row>
    <row r="570" spans="1:11" ht="14.4" x14ac:dyDescent="0.3">
      <c r="A570" s="31"/>
      <c r="B570" s="31"/>
      <c r="C570" s="31"/>
      <c r="D570" s="31"/>
      <c r="E570" s="31"/>
      <c r="F570" s="31"/>
      <c r="G570" s="32"/>
      <c r="H570" s="31"/>
      <c r="I570" s="33"/>
      <c r="J570" s="31"/>
      <c r="K570" s="31"/>
    </row>
    <row r="571" spans="1:11" ht="14.4" x14ac:dyDescent="0.3">
      <c r="A571" s="31"/>
      <c r="B571" s="31"/>
      <c r="C571" s="31"/>
      <c r="D571" s="31"/>
      <c r="E571" s="31"/>
      <c r="F571" s="31"/>
      <c r="G571" s="32"/>
      <c r="H571" s="31"/>
      <c r="I571" s="33"/>
      <c r="J571" s="31"/>
      <c r="K571" s="31"/>
    </row>
    <row r="572" spans="1:11" ht="14.4" x14ac:dyDescent="0.3">
      <c r="A572" s="31"/>
      <c r="B572" s="31"/>
      <c r="C572" s="31"/>
      <c r="D572" s="31"/>
      <c r="E572" s="31"/>
      <c r="F572" s="31"/>
      <c r="G572" s="32"/>
      <c r="H572" s="31"/>
      <c r="I572" s="33"/>
      <c r="J572" s="31"/>
      <c r="K572" s="31"/>
    </row>
    <row r="573" spans="1:11" ht="14.4" x14ac:dyDescent="0.3">
      <c r="A573" s="31"/>
      <c r="B573" s="31"/>
      <c r="C573" s="31"/>
      <c r="D573" s="31"/>
      <c r="E573" s="31"/>
      <c r="F573" s="31"/>
      <c r="G573" s="32"/>
      <c r="H573" s="31"/>
      <c r="I573" s="33"/>
      <c r="J573" s="31"/>
      <c r="K573" s="31"/>
    </row>
    <row r="574" spans="1:11" ht="14.4" x14ac:dyDescent="0.3">
      <c r="A574" s="31"/>
      <c r="B574" s="31"/>
      <c r="C574" s="31"/>
      <c r="D574" s="31"/>
      <c r="E574" s="31"/>
      <c r="F574" s="31"/>
      <c r="G574" s="32"/>
      <c r="H574" s="31"/>
      <c r="I574" s="33"/>
      <c r="J574" s="31"/>
      <c r="K574" s="31"/>
    </row>
    <row r="575" spans="1:11" ht="14.4" x14ac:dyDescent="0.3">
      <c r="A575" s="31"/>
      <c r="B575" s="31"/>
      <c r="C575" s="31"/>
      <c r="D575" s="31"/>
      <c r="E575" s="31"/>
      <c r="F575" s="31"/>
      <c r="G575" s="32"/>
      <c r="H575" s="31"/>
      <c r="I575" s="33"/>
      <c r="J575" s="31"/>
      <c r="K575" s="31"/>
    </row>
    <row r="576" spans="1:11" ht="14.4" x14ac:dyDescent="0.3">
      <c r="A576" s="31"/>
      <c r="B576" s="31"/>
      <c r="C576" s="31"/>
      <c r="D576" s="31"/>
      <c r="E576" s="31"/>
      <c r="F576" s="31"/>
      <c r="G576" s="32"/>
      <c r="H576" s="31"/>
      <c r="I576" s="33"/>
      <c r="J576" s="31"/>
      <c r="K576" s="31"/>
    </row>
    <row r="577" spans="1:11" ht="14.4" x14ac:dyDescent="0.3">
      <c r="A577" s="31"/>
      <c r="B577" s="31"/>
      <c r="C577" s="31"/>
      <c r="D577" s="31"/>
      <c r="E577" s="31"/>
      <c r="F577" s="31"/>
      <c r="G577" s="32"/>
      <c r="H577" s="31"/>
      <c r="I577" s="33"/>
      <c r="J577" s="31"/>
      <c r="K577" s="31"/>
    </row>
    <row r="578" spans="1:11" ht="14.4" x14ac:dyDescent="0.3">
      <c r="A578" s="31"/>
      <c r="B578" s="31"/>
      <c r="C578" s="31"/>
      <c r="D578" s="31"/>
      <c r="E578" s="31"/>
      <c r="F578" s="31"/>
      <c r="G578" s="32"/>
      <c r="H578" s="31"/>
      <c r="I578" s="33"/>
      <c r="J578" s="31"/>
      <c r="K578" s="31"/>
    </row>
    <row r="579" spans="1:11" ht="14.4" x14ac:dyDescent="0.3">
      <c r="A579" s="31"/>
      <c r="B579" s="31"/>
      <c r="C579" s="31"/>
      <c r="D579" s="31"/>
      <c r="E579" s="31"/>
      <c r="F579" s="31"/>
      <c r="G579" s="32"/>
      <c r="H579" s="31"/>
      <c r="I579" s="33"/>
      <c r="J579" s="31"/>
      <c r="K579" s="31"/>
    </row>
    <row r="580" spans="1:11" ht="14.4" x14ac:dyDescent="0.3">
      <c r="A580" s="31"/>
      <c r="B580" s="31"/>
      <c r="C580" s="31"/>
      <c r="D580" s="31"/>
      <c r="E580" s="31"/>
      <c r="F580" s="31"/>
      <c r="G580" s="32"/>
      <c r="H580" s="31"/>
      <c r="I580" s="33"/>
      <c r="J580" s="31"/>
      <c r="K580" s="31"/>
    </row>
    <row r="581" spans="1:11" ht="14.4" x14ac:dyDescent="0.3">
      <c r="A581" s="31"/>
      <c r="B581" s="31"/>
      <c r="C581" s="31"/>
      <c r="D581" s="31"/>
      <c r="E581" s="31"/>
      <c r="F581" s="31"/>
      <c r="G581" s="32"/>
      <c r="H581" s="31"/>
      <c r="I581" s="33"/>
      <c r="J581" s="31"/>
      <c r="K581" s="31"/>
    </row>
    <row r="582" spans="1:11" ht="14.4" x14ac:dyDescent="0.3">
      <c r="A582" s="31"/>
      <c r="B582" s="31"/>
      <c r="C582" s="31"/>
      <c r="D582" s="31"/>
      <c r="E582" s="31"/>
      <c r="F582" s="31"/>
      <c r="G582" s="32"/>
      <c r="H582" s="31"/>
      <c r="I582" s="33"/>
      <c r="J582" s="31"/>
      <c r="K582" s="31"/>
    </row>
    <row r="583" spans="1:11" ht="14.4" x14ac:dyDescent="0.3">
      <c r="A583" s="31"/>
      <c r="B583" s="31"/>
      <c r="C583" s="31"/>
      <c r="D583" s="31"/>
      <c r="E583" s="31"/>
      <c r="F583" s="31"/>
      <c r="G583" s="32"/>
      <c r="H583" s="31"/>
      <c r="I583" s="33"/>
      <c r="J583" s="31"/>
      <c r="K583" s="31"/>
    </row>
    <row r="584" spans="1:11" ht="14.4" x14ac:dyDescent="0.3">
      <c r="A584" s="31"/>
      <c r="B584" s="31"/>
      <c r="C584" s="31"/>
      <c r="D584" s="31"/>
      <c r="E584" s="31"/>
      <c r="F584" s="31"/>
      <c r="G584" s="32"/>
      <c r="H584" s="31"/>
      <c r="I584" s="33"/>
      <c r="J584" s="31"/>
      <c r="K584" s="31"/>
    </row>
    <row r="585" spans="1:11" ht="14.4" x14ac:dyDescent="0.3">
      <c r="A585" s="31"/>
      <c r="B585" s="31"/>
      <c r="C585" s="31"/>
      <c r="D585" s="31"/>
      <c r="E585" s="31"/>
      <c r="F585" s="31"/>
      <c r="G585" s="32"/>
      <c r="H585" s="31"/>
      <c r="I585" s="33"/>
      <c r="J585" s="31"/>
      <c r="K585" s="31"/>
    </row>
    <row r="586" spans="1:11" ht="14.4" x14ac:dyDescent="0.3">
      <c r="A586" s="31"/>
      <c r="B586" s="31"/>
      <c r="C586" s="31"/>
      <c r="D586" s="31"/>
      <c r="E586" s="31"/>
      <c r="F586" s="31"/>
      <c r="G586" s="32"/>
      <c r="H586" s="31"/>
      <c r="I586" s="33"/>
      <c r="J586" s="31"/>
      <c r="K586" s="31"/>
    </row>
    <row r="587" spans="1:11" ht="14.4" x14ac:dyDescent="0.3">
      <c r="A587" s="31"/>
      <c r="B587" s="31"/>
      <c r="C587" s="31"/>
      <c r="D587" s="31"/>
      <c r="E587" s="31"/>
      <c r="F587" s="31"/>
      <c r="G587" s="32"/>
      <c r="H587" s="31"/>
      <c r="I587" s="33"/>
      <c r="J587" s="31"/>
      <c r="K587" s="31"/>
    </row>
    <row r="588" spans="1:11" ht="14.4" x14ac:dyDescent="0.3">
      <c r="A588" s="31"/>
      <c r="B588" s="31"/>
      <c r="C588" s="31"/>
      <c r="D588" s="31"/>
      <c r="E588" s="31"/>
      <c r="F588" s="31"/>
      <c r="G588" s="32"/>
      <c r="H588" s="31"/>
      <c r="I588" s="33"/>
      <c r="J588" s="31"/>
      <c r="K588" s="31"/>
    </row>
    <row r="589" spans="1:11" ht="14.4" x14ac:dyDescent="0.3">
      <c r="A589" s="31"/>
      <c r="B589" s="31"/>
      <c r="C589" s="31"/>
      <c r="D589" s="31"/>
      <c r="E589" s="31"/>
      <c r="F589" s="31"/>
      <c r="G589" s="32"/>
      <c r="H589" s="31"/>
      <c r="I589" s="33"/>
      <c r="J589" s="31"/>
      <c r="K589" s="31"/>
    </row>
    <row r="590" spans="1:11" ht="14.4" x14ac:dyDescent="0.3">
      <c r="A590" s="31"/>
      <c r="B590" s="31"/>
      <c r="C590" s="31"/>
      <c r="D590" s="31"/>
      <c r="E590" s="31"/>
      <c r="F590" s="31"/>
      <c r="G590" s="32"/>
      <c r="H590" s="31"/>
      <c r="I590" s="33"/>
      <c r="J590" s="31"/>
      <c r="K590" s="31"/>
    </row>
    <row r="591" spans="1:11" ht="14.4" x14ac:dyDescent="0.3">
      <c r="A591" s="31"/>
      <c r="B591" s="31"/>
      <c r="C591" s="31"/>
      <c r="D591" s="31"/>
      <c r="E591" s="31"/>
      <c r="F591" s="31"/>
      <c r="G591" s="32"/>
      <c r="H591" s="31"/>
      <c r="I591" s="33"/>
      <c r="J591" s="31"/>
      <c r="K591" s="31"/>
    </row>
    <row r="592" spans="1:11" ht="14.4" x14ac:dyDescent="0.3">
      <c r="A592" s="31"/>
      <c r="B592" s="31"/>
      <c r="C592" s="31"/>
      <c r="D592" s="31"/>
      <c r="E592" s="31"/>
      <c r="F592" s="31"/>
      <c r="G592" s="32"/>
      <c r="H592" s="31"/>
      <c r="I592" s="33"/>
      <c r="J592" s="31"/>
      <c r="K592" s="31"/>
    </row>
    <row r="593" spans="1:11" ht="14.4" x14ac:dyDescent="0.3">
      <c r="A593" s="31"/>
      <c r="B593" s="31"/>
      <c r="C593" s="31"/>
      <c r="D593" s="31"/>
      <c r="E593" s="31"/>
      <c r="F593" s="31"/>
      <c r="G593" s="32"/>
      <c r="H593" s="31"/>
      <c r="I593" s="33"/>
      <c r="J593" s="31"/>
      <c r="K593" s="31"/>
    </row>
    <row r="594" spans="1:11" ht="14.4" x14ac:dyDescent="0.3">
      <c r="A594" s="31"/>
      <c r="B594" s="31"/>
      <c r="C594" s="31"/>
      <c r="D594" s="31"/>
      <c r="E594" s="31"/>
      <c r="F594" s="31"/>
      <c r="G594" s="32"/>
      <c r="H594" s="31"/>
      <c r="I594" s="33"/>
      <c r="J594" s="31"/>
      <c r="K594" s="31"/>
    </row>
    <row r="595" spans="1:11" ht="14.4" x14ac:dyDescent="0.3">
      <c r="A595" s="31"/>
      <c r="B595" s="31"/>
      <c r="C595" s="31"/>
      <c r="D595" s="31"/>
      <c r="E595" s="31"/>
      <c r="F595" s="31"/>
      <c r="G595" s="32"/>
      <c r="H595" s="31"/>
      <c r="I595" s="33"/>
      <c r="J595" s="31"/>
      <c r="K595" s="31"/>
    </row>
    <row r="596" spans="1:11" ht="14.4" x14ac:dyDescent="0.3">
      <c r="A596" s="31"/>
      <c r="B596" s="31"/>
      <c r="C596" s="31"/>
      <c r="D596" s="31"/>
      <c r="E596" s="31"/>
      <c r="F596" s="31"/>
      <c r="G596" s="32"/>
      <c r="H596" s="31"/>
      <c r="I596" s="33"/>
      <c r="J596" s="31"/>
      <c r="K596" s="31"/>
    </row>
    <row r="597" spans="1:11" ht="14.4" x14ac:dyDescent="0.3">
      <c r="A597" s="31"/>
      <c r="B597" s="31"/>
      <c r="C597" s="31"/>
      <c r="D597" s="31"/>
      <c r="E597" s="31"/>
      <c r="F597" s="31"/>
      <c r="G597" s="32"/>
      <c r="H597" s="31"/>
      <c r="I597" s="33"/>
      <c r="J597" s="31"/>
      <c r="K597" s="31"/>
    </row>
    <row r="598" spans="1:11" ht="14.4" x14ac:dyDescent="0.3">
      <c r="A598" s="31"/>
      <c r="B598" s="31"/>
      <c r="C598" s="31"/>
      <c r="D598" s="31"/>
      <c r="E598" s="31"/>
      <c r="F598" s="31"/>
      <c r="G598" s="32"/>
      <c r="H598" s="31"/>
      <c r="I598" s="33"/>
      <c r="J598" s="31"/>
      <c r="K598" s="31"/>
    </row>
    <row r="599" spans="1:11" ht="14.4" x14ac:dyDescent="0.3">
      <c r="A599" s="31"/>
      <c r="B599" s="31"/>
      <c r="C599" s="31"/>
      <c r="D599" s="31"/>
      <c r="E599" s="31"/>
      <c r="F599" s="31"/>
      <c r="G599" s="32"/>
      <c r="H599" s="31"/>
      <c r="I599" s="33"/>
      <c r="J599" s="31"/>
      <c r="K599" s="31"/>
    </row>
    <row r="600" spans="1:11" ht="14.4" x14ac:dyDescent="0.3">
      <c r="A600" s="31"/>
      <c r="B600" s="31"/>
      <c r="C600" s="31"/>
      <c r="D600" s="31"/>
      <c r="E600" s="31"/>
      <c r="F600" s="31"/>
      <c r="G600" s="32"/>
      <c r="H600" s="31"/>
      <c r="I600" s="33"/>
      <c r="J600" s="31"/>
      <c r="K600" s="31"/>
    </row>
    <row r="601" spans="1:11" ht="14.4" x14ac:dyDescent="0.3">
      <c r="A601" s="31"/>
      <c r="B601" s="31"/>
      <c r="C601" s="31"/>
      <c r="D601" s="31"/>
      <c r="E601" s="31"/>
      <c r="F601" s="31"/>
      <c r="G601" s="32"/>
      <c r="H601" s="31"/>
      <c r="I601" s="33"/>
      <c r="J601" s="31"/>
      <c r="K601" s="31"/>
    </row>
    <row r="602" spans="1:11" ht="14.4" x14ac:dyDescent="0.3">
      <c r="A602" s="31"/>
      <c r="B602" s="31"/>
      <c r="C602" s="31"/>
      <c r="D602" s="31"/>
      <c r="E602" s="31"/>
      <c r="F602" s="31"/>
      <c r="G602" s="32"/>
      <c r="H602" s="31"/>
      <c r="I602" s="33"/>
      <c r="J602" s="31"/>
      <c r="K602" s="31"/>
    </row>
    <row r="603" spans="1:11" ht="14.4" x14ac:dyDescent="0.3">
      <c r="A603" s="31"/>
      <c r="B603" s="31"/>
      <c r="C603" s="31"/>
      <c r="D603" s="31"/>
      <c r="E603" s="31"/>
      <c r="F603" s="31"/>
      <c r="G603" s="32"/>
      <c r="H603" s="31"/>
      <c r="I603" s="33"/>
      <c r="J603" s="31"/>
      <c r="K603" s="31"/>
    </row>
    <row r="604" spans="1:11" ht="14.4" x14ac:dyDescent="0.3">
      <c r="A604" s="31"/>
      <c r="B604" s="31"/>
      <c r="C604" s="31"/>
      <c r="D604" s="31"/>
      <c r="E604" s="31"/>
      <c r="F604" s="31"/>
      <c r="G604" s="32"/>
      <c r="H604" s="31"/>
      <c r="I604" s="33"/>
      <c r="J604" s="31"/>
      <c r="K604" s="31"/>
    </row>
    <row r="605" spans="1:11" ht="14.4" x14ac:dyDescent="0.3">
      <c r="A605" s="31"/>
      <c r="B605" s="31"/>
      <c r="C605" s="31"/>
      <c r="D605" s="31"/>
      <c r="E605" s="31"/>
      <c r="F605" s="31"/>
      <c r="G605" s="32"/>
      <c r="H605" s="31"/>
      <c r="I605" s="33"/>
      <c r="J605" s="31"/>
      <c r="K605" s="31"/>
    </row>
    <row r="606" spans="1:11" ht="14.4" x14ac:dyDescent="0.3">
      <c r="A606" s="31"/>
      <c r="B606" s="31"/>
      <c r="C606" s="31"/>
      <c r="D606" s="31"/>
      <c r="E606" s="31"/>
      <c r="F606" s="31"/>
      <c r="G606" s="32"/>
      <c r="H606" s="31"/>
      <c r="I606" s="33"/>
      <c r="J606" s="31"/>
      <c r="K606" s="31"/>
    </row>
    <row r="607" spans="1:11" ht="14.4" x14ac:dyDescent="0.3">
      <c r="A607" s="31"/>
      <c r="B607" s="31"/>
      <c r="C607" s="31"/>
      <c r="D607" s="31"/>
      <c r="E607" s="31"/>
      <c r="F607" s="31"/>
      <c r="G607" s="32"/>
      <c r="H607" s="31"/>
      <c r="I607" s="33"/>
      <c r="J607" s="31"/>
      <c r="K607" s="31"/>
    </row>
    <row r="608" spans="1:11" ht="14.4" x14ac:dyDescent="0.3">
      <c r="A608" s="31"/>
      <c r="B608" s="31"/>
      <c r="C608" s="31"/>
      <c r="D608" s="31"/>
      <c r="E608" s="31"/>
      <c r="F608" s="31"/>
      <c r="G608" s="32"/>
      <c r="H608" s="31"/>
      <c r="I608" s="33"/>
      <c r="J608" s="31"/>
      <c r="K608" s="31"/>
    </row>
    <row r="609" spans="1:11" ht="14.4" x14ac:dyDescent="0.3">
      <c r="A609" s="31"/>
      <c r="B609" s="31"/>
      <c r="C609" s="31"/>
      <c r="D609" s="31"/>
      <c r="E609" s="31"/>
      <c r="F609" s="31"/>
      <c r="G609" s="32"/>
      <c r="H609" s="31"/>
      <c r="I609" s="33"/>
      <c r="J609" s="31"/>
      <c r="K609" s="31"/>
    </row>
    <row r="610" spans="1:11" ht="14.4" x14ac:dyDescent="0.3">
      <c r="A610" s="31"/>
      <c r="B610" s="31"/>
      <c r="C610" s="31"/>
      <c r="D610" s="31"/>
      <c r="E610" s="31"/>
      <c r="F610" s="31"/>
      <c r="G610" s="32"/>
      <c r="H610" s="31"/>
      <c r="I610" s="33"/>
      <c r="J610" s="31"/>
      <c r="K610" s="31"/>
    </row>
    <row r="611" spans="1:11" ht="14.4" x14ac:dyDescent="0.3">
      <c r="A611" s="31"/>
      <c r="B611" s="31"/>
      <c r="C611" s="31"/>
      <c r="D611" s="31"/>
      <c r="E611" s="31"/>
      <c r="F611" s="31"/>
      <c r="G611" s="32"/>
      <c r="H611" s="31"/>
      <c r="I611" s="33"/>
      <c r="J611" s="31"/>
      <c r="K611" s="31"/>
    </row>
    <row r="612" spans="1:11" ht="14.4" x14ac:dyDescent="0.3">
      <c r="A612" s="31"/>
      <c r="B612" s="31"/>
      <c r="C612" s="31"/>
      <c r="D612" s="31"/>
      <c r="E612" s="31"/>
      <c r="F612" s="31"/>
      <c r="G612" s="32"/>
      <c r="H612" s="31"/>
      <c r="I612" s="33"/>
      <c r="J612" s="31"/>
      <c r="K612" s="31"/>
    </row>
    <row r="613" spans="1:11" ht="14.4" x14ac:dyDescent="0.3">
      <c r="A613" s="31"/>
      <c r="B613" s="31"/>
      <c r="C613" s="31"/>
      <c r="D613" s="31"/>
      <c r="E613" s="31"/>
      <c r="F613" s="31"/>
      <c r="G613" s="32"/>
      <c r="H613" s="31"/>
      <c r="I613" s="33"/>
      <c r="J613" s="31"/>
      <c r="K613" s="31"/>
    </row>
    <row r="614" spans="1:11" ht="14.4" x14ac:dyDescent="0.3">
      <c r="A614" s="31"/>
      <c r="B614" s="31"/>
      <c r="C614" s="31"/>
      <c r="D614" s="31"/>
      <c r="E614" s="31"/>
      <c r="F614" s="31"/>
      <c r="G614" s="32"/>
      <c r="H614" s="31"/>
      <c r="I614" s="33"/>
      <c r="J614" s="31"/>
      <c r="K614" s="31"/>
    </row>
    <row r="615" spans="1:11" ht="14.4" x14ac:dyDescent="0.3">
      <c r="A615" s="31"/>
      <c r="B615" s="31"/>
      <c r="C615" s="31"/>
      <c r="D615" s="31"/>
      <c r="E615" s="31"/>
      <c r="F615" s="31"/>
      <c r="G615" s="32"/>
      <c r="H615" s="31"/>
      <c r="I615" s="33"/>
      <c r="J615" s="31"/>
      <c r="K615" s="31"/>
    </row>
    <row r="616" spans="1:11" ht="14.4" x14ac:dyDescent="0.3">
      <c r="A616" s="31"/>
      <c r="B616" s="31"/>
      <c r="C616" s="31"/>
      <c r="D616" s="31"/>
      <c r="E616" s="31"/>
      <c r="F616" s="31"/>
      <c r="G616" s="32"/>
      <c r="H616" s="31"/>
      <c r="I616" s="33"/>
      <c r="J616" s="31"/>
      <c r="K616" s="31"/>
    </row>
    <row r="617" spans="1:11" ht="14.4" x14ac:dyDescent="0.3">
      <c r="A617" s="31"/>
      <c r="B617" s="31"/>
      <c r="C617" s="31"/>
      <c r="D617" s="31"/>
      <c r="E617" s="31"/>
      <c r="F617" s="31"/>
      <c r="G617" s="32"/>
      <c r="H617" s="31"/>
      <c r="I617" s="33"/>
      <c r="J617" s="31"/>
      <c r="K617" s="31"/>
    </row>
    <row r="618" spans="1:11" ht="14.4" x14ac:dyDescent="0.3">
      <c r="A618" s="31"/>
      <c r="B618" s="31"/>
      <c r="C618" s="31"/>
      <c r="D618" s="31"/>
      <c r="E618" s="31"/>
      <c r="F618" s="31"/>
      <c r="G618" s="32"/>
      <c r="H618" s="31"/>
      <c r="I618" s="33"/>
      <c r="J618" s="31"/>
      <c r="K618" s="31"/>
    </row>
    <row r="619" spans="1:11" ht="14.4" x14ac:dyDescent="0.3">
      <c r="A619" s="31"/>
      <c r="B619" s="31"/>
      <c r="C619" s="31"/>
      <c r="D619" s="31"/>
      <c r="E619" s="31"/>
      <c r="F619" s="31"/>
      <c r="G619" s="32"/>
      <c r="H619" s="31"/>
      <c r="I619" s="33"/>
      <c r="J619" s="31"/>
      <c r="K619" s="31"/>
    </row>
    <row r="620" spans="1:11" ht="14.4" x14ac:dyDescent="0.3">
      <c r="A620" s="31"/>
      <c r="B620" s="31"/>
      <c r="C620" s="31"/>
      <c r="D620" s="31"/>
      <c r="E620" s="31"/>
      <c r="F620" s="31"/>
      <c r="G620" s="32"/>
      <c r="H620" s="31"/>
      <c r="I620" s="33"/>
      <c r="J620" s="31"/>
      <c r="K620" s="31"/>
    </row>
    <row r="621" spans="1:11" ht="14.4" x14ac:dyDescent="0.3">
      <c r="A621" s="31"/>
      <c r="B621" s="31"/>
      <c r="C621" s="31"/>
      <c r="D621" s="31"/>
      <c r="E621" s="31"/>
      <c r="F621" s="31"/>
      <c r="G621" s="32"/>
      <c r="H621" s="31"/>
      <c r="I621" s="33"/>
      <c r="J621" s="31"/>
      <c r="K621" s="31"/>
    </row>
    <row r="622" spans="1:11" ht="14.4" x14ac:dyDescent="0.3">
      <c r="A622" s="31"/>
      <c r="B622" s="31"/>
      <c r="C622" s="31"/>
      <c r="D622" s="31"/>
      <c r="E622" s="31"/>
      <c r="F622" s="31"/>
      <c r="G622" s="32"/>
      <c r="H622" s="31"/>
      <c r="I622" s="33"/>
      <c r="J622" s="31"/>
      <c r="K622" s="31"/>
    </row>
    <row r="623" spans="1:11" ht="14.4" x14ac:dyDescent="0.3">
      <c r="A623" s="31"/>
      <c r="B623" s="31"/>
      <c r="C623" s="31"/>
      <c r="D623" s="31"/>
      <c r="E623" s="31"/>
      <c r="F623" s="31"/>
      <c r="G623" s="32"/>
      <c r="H623" s="31"/>
      <c r="I623" s="33"/>
      <c r="J623" s="31"/>
      <c r="K623" s="31"/>
    </row>
    <row r="624" spans="1:11" ht="14.4" x14ac:dyDescent="0.3">
      <c r="A624" s="31"/>
      <c r="B624" s="31"/>
      <c r="C624" s="31"/>
      <c r="D624" s="31"/>
      <c r="E624" s="31"/>
      <c r="F624" s="31"/>
      <c r="G624" s="32"/>
      <c r="H624" s="31"/>
      <c r="I624" s="33"/>
      <c r="J624" s="31"/>
      <c r="K624" s="31"/>
    </row>
    <row r="625" spans="1:11" ht="14.4" x14ac:dyDescent="0.3">
      <c r="A625" s="31"/>
      <c r="B625" s="31"/>
      <c r="C625" s="31"/>
      <c r="D625" s="31"/>
      <c r="E625" s="31"/>
      <c r="F625" s="31"/>
      <c r="G625" s="32"/>
      <c r="H625" s="31"/>
      <c r="I625" s="33"/>
      <c r="J625" s="31"/>
      <c r="K625" s="31"/>
    </row>
    <row r="626" spans="1:11" ht="14.4" x14ac:dyDescent="0.3">
      <c r="A626" s="31"/>
      <c r="B626" s="31"/>
      <c r="C626" s="31"/>
      <c r="D626" s="31"/>
      <c r="E626" s="31"/>
      <c r="F626" s="31"/>
      <c r="G626" s="32"/>
      <c r="H626" s="31"/>
      <c r="I626" s="33"/>
      <c r="J626" s="31"/>
      <c r="K626" s="31"/>
    </row>
    <row r="627" spans="1:11" ht="14.4" x14ac:dyDescent="0.3">
      <c r="A627" s="31"/>
      <c r="B627" s="31"/>
      <c r="C627" s="31"/>
      <c r="D627" s="31"/>
      <c r="E627" s="31"/>
      <c r="F627" s="31"/>
      <c r="G627" s="32"/>
      <c r="H627" s="31"/>
      <c r="I627" s="33"/>
      <c r="J627" s="31"/>
      <c r="K627" s="31"/>
    </row>
    <row r="628" spans="1:11" ht="14.4" x14ac:dyDescent="0.3">
      <c r="A628" s="31"/>
      <c r="B628" s="31"/>
      <c r="C628" s="31"/>
      <c r="D628" s="31"/>
      <c r="E628" s="31"/>
      <c r="F628" s="31"/>
      <c r="G628" s="32"/>
      <c r="H628" s="31"/>
      <c r="I628" s="33"/>
      <c r="J628" s="31"/>
      <c r="K628" s="31"/>
    </row>
    <row r="629" spans="1:11" ht="14.4" x14ac:dyDescent="0.3">
      <c r="A629" s="31"/>
      <c r="B629" s="31"/>
      <c r="C629" s="31"/>
      <c r="D629" s="31"/>
      <c r="E629" s="31"/>
      <c r="F629" s="31"/>
      <c r="G629" s="32"/>
      <c r="H629" s="31"/>
      <c r="I629" s="33"/>
      <c r="J629" s="31"/>
      <c r="K629" s="31"/>
    </row>
    <row r="630" spans="1:11" ht="14.4" x14ac:dyDescent="0.3">
      <c r="A630" s="31"/>
      <c r="B630" s="31"/>
      <c r="C630" s="31"/>
      <c r="D630" s="31"/>
      <c r="E630" s="31"/>
      <c r="F630" s="31"/>
      <c r="G630" s="32"/>
      <c r="H630" s="31"/>
      <c r="I630" s="33"/>
      <c r="J630" s="31"/>
      <c r="K630" s="31"/>
    </row>
    <row r="631" spans="1:11" ht="14.4" x14ac:dyDescent="0.3">
      <c r="A631" s="31"/>
      <c r="B631" s="31"/>
      <c r="C631" s="31"/>
      <c r="D631" s="31"/>
      <c r="E631" s="31"/>
      <c r="F631" s="31"/>
      <c r="G631" s="32"/>
      <c r="H631" s="31"/>
      <c r="I631" s="33"/>
      <c r="J631" s="31"/>
      <c r="K631" s="31"/>
    </row>
    <row r="632" spans="1:11" ht="14.4" x14ac:dyDescent="0.3">
      <c r="A632" s="31"/>
      <c r="B632" s="31"/>
      <c r="C632" s="31"/>
      <c r="D632" s="31"/>
      <c r="E632" s="31"/>
      <c r="F632" s="31"/>
      <c r="G632" s="32"/>
      <c r="H632" s="31"/>
      <c r="I632" s="33"/>
      <c r="J632" s="31"/>
      <c r="K632" s="31"/>
    </row>
    <row r="633" spans="1:11" ht="14.4" x14ac:dyDescent="0.3">
      <c r="A633" s="31"/>
      <c r="B633" s="31"/>
      <c r="C633" s="31"/>
      <c r="D633" s="31"/>
      <c r="E633" s="31"/>
      <c r="F633" s="31"/>
      <c r="G633" s="32"/>
      <c r="H633" s="31"/>
      <c r="I633" s="33"/>
      <c r="J633" s="31"/>
      <c r="K633" s="31"/>
    </row>
    <row r="634" spans="1:11" ht="14.4" x14ac:dyDescent="0.3">
      <c r="A634" s="31"/>
      <c r="B634" s="31"/>
      <c r="C634" s="31"/>
      <c r="D634" s="31"/>
      <c r="E634" s="31"/>
      <c r="F634" s="31"/>
      <c r="G634" s="32"/>
      <c r="H634" s="31"/>
      <c r="I634" s="33"/>
      <c r="J634" s="31"/>
      <c r="K634" s="31"/>
    </row>
    <row r="635" spans="1:11" ht="14.4" x14ac:dyDescent="0.3">
      <c r="A635" s="31"/>
      <c r="B635" s="31"/>
      <c r="C635" s="31"/>
      <c r="D635" s="31"/>
      <c r="E635" s="31"/>
      <c r="F635" s="31"/>
      <c r="G635" s="32"/>
      <c r="H635" s="31"/>
      <c r="I635" s="33"/>
      <c r="J635" s="31"/>
      <c r="K635" s="31"/>
    </row>
    <row r="636" spans="1:11" ht="14.4" x14ac:dyDescent="0.3">
      <c r="A636" s="31"/>
      <c r="B636" s="31"/>
      <c r="C636" s="31"/>
      <c r="D636" s="31"/>
      <c r="E636" s="31"/>
      <c r="F636" s="31"/>
      <c r="G636" s="32"/>
      <c r="H636" s="31"/>
      <c r="I636" s="33"/>
      <c r="J636" s="31"/>
      <c r="K636" s="31"/>
    </row>
    <row r="637" spans="1:11" ht="14.4" x14ac:dyDescent="0.3">
      <c r="A637" s="31"/>
      <c r="B637" s="31"/>
      <c r="C637" s="31"/>
      <c r="D637" s="31"/>
      <c r="E637" s="31"/>
      <c r="F637" s="31"/>
      <c r="G637" s="32"/>
      <c r="H637" s="31"/>
      <c r="I637" s="33"/>
      <c r="J637" s="31"/>
      <c r="K637" s="31"/>
    </row>
    <row r="638" spans="1:11" ht="14.4" x14ac:dyDescent="0.3">
      <c r="A638" s="31"/>
      <c r="B638" s="31"/>
      <c r="C638" s="31"/>
      <c r="D638" s="31"/>
      <c r="E638" s="31"/>
      <c r="F638" s="31"/>
      <c r="G638" s="32"/>
      <c r="H638" s="31"/>
      <c r="I638" s="33"/>
      <c r="J638" s="31"/>
      <c r="K638" s="31"/>
    </row>
    <row r="639" spans="1:11" ht="14.4" x14ac:dyDescent="0.3">
      <c r="A639" s="31"/>
      <c r="B639" s="31"/>
      <c r="C639" s="31"/>
      <c r="D639" s="31"/>
      <c r="E639" s="31"/>
      <c r="F639" s="31"/>
      <c r="G639" s="32"/>
      <c r="H639" s="31"/>
      <c r="I639" s="33"/>
      <c r="J639" s="31"/>
      <c r="K639" s="31"/>
    </row>
    <row r="640" spans="1:11" ht="14.4" x14ac:dyDescent="0.3">
      <c r="A640" s="31"/>
      <c r="B640" s="31"/>
      <c r="C640" s="31"/>
      <c r="D640" s="31"/>
      <c r="E640" s="31"/>
      <c r="F640" s="31"/>
      <c r="G640" s="32"/>
      <c r="H640" s="31"/>
      <c r="I640" s="33"/>
      <c r="J640" s="31"/>
      <c r="K640" s="31"/>
    </row>
    <row r="641" spans="1:11" ht="14.4" x14ac:dyDescent="0.3">
      <c r="A641" s="31"/>
      <c r="B641" s="31"/>
      <c r="C641" s="31"/>
      <c r="D641" s="31"/>
      <c r="E641" s="31"/>
      <c r="F641" s="31"/>
      <c r="G641" s="32"/>
      <c r="H641" s="31"/>
      <c r="I641" s="33"/>
      <c r="J641" s="31"/>
      <c r="K641" s="31"/>
    </row>
    <row r="642" spans="1:11" ht="14.4" x14ac:dyDescent="0.3">
      <c r="A642" s="31"/>
      <c r="B642" s="31"/>
      <c r="C642" s="31"/>
      <c r="D642" s="31"/>
      <c r="E642" s="31"/>
      <c r="F642" s="31"/>
      <c r="G642" s="32"/>
      <c r="H642" s="31"/>
      <c r="I642" s="33"/>
      <c r="J642" s="31"/>
      <c r="K642" s="31"/>
    </row>
    <row r="643" spans="1:11" ht="14.4" x14ac:dyDescent="0.3">
      <c r="A643" s="31"/>
      <c r="B643" s="31"/>
      <c r="C643" s="31"/>
      <c r="D643" s="31"/>
      <c r="E643" s="31"/>
      <c r="F643" s="31"/>
      <c r="G643" s="32"/>
      <c r="H643" s="31"/>
      <c r="I643" s="33"/>
      <c r="J643" s="31"/>
      <c r="K643" s="31"/>
    </row>
    <row r="644" spans="1:11" ht="14.4" x14ac:dyDescent="0.3">
      <c r="A644" s="31"/>
      <c r="B644" s="31"/>
      <c r="C644" s="31"/>
      <c r="D644" s="31"/>
      <c r="E644" s="31"/>
      <c r="F644" s="31"/>
      <c r="G644" s="32"/>
      <c r="H644" s="31"/>
      <c r="I644" s="33"/>
      <c r="J644" s="31"/>
      <c r="K644" s="31"/>
    </row>
    <row r="645" spans="1:11" ht="14.4" x14ac:dyDescent="0.3">
      <c r="A645" s="31"/>
      <c r="B645" s="31"/>
      <c r="C645" s="31"/>
      <c r="D645" s="31"/>
      <c r="E645" s="31"/>
      <c r="F645" s="31"/>
      <c r="G645" s="32"/>
      <c r="H645" s="31"/>
      <c r="I645" s="33"/>
      <c r="J645" s="31"/>
      <c r="K645" s="31"/>
    </row>
    <row r="646" spans="1:11" ht="14.4" x14ac:dyDescent="0.3">
      <c r="A646" s="31"/>
      <c r="B646" s="31"/>
      <c r="C646" s="31"/>
      <c r="D646" s="31"/>
      <c r="E646" s="31"/>
      <c r="F646" s="31"/>
      <c r="G646" s="32"/>
      <c r="H646" s="31"/>
      <c r="I646" s="33"/>
      <c r="J646" s="31"/>
      <c r="K646" s="31"/>
    </row>
    <row r="647" spans="1:11" ht="14.4" x14ac:dyDescent="0.3">
      <c r="A647" s="31"/>
      <c r="B647" s="31"/>
      <c r="C647" s="31"/>
      <c r="D647" s="31"/>
      <c r="E647" s="31"/>
      <c r="F647" s="31"/>
      <c r="G647" s="32"/>
      <c r="H647" s="31"/>
      <c r="I647" s="33"/>
      <c r="J647" s="31"/>
      <c r="K647" s="31"/>
    </row>
    <row r="648" spans="1:11" ht="14.4" x14ac:dyDescent="0.3">
      <c r="A648" s="31"/>
      <c r="B648" s="31"/>
      <c r="C648" s="31"/>
      <c r="D648" s="31"/>
      <c r="E648" s="31"/>
      <c r="F648" s="31"/>
      <c r="G648" s="32"/>
      <c r="H648" s="31"/>
      <c r="I648" s="33"/>
      <c r="J648" s="31"/>
      <c r="K648" s="31"/>
    </row>
    <row r="649" spans="1:11" ht="14.4" x14ac:dyDescent="0.3">
      <c r="A649" s="31"/>
      <c r="B649" s="31"/>
      <c r="C649" s="31"/>
      <c r="D649" s="31"/>
      <c r="E649" s="31"/>
      <c r="F649" s="31"/>
      <c r="G649" s="32"/>
      <c r="H649" s="31"/>
      <c r="I649" s="33"/>
      <c r="J649" s="31"/>
      <c r="K649" s="31"/>
    </row>
    <row r="650" spans="1:11" ht="14.4" x14ac:dyDescent="0.3">
      <c r="A650" s="31"/>
      <c r="B650" s="31"/>
      <c r="C650" s="31"/>
      <c r="D650" s="31"/>
      <c r="E650" s="31"/>
      <c r="F650" s="31"/>
      <c r="G650" s="32"/>
      <c r="H650" s="31"/>
      <c r="I650" s="33"/>
      <c r="J650" s="31"/>
      <c r="K650" s="31"/>
    </row>
    <row r="651" spans="1:11" ht="14.4" x14ac:dyDescent="0.3">
      <c r="A651" s="31"/>
      <c r="B651" s="31"/>
      <c r="C651" s="31"/>
      <c r="D651" s="31"/>
      <c r="E651" s="31"/>
      <c r="F651" s="31"/>
      <c r="G651" s="32"/>
      <c r="H651" s="31"/>
      <c r="I651" s="33"/>
      <c r="J651" s="31"/>
      <c r="K651" s="31"/>
    </row>
    <row r="652" spans="1:11" ht="14.4" x14ac:dyDescent="0.3">
      <c r="A652" s="31"/>
      <c r="B652" s="31"/>
      <c r="C652" s="31"/>
      <c r="D652" s="31"/>
      <c r="E652" s="31"/>
      <c r="F652" s="31"/>
      <c r="G652" s="32"/>
      <c r="H652" s="31"/>
      <c r="I652" s="33"/>
      <c r="J652" s="31"/>
      <c r="K652" s="31"/>
    </row>
    <row r="653" spans="1:11" ht="14.4" x14ac:dyDescent="0.3">
      <c r="A653" s="31"/>
      <c r="B653" s="31"/>
      <c r="C653" s="31"/>
      <c r="D653" s="31"/>
      <c r="E653" s="31"/>
      <c r="F653" s="31"/>
      <c r="G653" s="32"/>
      <c r="H653" s="31"/>
      <c r="I653" s="33"/>
      <c r="J653" s="31"/>
      <c r="K653" s="31"/>
    </row>
    <row r="654" spans="1:11" ht="14.4" x14ac:dyDescent="0.3">
      <c r="A654" s="31"/>
      <c r="B654" s="31"/>
      <c r="C654" s="31"/>
      <c r="D654" s="31"/>
      <c r="E654" s="31"/>
      <c r="F654" s="31"/>
      <c r="G654" s="32"/>
      <c r="H654" s="31"/>
      <c r="I654" s="33"/>
      <c r="J654" s="31"/>
      <c r="K654" s="31"/>
    </row>
    <row r="655" spans="1:11" ht="14.4" x14ac:dyDescent="0.3">
      <c r="A655" s="31"/>
      <c r="B655" s="31"/>
      <c r="C655" s="31"/>
      <c r="D655" s="31"/>
      <c r="E655" s="31"/>
      <c r="F655" s="31"/>
      <c r="G655" s="32"/>
      <c r="H655" s="31"/>
      <c r="I655" s="33"/>
      <c r="J655" s="31"/>
      <c r="K655" s="31"/>
    </row>
    <row r="656" spans="1:11" ht="14.4" x14ac:dyDescent="0.3">
      <c r="A656" s="31"/>
      <c r="B656" s="31"/>
      <c r="C656" s="31"/>
      <c r="D656" s="31"/>
      <c r="E656" s="31"/>
      <c r="F656" s="31"/>
      <c r="G656" s="32"/>
      <c r="H656" s="31"/>
      <c r="I656" s="33"/>
      <c r="J656" s="31"/>
      <c r="K656" s="31"/>
    </row>
    <row r="657" spans="1:11" ht="14.4" x14ac:dyDescent="0.3">
      <c r="A657" s="31"/>
      <c r="B657" s="31"/>
      <c r="C657" s="31"/>
      <c r="D657" s="31"/>
      <c r="E657" s="31"/>
      <c r="F657" s="31"/>
      <c r="G657" s="32"/>
      <c r="H657" s="31"/>
      <c r="I657" s="33"/>
      <c r="J657" s="31"/>
      <c r="K657" s="31"/>
    </row>
    <row r="658" spans="1:11" ht="14.4" x14ac:dyDescent="0.3">
      <c r="A658" s="31"/>
      <c r="B658" s="31"/>
      <c r="C658" s="31"/>
      <c r="D658" s="31"/>
      <c r="E658" s="31"/>
      <c r="F658" s="31"/>
      <c r="G658" s="32"/>
      <c r="H658" s="31"/>
      <c r="I658" s="33"/>
      <c r="J658" s="31"/>
      <c r="K658" s="31"/>
    </row>
    <row r="659" spans="1:11" ht="14.4" x14ac:dyDescent="0.3">
      <c r="A659" s="31"/>
      <c r="B659" s="31"/>
      <c r="C659" s="31"/>
      <c r="D659" s="31"/>
      <c r="E659" s="31"/>
      <c r="F659" s="31"/>
      <c r="G659" s="32"/>
      <c r="H659" s="31"/>
      <c r="I659" s="33"/>
      <c r="J659" s="31"/>
      <c r="K659" s="31"/>
    </row>
    <row r="660" spans="1:11" ht="14.4" x14ac:dyDescent="0.3">
      <c r="A660" s="31"/>
      <c r="B660" s="31"/>
      <c r="C660" s="31"/>
      <c r="D660" s="31"/>
      <c r="E660" s="31"/>
      <c r="F660" s="31"/>
      <c r="G660" s="32"/>
      <c r="H660" s="31"/>
      <c r="I660" s="33"/>
      <c r="J660" s="31"/>
      <c r="K660" s="31"/>
    </row>
    <row r="661" spans="1:11" ht="14.4" x14ac:dyDescent="0.3">
      <c r="A661" s="31"/>
      <c r="B661" s="31"/>
      <c r="C661" s="31"/>
      <c r="D661" s="31"/>
      <c r="E661" s="31"/>
      <c r="F661" s="31"/>
      <c r="G661" s="32"/>
      <c r="H661" s="31"/>
      <c r="I661" s="33"/>
      <c r="J661" s="31"/>
      <c r="K661" s="31"/>
    </row>
    <row r="662" spans="1:11" ht="14.4" x14ac:dyDescent="0.3">
      <c r="A662" s="31"/>
      <c r="B662" s="31"/>
      <c r="C662" s="31"/>
      <c r="D662" s="31"/>
      <c r="E662" s="31"/>
      <c r="F662" s="31"/>
      <c r="G662" s="32"/>
      <c r="H662" s="31"/>
      <c r="I662" s="33"/>
      <c r="J662" s="31"/>
      <c r="K662" s="31"/>
    </row>
    <row r="663" spans="1:11" ht="14.4" x14ac:dyDescent="0.3">
      <c r="A663" s="31"/>
      <c r="B663" s="31"/>
      <c r="C663" s="31"/>
      <c r="D663" s="31"/>
      <c r="E663" s="31"/>
      <c r="F663" s="31"/>
      <c r="G663" s="32"/>
      <c r="H663" s="31"/>
      <c r="I663" s="33"/>
      <c r="J663" s="31"/>
      <c r="K663" s="31"/>
    </row>
    <row r="664" spans="1:11" ht="14.4" x14ac:dyDescent="0.3">
      <c r="A664" s="31"/>
      <c r="B664" s="31"/>
      <c r="C664" s="31"/>
      <c r="D664" s="31"/>
      <c r="E664" s="31"/>
      <c r="F664" s="31"/>
      <c r="G664" s="32"/>
      <c r="H664" s="31"/>
      <c r="I664" s="33"/>
      <c r="J664" s="31"/>
      <c r="K664" s="31"/>
    </row>
    <row r="665" spans="1:11" ht="14.4" x14ac:dyDescent="0.3">
      <c r="A665" s="31"/>
      <c r="B665" s="31"/>
      <c r="C665" s="31"/>
      <c r="D665" s="31"/>
      <c r="E665" s="31"/>
      <c r="F665" s="31"/>
      <c r="G665" s="32"/>
      <c r="H665" s="31"/>
      <c r="I665" s="33"/>
      <c r="J665" s="31"/>
      <c r="K665" s="31"/>
    </row>
    <row r="666" spans="1:11" ht="14.4" x14ac:dyDescent="0.3">
      <c r="A666" s="31"/>
      <c r="B666" s="31"/>
      <c r="C666" s="31"/>
      <c r="D666" s="31"/>
      <c r="E666" s="31"/>
      <c r="F666" s="31"/>
      <c r="G666" s="32"/>
      <c r="H666" s="31"/>
      <c r="I666" s="33"/>
      <c r="J666" s="31"/>
      <c r="K666" s="31"/>
    </row>
    <row r="667" spans="1:11" ht="14.4" x14ac:dyDescent="0.3">
      <c r="A667" s="31"/>
      <c r="B667" s="31"/>
      <c r="C667" s="31"/>
      <c r="D667" s="31"/>
      <c r="E667" s="31"/>
      <c r="F667" s="31"/>
      <c r="G667" s="32"/>
      <c r="H667" s="31"/>
      <c r="I667" s="33"/>
      <c r="J667" s="31"/>
      <c r="K667" s="31"/>
    </row>
    <row r="668" spans="1:11" ht="14.4" x14ac:dyDescent="0.3">
      <c r="A668" s="31"/>
      <c r="B668" s="31"/>
      <c r="C668" s="31"/>
      <c r="D668" s="31"/>
      <c r="E668" s="31"/>
      <c r="F668" s="31"/>
      <c r="G668" s="32"/>
      <c r="H668" s="31"/>
      <c r="I668" s="33"/>
      <c r="J668" s="31"/>
      <c r="K668" s="31"/>
    </row>
    <row r="669" spans="1:11" ht="14.4" x14ac:dyDescent="0.3">
      <c r="A669" s="31"/>
      <c r="B669" s="31"/>
      <c r="C669" s="31"/>
      <c r="D669" s="31"/>
      <c r="E669" s="31"/>
      <c r="F669" s="31"/>
      <c r="G669" s="32"/>
      <c r="H669" s="31"/>
      <c r="I669" s="33"/>
      <c r="J669" s="31"/>
      <c r="K669" s="31"/>
    </row>
    <row r="670" spans="1:11" ht="14.4" x14ac:dyDescent="0.3">
      <c r="A670" s="31"/>
      <c r="B670" s="31"/>
      <c r="C670" s="31"/>
      <c r="D670" s="31"/>
      <c r="E670" s="31"/>
      <c r="F670" s="31"/>
      <c r="G670" s="32"/>
      <c r="H670" s="31"/>
      <c r="I670" s="33"/>
      <c r="J670" s="31"/>
      <c r="K670" s="31"/>
    </row>
    <row r="671" spans="1:11" ht="14.4" x14ac:dyDescent="0.3">
      <c r="A671" s="31"/>
      <c r="B671" s="31"/>
      <c r="C671" s="31"/>
      <c r="D671" s="31"/>
      <c r="E671" s="31"/>
      <c r="F671" s="31"/>
      <c r="G671" s="32"/>
      <c r="H671" s="31"/>
      <c r="I671" s="33"/>
      <c r="J671" s="31"/>
      <c r="K671" s="31"/>
    </row>
    <row r="672" spans="1:11" ht="14.4" x14ac:dyDescent="0.3">
      <c r="A672" s="31"/>
      <c r="B672" s="31"/>
      <c r="C672" s="31"/>
      <c r="D672" s="31"/>
      <c r="E672" s="31"/>
      <c r="F672" s="31"/>
      <c r="G672" s="32"/>
      <c r="H672" s="31"/>
      <c r="I672" s="33"/>
      <c r="J672" s="31"/>
      <c r="K672" s="31"/>
    </row>
    <row r="673" spans="1:11" ht="14.4" x14ac:dyDescent="0.3">
      <c r="A673" s="31"/>
      <c r="B673" s="31"/>
      <c r="C673" s="31"/>
      <c r="D673" s="31"/>
      <c r="E673" s="31"/>
      <c r="F673" s="31"/>
      <c r="G673" s="32"/>
      <c r="H673" s="31"/>
      <c r="I673" s="33"/>
      <c r="J673" s="31"/>
      <c r="K673" s="31"/>
    </row>
    <row r="674" spans="1:11" ht="14.4" x14ac:dyDescent="0.3">
      <c r="A674" s="31"/>
      <c r="B674" s="31"/>
      <c r="C674" s="31"/>
      <c r="D674" s="31"/>
      <c r="E674" s="31"/>
      <c r="F674" s="31"/>
      <c r="G674" s="32"/>
      <c r="H674" s="31"/>
      <c r="I674" s="33"/>
      <c r="J674" s="31"/>
      <c r="K674" s="31"/>
    </row>
    <row r="675" spans="1:11" ht="14.4" x14ac:dyDescent="0.3">
      <c r="A675" s="31"/>
      <c r="B675" s="31"/>
      <c r="C675" s="31"/>
      <c r="D675" s="31"/>
      <c r="E675" s="31"/>
      <c r="F675" s="31"/>
      <c r="G675" s="32"/>
      <c r="H675" s="31"/>
      <c r="I675" s="33"/>
      <c r="J675" s="31"/>
      <c r="K675" s="31"/>
    </row>
    <row r="676" spans="1:11" ht="14.4" x14ac:dyDescent="0.3">
      <c r="A676" s="31"/>
      <c r="B676" s="31"/>
      <c r="C676" s="31"/>
      <c r="D676" s="31"/>
      <c r="E676" s="31"/>
      <c r="F676" s="31"/>
      <c r="G676" s="32"/>
      <c r="H676" s="31"/>
      <c r="I676" s="33"/>
      <c r="J676" s="31"/>
      <c r="K676" s="31"/>
    </row>
    <row r="677" spans="1:11" ht="14.4" x14ac:dyDescent="0.3">
      <c r="A677" s="31"/>
      <c r="B677" s="31"/>
      <c r="C677" s="31"/>
      <c r="D677" s="31"/>
      <c r="E677" s="31"/>
      <c r="F677" s="31"/>
      <c r="G677" s="32"/>
      <c r="H677" s="31"/>
      <c r="I677" s="33"/>
      <c r="J677" s="31"/>
      <c r="K677" s="31"/>
    </row>
    <row r="678" spans="1:11" ht="14.4" x14ac:dyDescent="0.3">
      <c r="A678" s="31"/>
      <c r="B678" s="31"/>
      <c r="C678" s="31"/>
      <c r="D678" s="31"/>
      <c r="E678" s="31"/>
      <c r="F678" s="31"/>
      <c r="G678" s="32"/>
      <c r="H678" s="31"/>
      <c r="I678" s="33"/>
      <c r="J678" s="31"/>
      <c r="K678" s="31"/>
    </row>
    <row r="679" spans="1:11" ht="14.4" x14ac:dyDescent="0.3">
      <c r="A679" s="31"/>
      <c r="B679" s="31"/>
      <c r="C679" s="31"/>
      <c r="D679" s="31"/>
      <c r="E679" s="31"/>
      <c r="F679" s="31"/>
      <c r="G679" s="32"/>
      <c r="H679" s="31"/>
      <c r="I679" s="33"/>
      <c r="J679" s="31"/>
      <c r="K679" s="31"/>
    </row>
    <row r="680" spans="1:11" ht="14.4" x14ac:dyDescent="0.3">
      <c r="A680" s="31"/>
      <c r="B680" s="31"/>
      <c r="C680" s="31"/>
      <c r="D680" s="31"/>
      <c r="E680" s="31"/>
      <c r="F680" s="31"/>
      <c r="G680" s="32"/>
      <c r="H680" s="31"/>
      <c r="I680" s="33"/>
      <c r="J680" s="31"/>
      <c r="K680" s="31"/>
    </row>
    <row r="681" spans="1:11" ht="14.4" x14ac:dyDescent="0.3">
      <c r="A681" s="31"/>
      <c r="B681" s="31"/>
      <c r="C681" s="31"/>
      <c r="D681" s="31"/>
      <c r="E681" s="31"/>
      <c r="F681" s="31"/>
      <c r="G681" s="32"/>
      <c r="H681" s="31"/>
      <c r="I681" s="33"/>
      <c r="J681" s="31"/>
      <c r="K681" s="31"/>
    </row>
    <row r="682" spans="1:11" ht="14.4" x14ac:dyDescent="0.3">
      <c r="A682" s="31"/>
      <c r="B682" s="31"/>
      <c r="C682" s="31"/>
      <c r="D682" s="31"/>
      <c r="E682" s="31"/>
      <c r="F682" s="31"/>
      <c r="G682" s="32"/>
      <c r="H682" s="31"/>
      <c r="I682" s="33"/>
      <c r="J682" s="31"/>
      <c r="K682" s="31"/>
    </row>
    <row r="683" spans="1:11" ht="14.4" x14ac:dyDescent="0.3">
      <c r="A683" s="31"/>
      <c r="B683" s="31"/>
      <c r="C683" s="31"/>
      <c r="D683" s="31"/>
      <c r="E683" s="31"/>
      <c r="F683" s="31"/>
      <c r="G683" s="32"/>
      <c r="H683" s="31"/>
      <c r="I683" s="33"/>
      <c r="J683" s="31"/>
      <c r="K683" s="31"/>
    </row>
    <row r="684" spans="1:11" ht="14.4" x14ac:dyDescent="0.3">
      <c r="A684" s="31"/>
      <c r="B684" s="31"/>
      <c r="C684" s="31"/>
      <c r="D684" s="31"/>
      <c r="E684" s="31"/>
      <c r="F684" s="31"/>
      <c r="G684" s="32"/>
      <c r="H684" s="31"/>
      <c r="I684" s="33"/>
      <c r="J684" s="31"/>
      <c r="K684" s="31"/>
    </row>
    <row r="685" spans="1:11" ht="14.4" x14ac:dyDescent="0.3">
      <c r="A685" s="31"/>
      <c r="B685" s="31"/>
      <c r="C685" s="31"/>
      <c r="D685" s="31"/>
      <c r="E685" s="31"/>
      <c r="F685" s="31"/>
      <c r="G685" s="32"/>
      <c r="H685" s="31"/>
      <c r="I685" s="33"/>
      <c r="J685" s="31"/>
      <c r="K685" s="31"/>
    </row>
    <row r="686" spans="1:11" ht="14.4" x14ac:dyDescent="0.3">
      <c r="A686" s="31"/>
      <c r="B686" s="31"/>
      <c r="C686" s="31"/>
      <c r="D686" s="31"/>
      <c r="E686" s="31"/>
      <c r="F686" s="31"/>
      <c r="G686" s="32"/>
      <c r="H686" s="31"/>
      <c r="I686" s="33"/>
      <c r="J686" s="31"/>
      <c r="K686" s="31"/>
    </row>
    <row r="687" spans="1:11" ht="14.4" x14ac:dyDescent="0.3">
      <c r="A687" s="31"/>
      <c r="B687" s="31"/>
      <c r="C687" s="31"/>
      <c r="D687" s="31"/>
      <c r="E687" s="31"/>
      <c r="F687" s="31"/>
      <c r="G687" s="32"/>
      <c r="H687" s="31"/>
      <c r="I687" s="33"/>
      <c r="J687" s="31"/>
      <c r="K687" s="31"/>
    </row>
    <row r="688" spans="1:11" ht="14.4" x14ac:dyDescent="0.3">
      <c r="A688" s="31"/>
      <c r="B688" s="31"/>
      <c r="C688" s="31"/>
      <c r="D688" s="31"/>
      <c r="E688" s="31"/>
      <c r="F688" s="31"/>
      <c r="G688" s="32"/>
      <c r="H688" s="31"/>
      <c r="I688" s="33"/>
      <c r="J688" s="31"/>
      <c r="K688" s="31"/>
    </row>
    <row r="689" spans="1:11" ht="14.4" x14ac:dyDescent="0.3">
      <c r="A689" s="31"/>
      <c r="B689" s="31"/>
      <c r="C689" s="31"/>
      <c r="D689" s="31"/>
      <c r="E689" s="31"/>
      <c r="F689" s="31"/>
      <c r="G689" s="32"/>
      <c r="H689" s="31"/>
      <c r="I689" s="33"/>
      <c r="J689" s="31"/>
      <c r="K689" s="31"/>
    </row>
    <row r="690" spans="1:11" ht="14.4" x14ac:dyDescent="0.3">
      <c r="A690" s="31"/>
      <c r="B690" s="31"/>
      <c r="C690" s="31"/>
      <c r="D690" s="31"/>
      <c r="E690" s="31"/>
      <c r="F690" s="31"/>
      <c r="G690" s="32"/>
      <c r="H690" s="31"/>
      <c r="I690" s="33"/>
      <c r="J690" s="31"/>
      <c r="K690" s="31"/>
    </row>
    <row r="691" spans="1:11" ht="14.4" x14ac:dyDescent="0.3">
      <c r="A691" s="31"/>
      <c r="B691" s="31"/>
      <c r="C691" s="31"/>
      <c r="D691" s="31"/>
      <c r="E691" s="31"/>
      <c r="F691" s="31"/>
      <c r="G691" s="32"/>
      <c r="H691" s="31"/>
      <c r="I691" s="33"/>
      <c r="J691" s="31"/>
      <c r="K691" s="31"/>
    </row>
    <row r="692" spans="1:11" ht="14.4" x14ac:dyDescent="0.3">
      <c r="A692" s="31"/>
      <c r="B692" s="31"/>
      <c r="C692" s="31"/>
      <c r="D692" s="31"/>
      <c r="E692" s="31"/>
      <c r="F692" s="31"/>
      <c r="G692" s="32"/>
      <c r="H692" s="31"/>
      <c r="I692" s="33"/>
      <c r="J692" s="31"/>
      <c r="K692" s="31"/>
    </row>
    <row r="693" spans="1:11" ht="14.4" x14ac:dyDescent="0.3">
      <c r="A693" s="31"/>
      <c r="B693" s="31"/>
      <c r="C693" s="31"/>
      <c r="D693" s="31"/>
      <c r="E693" s="31"/>
      <c r="F693" s="31"/>
      <c r="G693" s="32"/>
      <c r="H693" s="31"/>
      <c r="I693" s="33"/>
      <c r="J693" s="31"/>
      <c r="K693" s="31"/>
    </row>
    <row r="694" spans="1:11" ht="14.4" x14ac:dyDescent="0.3">
      <c r="A694" s="31"/>
      <c r="B694" s="31"/>
      <c r="C694" s="31"/>
      <c r="D694" s="31"/>
      <c r="E694" s="31"/>
      <c r="F694" s="31"/>
      <c r="G694" s="32"/>
      <c r="H694" s="31"/>
      <c r="I694" s="33"/>
      <c r="J694" s="31"/>
      <c r="K694" s="31"/>
    </row>
    <row r="695" spans="1:11" ht="14.4" x14ac:dyDescent="0.3">
      <c r="A695" s="31"/>
      <c r="B695" s="31"/>
      <c r="C695" s="31"/>
      <c r="D695" s="31"/>
      <c r="E695" s="31"/>
      <c r="F695" s="31"/>
      <c r="G695" s="32"/>
      <c r="H695" s="31"/>
      <c r="I695" s="33"/>
      <c r="J695" s="31"/>
      <c r="K695" s="31"/>
    </row>
    <row r="696" spans="1:11" ht="14.4" x14ac:dyDescent="0.3">
      <c r="A696" s="31"/>
      <c r="B696" s="31"/>
      <c r="C696" s="31"/>
      <c r="D696" s="31"/>
      <c r="E696" s="31"/>
      <c r="F696" s="31"/>
      <c r="G696" s="32"/>
      <c r="H696" s="31"/>
      <c r="I696" s="33"/>
      <c r="J696" s="31"/>
      <c r="K696" s="31"/>
    </row>
    <row r="697" spans="1:11" ht="14.4" x14ac:dyDescent="0.3">
      <c r="A697" s="31"/>
      <c r="B697" s="31"/>
      <c r="C697" s="31"/>
      <c r="D697" s="31"/>
      <c r="E697" s="31"/>
      <c r="F697" s="31"/>
      <c r="G697" s="32"/>
      <c r="H697" s="31"/>
      <c r="I697" s="33"/>
      <c r="J697" s="31"/>
      <c r="K697" s="31"/>
    </row>
    <row r="698" spans="1:11" ht="14.4" x14ac:dyDescent="0.3">
      <c r="A698" s="31"/>
      <c r="B698" s="31"/>
      <c r="C698" s="31"/>
      <c r="D698" s="31"/>
      <c r="E698" s="31"/>
      <c r="F698" s="31"/>
      <c r="G698" s="32"/>
      <c r="H698" s="31"/>
      <c r="I698" s="33"/>
      <c r="J698" s="31"/>
      <c r="K698" s="31"/>
    </row>
    <row r="699" spans="1:11" ht="14.4" x14ac:dyDescent="0.3">
      <c r="A699" s="31"/>
      <c r="B699" s="31"/>
      <c r="C699" s="31"/>
      <c r="D699" s="31"/>
      <c r="E699" s="31"/>
      <c r="F699" s="31"/>
      <c r="G699" s="32"/>
      <c r="H699" s="31"/>
      <c r="I699" s="33"/>
      <c r="J699" s="31"/>
      <c r="K699" s="31"/>
    </row>
    <row r="700" spans="1:11" ht="14.4" x14ac:dyDescent="0.3">
      <c r="A700" s="31"/>
      <c r="B700" s="31"/>
      <c r="C700" s="31"/>
      <c r="D700" s="31"/>
      <c r="E700" s="31"/>
      <c r="F700" s="31"/>
      <c r="G700" s="32"/>
      <c r="H700" s="31"/>
      <c r="I700" s="33"/>
      <c r="J700" s="31"/>
      <c r="K700" s="31"/>
    </row>
    <row r="701" spans="1:11" ht="14.4" x14ac:dyDescent="0.3">
      <c r="A701" s="31"/>
      <c r="B701" s="31"/>
      <c r="C701" s="31"/>
      <c r="D701" s="31"/>
      <c r="E701" s="31"/>
      <c r="F701" s="31"/>
      <c r="G701" s="32"/>
      <c r="H701" s="31"/>
      <c r="I701" s="33"/>
      <c r="J701" s="31"/>
      <c r="K701" s="31"/>
    </row>
    <row r="702" spans="1:11" ht="14.4" x14ac:dyDescent="0.3">
      <c r="A702" s="31"/>
      <c r="B702" s="31"/>
      <c r="C702" s="31"/>
      <c r="D702" s="31"/>
      <c r="E702" s="31"/>
      <c r="F702" s="31"/>
      <c r="G702" s="32"/>
      <c r="H702" s="31"/>
      <c r="I702" s="33"/>
      <c r="J702" s="31"/>
      <c r="K702" s="31"/>
    </row>
    <row r="703" spans="1:11" ht="14.4" x14ac:dyDescent="0.3">
      <c r="A703" s="31"/>
      <c r="B703" s="31"/>
      <c r="C703" s="31"/>
      <c r="D703" s="31"/>
      <c r="E703" s="31"/>
      <c r="F703" s="31"/>
      <c r="G703" s="32"/>
      <c r="H703" s="31"/>
      <c r="I703" s="33"/>
      <c r="J703" s="31"/>
      <c r="K703" s="31"/>
    </row>
    <row r="704" spans="1:11" ht="14.4" x14ac:dyDescent="0.3">
      <c r="A704" s="31"/>
      <c r="B704" s="31"/>
      <c r="C704" s="31"/>
      <c r="D704" s="31"/>
      <c r="E704" s="31"/>
      <c r="F704" s="31"/>
      <c r="G704" s="32"/>
      <c r="H704" s="31"/>
      <c r="I704" s="33"/>
      <c r="J704" s="31"/>
      <c r="K704" s="31"/>
    </row>
    <row r="705" spans="1:11" ht="14.4" x14ac:dyDescent="0.3">
      <c r="A705" s="31"/>
      <c r="B705" s="31"/>
      <c r="C705" s="31"/>
      <c r="D705" s="31"/>
      <c r="E705" s="31"/>
      <c r="F705" s="31"/>
      <c r="G705" s="32"/>
      <c r="H705" s="31"/>
      <c r="I705" s="33"/>
      <c r="J705" s="31"/>
      <c r="K705" s="31"/>
    </row>
    <row r="706" spans="1:11" ht="14.4" x14ac:dyDescent="0.3">
      <c r="A706" s="31"/>
      <c r="B706" s="31"/>
      <c r="C706" s="31"/>
      <c r="D706" s="31"/>
      <c r="E706" s="31"/>
      <c r="F706" s="31"/>
      <c r="G706" s="32"/>
      <c r="H706" s="31"/>
      <c r="I706" s="33"/>
      <c r="J706" s="31"/>
      <c r="K706" s="31"/>
    </row>
    <row r="707" spans="1:11" ht="14.4" x14ac:dyDescent="0.3">
      <c r="A707" s="31"/>
      <c r="B707" s="31"/>
      <c r="C707" s="31"/>
      <c r="D707" s="31"/>
      <c r="E707" s="31"/>
      <c r="F707" s="31"/>
      <c r="G707" s="32"/>
      <c r="H707" s="31"/>
      <c r="I707" s="33"/>
      <c r="J707" s="31"/>
      <c r="K707" s="31"/>
    </row>
    <row r="708" spans="1:11" ht="14.4" x14ac:dyDescent="0.3">
      <c r="A708" s="31"/>
      <c r="B708" s="31"/>
      <c r="C708" s="31"/>
      <c r="D708" s="31"/>
      <c r="E708" s="31"/>
      <c r="F708" s="31"/>
      <c r="G708" s="32"/>
      <c r="H708" s="31"/>
      <c r="I708" s="33"/>
      <c r="J708" s="31"/>
      <c r="K708" s="31"/>
    </row>
    <row r="709" spans="1:11" ht="14.4" x14ac:dyDescent="0.3">
      <c r="A709" s="31"/>
      <c r="B709" s="31"/>
      <c r="C709" s="31"/>
      <c r="D709" s="31"/>
      <c r="E709" s="31"/>
      <c r="F709" s="31"/>
      <c r="G709" s="32"/>
      <c r="H709" s="31"/>
      <c r="I709" s="33"/>
      <c r="J709" s="31"/>
      <c r="K709" s="31"/>
    </row>
    <row r="710" spans="1:11" ht="14.4" x14ac:dyDescent="0.3">
      <c r="A710" s="31"/>
      <c r="B710" s="31"/>
      <c r="C710" s="31"/>
      <c r="D710" s="31"/>
      <c r="E710" s="31"/>
      <c r="F710" s="31"/>
      <c r="G710" s="32"/>
      <c r="H710" s="31"/>
      <c r="I710" s="33"/>
      <c r="J710" s="31"/>
      <c r="K710" s="31"/>
    </row>
    <row r="711" spans="1:11" ht="14.4" x14ac:dyDescent="0.3">
      <c r="A711" s="31"/>
      <c r="B711" s="31"/>
      <c r="C711" s="31"/>
      <c r="D711" s="31"/>
      <c r="E711" s="31"/>
      <c r="F711" s="31"/>
      <c r="G711" s="32"/>
      <c r="H711" s="31"/>
      <c r="I711" s="33"/>
      <c r="J711" s="31"/>
      <c r="K711" s="31"/>
    </row>
    <row r="712" spans="1:11" ht="14.4" x14ac:dyDescent="0.3">
      <c r="A712" s="31"/>
      <c r="B712" s="31"/>
      <c r="C712" s="31"/>
      <c r="D712" s="31"/>
      <c r="E712" s="31"/>
      <c r="F712" s="31"/>
      <c r="G712" s="32"/>
      <c r="H712" s="31"/>
      <c r="I712" s="33"/>
      <c r="J712" s="31"/>
      <c r="K712" s="31"/>
    </row>
    <row r="713" spans="1:11" ht="14.4" x14ac:dyDescent="0.3">
      <c r="A713" s="31"/>
      <c r="B713" s="31"/>
      <c r="C713" s="31"/>
      <c r="D713" s="31"/>
      <c r="E713" s="31"/>
      <c r="F713" s="31"/>
      <c r="G713" s="32"/>
      <c r="H713" s="31"/>
      <c r="I713" s="33"/>
      <c r="J713" s="31"/>
      <c r="K713" s="31"/>
    </row>
    <row r="714" spans="1:11" ht="14.4" x14ac:dyDescent="0.3">
      <c r="A714" s="31"/>
      <c r="B714" s="31"/>
      <c r="C714" s="31"/>
      <c r="D714" s="31"/>
      <c r="E714" s="31"/>
      <c r="F714" s="31"/>
      <c r="G714" s="32"/>
      <c r="H714" s="31"/>
      <c r="I714" s="33"/>
      <c r="J714" s="31"/>
      <c r="K714" s="31"/>
    </row>
    <row r="715" spans="1:11" ht="14.4" x14ac:dyDescent="0.3">
      <c r="A715" s="31"/>
      <c r="B715" s="31"/>
      <c r="C715" s="31"/>
      <c r="D715" s="31"/>
      <c r="E715" s="31"/>
      <c r="F715" s="31"/>
      <c r="G715" s="32"/>
      <c r="H715" s="31"/>
      <c r="I715" s="33"/>
      <c r="J715" s="31"/>
      <c r="K715" s="31"/>
    </row>
    <row r="716" spans="1:11" ht="14.4" x14ac:dyDescent="0.3">
      <c r="A716" s="31"/>
      <c r="B716" s="31"/>
      <c r="C716" s="31"/>
      <c r="D716" s="31"/>
      <c r="E716" s="31"/>
      <c r="F716" s="31"/>
      <c r="G716" s="32"/>
      <c r="H716" s="31"/>
      <c r="I716" s="33"/>
      <c r="J716" s="31"/>
      <c r="K716" s="31"/>
    </row>
    <row r="717" spans="1:11" ht="14.4" x14ac:dyDescent="0.3">
      <c r="A717" s="31"/>
      <c r="B717" s="31"/>
      <c r="C717" s="31"/>
      <c r="D717" s="31"/>
      <c r="E717" s="31"/>
      <c r="F717" s="31"/>
      <c r="G717" s="32"/>
      <c r="H717" s="31"/>
      <c r="I717" s="33"/>
      <c r="J717" s="31"/>
      <c r="K717" s="31"/>
    </row>
    <row r="718" spans="1:11" ht="14.4" x14ac:dyDescent="0.3">
      <c r="A718" s="31"/>
      <c r="B718" s="31"/>
      <c r="C718" s="31"/>
      <c r="D718" s="31"/>
      <c r="E718" s="31"/>
      <c r="F718" s="31"/>
      <c r="G718" s="32"/>
      <c r="H718" s="31"/>
      <c r="I718" s="33"/>
      <c r="J718" s="31"/>
      <c r="K718" s="31"/>
    </row>
    <row r="719" spans="1:11" ht="14.4" x14ac:dyDescent="0.3">
      <c r="A719" s="31"/>
      <c r="B719" s="31"/>
      <c r="C719" s="31"/>
      <c r="D719" s="31"/>
      <c r="E719" s="31"/>
      <c r="F719" s="31"/>
      <c r="G719" s="32"/>
      <c r="H719" s="31"/>
      <c r="I719" s="33"/>
      <c r="J719" s="31"/>
      <c r="K719" s="31"/>
    </row>
    <row r="720" spans="1:11" ht="14.4" x14ac:dyDescent="0.3">
      <c r="A720" s="31"/>
      <c r="B720" s="31"/>
      <c r="C720" s="31"/>
      <c r="D720" s="31"/>
      <c r="E720" s="31"/>
      <c r="F720" s="31"/>
      <c r="G720" s="32"/>
      <c r="H720" s="31"/>
      <c r="I720" s="33"/>
      <c r="J720" s="31"/>
      <c r="K720" s="31"/>
    </row>
    <row r="721" spans="1:11" ht="14.4" x14ac:dyDescent="0.3">
      <c r="A721" s="31"/>
      <c r="B721" s="31"/>
      <c r="C721" s="31"/>
      <c r="D721" s="31"/>
      <c r="E721" s="31"/>
      <c r="F721" s="31"/>
      <c r="G721" s="32"/>
      <c r="H721" s="31"/>
      <c r="I721" s="33"/>
      <c r="J721" s="31"/>
      <c r="K721" s="31"/>
    </row>
    <row r="722" spans="1:11" ht="14.4" x14ac:dyDescent="0.3">
      <c r="A722" s="31"/>
      <c r="B722" s="31"/>
      <c r="C722" s="31"/>
      <c r="D722" s="31"/>
      <c r="E722" s="31"/>
      <c r="F722" s="31"/>
      <c r="G722" s="32"/>
      <c r="H722" s="31"/>
      <c r="I722" s="33"/>
      <c r="J722" s="31"/>
      <c r="K722" s="31"/>
    </row>
    <row r="723" spans="1:11" ht="14.4" x14ac:dyDescent="0.3">
      <c r="A723" s="31"/>
      <c r="B723" s="31"/>
      <c r="C723" s="31"/>
      <c r="D723" s="31"/>
      <c r="E723" s="31"/>
      <c r="F723" s="31"/>
      <c r="G723" s="32"/>
      <c r="H723" s="31"/>
      <c r="I723" s="33"/>
      <c r="J723" s="31"/>
      <c r="K723" s="31"/>
    </row>
    <row r="724" spans="1:11" ht="14.4" x14ac:dyDescent="0.3">
      <c r="A724" s="31"/>
      <c r="B724" s="31"/>
      <c r="C724" s="31"/>
      <c r="D724" s="31"/>
      <c r="E724" s="31"/>
      <c r="F724" s="31"/>
      <c r="G724" s="32"/>
      <c r="H724" s="31"/>
      <c r="I724" s="33"/>
      <c r="J724" s="31"/>
      <c r="K724" s="31"/>
    </row>
    <row r="725" spans="1:11" ht="14.4" x14ac:dyDescent="0.3">
      <c r="A725" s="31"/>
      <c r="B725" s="31"/>
      <c r="C725" s="31"/>
      <c r="D725" s="31"/>
      <c r="E725" s="31"/>
      <c r="F725" s="31"/>
      <c r="G725" s="32"/>
      <c r="H725" s="31"/>
      <c r="I725" s="33"/>
      <c r="J725" s="31"/>
      <c r="K725" s="31"/>
    </row>
    <row r="726" spans="1:11" ht="14.4" x14ac:dyDescent="0.3">
      <c r="A726" s="31"/>
      <c r="B726" s="31"/>
      <c r="C726" s="31"/>
      <c r="D726" s="31"/>
      <c r="E726" s="31"/>
      <c r="F726" s="31"/>
      <c r="G726" s="32"/>
      <c r="H726" s="31"/>
      <c r="I726" s="33"/>
      <c r="J726" s="31"/>
      <c r="K726" s="31"/>
    </row>
    <row r="727" spans="1:11" ht="14.4" x14ac:dyDescent="0.3">
      <c r="A727" s="31"/>
      <c r="B727" s="31"/>
      <c r="C727" s="31"/>
      <c r="D727" s="31"/>
      <c r="E727" s="31"/>
      <c r="F727" s="31"/>
      <c r="G727" s="32"/>
      <c r="H727" s="31"/>
      <c r="I727" s="33"/>
      <c r="J727" s="31"/>
      <c r="K727" s="31"/>
    </row>
    <row r="728" spans="1:11" ht="14.4" x14ac:dyDescent="0.3">
      <c r="A728" s="31"/>
      <c r="B728" s="31"/>
      <c r="C728" s="31"/>
      <c r="D728" s="31"/>
      <c r="E728" s="31"/>
      <c r="F728" s="31"/>
      <c r="G728" s="32"/>
      <c r="H728" s="31"/>
      <c r="I728" s="33"/>
      <c r="J728" s="31"/>
      <c r="K728" s="31"/>
    </row>
    <row r="729" spans="1:11" ht="14.4" x14ac:dyDescent="0.3">
      <c r="A729" s="31"/>
      <c r="B729" s="31"/>
      <c r="C729" s="31"/>
      <c r="D729" s="31"/>
      <c r="E729" s="31"/>
      <c r="F729" s="31"/>
      <c r="G729" s="32"/>
      <c r="H729" s="31"/>
      <c r="I729" s="33"/>
      <c r="J729" s="31"/>
      <c r="K729" s="31"/>
    </row>
    <row r="730" spans="1:11" ht="14.4" x14ac:dyDescent="0.3">
      <c r="A730" s="31"/>
      <c r="B730" s="31"/>
      <c r="C730" s="31"/>
      <c r="D730" s="31"/>
      <c r="E730" s="31"/>
      <c r="F730" s="31"/>
      <c r="G730" s="32"/>
      <c r="H730" s="31"/>
      <c r="I730" s="33"/>
      <c r="J730" s="31"/>
      <c r="K730" s="31"/>
    </row>
    <row r="731" spans="1:11" ht="14.4" x14ac:dyDescent="0.3">
      <c r="A731" s="31"/>
      <c r="B731" s="31"/>
      <c r="C731" s="31"/>
      <c r="D731" s="31"/>
      <c r="E731" s="31"/>
      <c r="F731" s="31"/>
      <c r="G731" s="32"/>
      <c r="H731" s="31"/>
      <c r="I731" s="33"/>
      <c r="J731" s="31"/>
      <c r="K731" s="31"/>
    </row>
    <row r="732" spans="1:11" ht="14.4" x14ac:dyDescent="0.3">
      <c r="A732" s="31"/>
      <c r="B732" s="31"/>
      <c r="C732" s="31"/>
      <c r="D732" s="31"/>
      <c r="E732" s="31"/>
      <c r="F732" s="31"/>
      <c r="G732" s="32"/>
      <c r="H732" s="31"/>
      <c r="I732" s="33"/>
      <c r="J732" s="31"/>
      <c r="K732" s="31"/>
    </row>
    <row r="733" spans="1:11" ht="14.4" x14ac:dyDescent="0.3">
      <c r="A733" s="31"/>
      <c r="B733" s="31"/>
      <c r="C733" s="31"/>
      <c r="D733" s="31"/>
      <c r="E733" s="31"/>
      <c r="F733" s="31"/>
      <c r="G733" s="32"/>
      <c r="H733" s="31"/>
      <c r="I733" s="33"/>
      <c r="J733" s="31"/>
      <c r="K733" s="31"/>
    </row>
    <row r="734" spans="1:11" ht="14.4" x14ac:dyDescent="0.3">
      <c r="A734" s="31"/>
      <c r="B734" s="31"/>
      <c r="C734" s="31"/>
      <c r="D734" s="31"/>
      <c r="E734" s="31"/>
      <c r="F734" s="31"/>
      <c r="G734" s="32"/>
      <c r="H734" s="31"/>
      <c r="I734" s="33"/>
      <c r="J734" s="31"/>
      <c r="K734" s="31"/>
    </row>
    <row r="735" spans="1:11" ht="14.4" x14ac:dyDescent="0.3">
      <c r="A735" s="31"/>
      <c r="B735" s="31"/>
      <c r="C735" s="31"/>
      <c r="D735" s="31"/>
      <c r="E735" s="31"/>
      <c r="F735" s="31"/>
      <c r="G735" s="32"/>
      <c r="H735" s="31"/>
      <c r="I735" s="33"/>
      <c r="J735" s="31"/>
      <c r="K735" s="31"/>
    </row>
    <row r="736" spans="1:11" ht="14.4" x14ac:dyDescent="0.3">
      <c r="A736" s="31"/>
      <c r="B736" s="31"/>
      <c r="C736" s="31"/>
      <c r="D736" s="31"/>
      <c r="E736" s="31"/>
      <c r="F736" s="31"/>
      <c r="G736" s="32"/>
      <c r="H736" s="31"/>
      <c r="I736" s="33"/>
      <c r="J736" s="31"/>
      <c r="K736" s="31"/>
    </row>
    <row r="737" spans="1:11" ht="14.4" x14ac:dyDescent="0.3">
      <c r="A737" s="31"/>
      <c r="B737" s="31"/>
      <c r="C737" s="31"/>
      <c r="D737" s="31"/>
      <c r="E737" s="31"/>
      <c r="F737" s="31"/>
      <c r="G737" s="32"/>
      <c r="H737" s="31"/>
      <c r="I737" s="33"/>
      <c r="J737" s="31"/>
      <c r="K737" s="31"/>
    </row>
    <row r="738" spans="1:11" ht="14.4" x14ac:dyDescent="0.3">
      <c r="A738" s="31"/>
      <c r="B738" s="31"/>
      <c r="C738" s="31"/>
      <c r="D738" s="31"/>
      <c r="E738" s="31"/>
      <c r="F738" s="31"/>
      <c r="G738" s="32"/>
      <c r="H738" s="31"/>
      <c r="I738" s="33"/>
      <c r="J738" s="31"/>
      <c r="K738" s="31"/>
    </row>
    <row r="739" spans="1:11" ht="14.4" x14ac:dyDescent="0.3">
      <c r="A739" s="31"/>
      <c r="B739" s="31"/>
      <c r="C739" s="31"/>
      <c r="D739" s="31"/>
      <c r="E739" s="31"/>
      <c r="F739" s="31"/>
      <c r="G739" s="32"/>
      <c r="H739" s="31"/>
      <c r="I739" s="33"/>
      <c r="J739" s="31"/>
      <c r="K739" s="31"/>
    </row>
    <row r="740" spans="1:11" ht="14.4" x14ac:dyDescent="0.3">
      <c r="A740" s="31"/>
      <c r="B740" s="31"/>
      <c r="C740" s="31"/>
      <c r="D740" s="31"/>
      <c r="E740" s="31"/>
      <c r="F740" s="31"/>
      <c r="G740" s="32"/>
      <c r="H740" s="31"/>
      <c r="I740" s="33"/>
      <c r="J740" s="31"/>
      <c r="K740" s="31"/>
    </row>
    <row r="741" spans="1:11" ht="14.4" x14ac:dyDescent="0.3">
      <c r="A741" s="31"/>
      <c r="B741" s="31"/>
      <c r="C741" s="31"/>
      <c r="D741" s="31"/>
      <c r="E741" s="31"/>
      <c r="F741" s="31"/>
      <c r="G741" s="32"/>
      <c r="H741" s="31"/>
      <c r="I741" s="33"/>
      <c r="J741" s="31"/>
      <c r="K741" s="31"/>
    </row>
    <row r="742" spans="1:11" ht="14.4" x14ac:dyDescent="0.3">
      <c r="A742" s="31"/>
      <c r="B742" s="31"/>
      <c r="C742" s="31"/>
      <c r="D742" s="31"/>
      <c r="E742" s="31"/>
      <c r="F742" s="31"/>
      <c r="G742" s="32"/>
      <c r="H742" s="31"/>
      <c r="I742" s="33"/>
      <c r="J742" s="31"/>
      <c r="K742" s="31"/>
    </row>
    <row r="743" spans="1:11" ht="14.4" x14ac:dyDescent="0.3">
      <c r="A743" s="31"/>
      <c r="B743" s="31"/>
      <c r="C743" s="31"/>
      <c r="D743" s="31"/>
      <c r="E743" s="31"/>
      <c r="F743" s="31"/>
      <c r="G743" s="32"/>
      <c r="H743" s="31"/>
      <c r="I743" s="33"/>
      <c r="J743" s="31"/>
      <c r="K743" s="31"/>
    </row>
    <row r="744" spans="1:11" ht="14.4" x14ac:dyDescent="0.3">
      <c r="A744" s="31"/>
      <c r="B744" s="31"/>
      <c r="C744" s="31"/>
      <c r="D744" s="31"/>
      <c r="E744" s="31"/>
      <c r="F744" s="31"/>
      <c r="G744" s="32"/>
      <c r="H744" s="31"/>
      <c r="I744" s="33"/>
      <c r="J744" s="31"/>
      <c r="K744" s="31"/>
    </row>
    <row r="745" spans="1:11" ht="14.4" x14ac:dyDescent="0.3">
      <c r="A745" s="31"/>
      <c r="B745" s="31"/>
      <c r="C745" s="31"/>
      <c r="D745" s="31"/>
      <c r="E745" s="31"/>
      <c r="F745" s="31"/>
      <c r="G745" s="32"/>
      <c r="H745" s="31"/>
      <c r="I745" s="33"/>
      <c r="J745" s="31"/>
      <c r="K745" s="31"/>
    </row>
    <row r="746" spans="1:11" ht="14.4" x14ac:dyDescent="0.3">
      <c r="A746" s="31"/>
      <c r="B746" s="31"/>
      <c r="C746" s="31"/>
      <c r="D746" s="31"/>
      <c r="E746" s="31"/>
      <c r="F746" s="31"/>
      <c r="G746" s="32"/>
      <c r="H746" s="31"/>
      <c r="I746" s="33"/>
      <c r="J746" s="31"/>
      <c r="K746" s="31"/>
    </row>
    <row r="747" spans="1:11" ht="14.4" x14ac:dyDescent="0.3">
      <c r="A747" s="31"/>
      <c r="B747" s="31"/>
      <c r="C747" s="31"/>
      <c r="D747" s="31"/>
      <c r="E747" s="31"/>
      <c r="F747" s="31"/>
      <c r="G747" s="32"/>
      <c r="H747" s="31"/>
      <c r="I747" s="33"/>
      <c r="J747" s="31"/>
      <c r="K747" s="31"/>
    </row>
    <row r="748" spans="1:11" ht="14.4" x14ac:dyDescent="0.3">
      <c r="A748" s="31"/>
      <c r="B748" s="31"/>
      <c r="C748" s="31"/>
      <c r="D748" s="31"/>
      <c r="E748" s="31"/>
      <c r="F748" s="31"/>
      <c r="G748" s="32"/>
      <c r="H748" s="31"/>
      <c r="I748" s="33"/>
      <c r="J748" s="31"/>
      <c r="K748" s="31"/>
    </row>
    <row r="749" spans="1:11" ht="14.4" x14ac:dyDescent="0.3">
      <c r="A749" s="31"/>
      <c r="B749" s="31"/>
      <c r="C749" s="31"/>
      <c r="D749" s="31"/>
      <c r="E749" s="31"/>
      <c r="F749" s="31"/>
      <c r="G749" s="32"/>
      <c r="H749" s="31"/>
      <c r="I749" s="33"/>
      <c r="J749" s="31"/>
      <c r="K749" s="31"/>
    </row>
    <row r="750" spans="1:11" ht="14.4" x14ac:dyDescent="0.3">
      <c r="A750" s="31"/>
      <c r="B750" s="31"/>
      <c r="C750" s="31"/>
      <c r="D750" s="31"/>
      <c r="E750" s="31"/>
      <c r="F750" s="31"/>
      <c r="G750" s="32"/>
      <c r="H750" s="31"/>
      <c r="I750" s="33"/>
      <c r="J750" s="31"/>
      <c r="K750" s="31"/>
    </row>
    <row r="751" spans="1:11" ht="14.4" x14ac:dyDescent="0.3">
      <c r="A751" s="31"/>
      <c r="B751" s="31"/>
      <c r="C751" s="31"/>
      <c r="D751" s="31"/>
      <c r="E751" s="31"/>
      <c r="F751" s="31"/>
      <c r="G751" s="32"/>
      <c r="H751" s="31"/>
      <c r="I751" s="33"/>
      <c r="J751" s="31"/>
      <c r="K751" s="31"/>
    </row>
    <row r="752" spans="1:11" ht="14.4" x14ac:dyDescent="0.3">
      <c r="A752" s="31"/>
      <c r="B752" s="31"/>
      <c r="C752" s="31"/>
      <c r="D752" s="31"/>
      <c r="E752" s="31"/>
      <c r="F752" s="31"/>
      <c r="G752" s="32"/>
      <c r="H752" s="31"/>
      <c r="I752" s="33"/>
      <c r="J752" s="31"/>
      <c r="K752" s="31"/>
    </row>
    <row r="753" spans="1:11" ht="14.4" x14ac:dyDescent="0.3">
      <c r="A753" s="31"/>
      <c r="B753" s="31"/>
      <c r="C753" s="31"/>
      <c r="D753" s="31"/>
      <c r="E753" s="31"/>
      <c r="F753" s="31"/>
      <c r="G753" s="32"/>
      <c r="H753" s="31"/>
      <c r="I753" s="33"/>
      <c r="J753" s="31"/>
      <c r="K753" s="31"/>
    </row>
    <row r="754" spans="1:11" ht="14.4" x14ac:dyDescent="0.3">
      <c r="A754" s="31"/>
      <c r="B754" s="31"/>
      <c r="C754" s="31"/>
      <c r="D754" s="31"/>
      <c r="E754" s="31"/>
      <c r="F754" s="31"/>
      <c r="G754" s="32"/>
      <c r="H754" s="31"/>
      <c r="I754" s="33"/>
      <c r="J754" s="31"/>
      <c r="K754" s="31"/>
    </row>
    <row r="755" spans="1:11" ht="14.4" x14ac:dyDescent="0.3">
      <c r="A755" s="31"/>
      <c r="B755" s="31"/>
      <c r="C755" s="31"/>
      <c r="D755" s="31"/>
      <c r="E755" s="31"/>
      <c r="F755" s="31"/>
      <c r="G755" s="32"/>
      <c r="H755" s="31"/>
      <c r="I755" s="33"/>
      <c r="J755" s="31"/>
      <c r="K755" s="31"/>
    </row>
    <row r="756" spans="1:11" ht="14.4" x14ac:dyDescent="0.3">
      <c r="A756" s="31"/>
      <c r="B756" s="31"/>
      <c r="C756" s="31"/>
      <c r="D756" s="31"/>
      <c r="E756" s="31"/>
      <c r="F756" s="31"/>
      <c r="G756" s="32"/>
      <c r="H756" s="31"/>
      <c r="I756" s="33"/>
      <c r="J756" s="31"/>
      <c r="K756" s="31"/>
    </row>
    <row r="757" spans="1:11" ht="14.4" x14ac:dyDescent="0.3">
      <c r="A757" s="31"/>
      <c r="B757" s="31"/>
      <c r="C757" s="31"/>
      <c r="D757" s="31"/>
      <c r="E757" s="31"/>
      <c r="F757" s="31"/>
      <c r="G757" s="32"/>
      <c r="H757" s="31"/>
      <c r="I757" s="33"/>
      <c r="J757" s="31"/>
      <c r="K757" s="31"/>
    </row>
    <row r="758" spans="1:11" ht="14.4" x14ac:dyDescent="0.3">
      <c r="A758" s="31"/>
      <c r="B758" s="31"/>
      <c r="C758" s="31"/>
      <c r="D758" s="31"/>
      <c r="E758" s="31"/>
      <c r="F758" s="31"/>
      <c r="G758" s="32"/>
      <c r="H758" s="31"/>
      <c r="I758" s="33"/>
      <c r="J758" s="31"/>
      <c r="K758" s="31"/>
    </row>
    <row r="759" spans="1:11" ht="14.4" x14ac:dyDescent="0.3">
      <c r="A759" s="31"/>
      <c r="B759" s="31"/>
      <c r="C759" s="31"/>
      <c r="D759" s="31"/>
      <c r="E759" s="31"/>
      <c r="F759" s="31"/>
      <c r="G759" s="32"/>
      <c r="H759" s="31"/>
      <c r="I759" s="33"/>
      <c r="J759" s="31"/>
      <c r="K759" s="31"/>
    </row>
    <row r="760" spans="1:11" ht="14.4" x14ac:dyDescent="0.3">
      <c r="A760" s="31"/>
      <c r="B760" s="31"/>
      <c r="C760" s="31"/>
      <c r="D760" s="31"/>
      <c r="E760" s="31"/>
      <c r="F760" s="31"/>
      <c r="G760" s="32"/>
      <c r="H760" s="31"/>
      <c r="I760" s="33"/>
      <c r="J760" s="31"/>
      <c r="K760" s="31"/>
    </row>
    <row r="761" spans="1:11" ht="14.4" x14ac:dyDescent="0.3">
      <c r="A761" s="31"/>
      <c r="B761" s="31"/>
      <c r="C761" s="31"/>
      <c r="D761" s="31"/>
      <c r="E761" s="31"/>
      <c r="F761" s="31"/>
      <c r="G761" s="32"/>
      <c r="H761" s="31"/>
      <c r="I761" s="33"/>
      <c r="J761" s="31"/>
      <c r="K761" s="31"/>
    </row>
    <row r="762" spans="1:11" ht="14.4" x14ac:dyDescent="0.3">
      <c r="A762" s="31"/>
      <c r="B762" s="31"/>
      <c r="C762" s="31"/>
      <c r="D762" s="31"/>
      <c r="E762" s="31"/>
      <c r="F762" s="31"/>
      <c r="G762" s="32"/>
      <c r="H762" s="31"/>
      <c r="I762" s="33"/>
      <c r="J762" s="31"/>
      <c r="K762" s="31"/>
    </row>
    <row r="763" spans="1:11" ht="14.4" x14ac:dyDescent="0.3">
      <c r="A763" s="31"/>
      <c r="B763" s="31"/>
      <c r="C763" s="31"/>
      <c r="D763" s="31"/>
      <c r="E763" s="31"/>
      <c r="F763" s="31"/>
      <c r="G763" s="32"/>
      <c r="H763" s="31"/>
      <c r="I763" s="33"/>
      <c r="J763" s="31"/>
      <c r="K763" s="31"/>
    </row>
    <row r="764" spans="1:11" ht="14.4" x14ac:dyDescent="0.3">
      <c r="A764" s="31"/>
      <c r="B764" s="31"/>
      <c r="C764" s="31"/>
      <c r="D764" s="31"/>
      <c r="E764" s="31"/>
      <c r="F764" s="31"/>
      <c r="G764" s="32"/>
      <c r="H764" s="31"/>
      <c r="I764" s="33"/>
      <c r="J764" s="31"/>
      <c r="K764" s="31"/>
    </row>
    <row r="765" spans="1:11" ht="14.4" x14ac:dyDescent="0.3">
      <c r="A765" s="31"/>
      <c r="B765" s="31"/>
      <c r="C765" s="31"/>
      <c r="D765" s="31"/>
      <c r="E765" s="31"/>
      <c r="F765" s="31"/>
      <c r="G765" s="32"/>
      <c r="H765" s="31"/>
      <c r="I765" s="33"/>
      <c r="J765" s="31"/>
      <c r="K765" s="31"/>
    </row>
    <row r="766" spans="1:11" ht="14.4" x14ac:dyDescent="0.3">
      <c r="A766" s="31"/>
      <c r="B766" s="31"/>
      <c r="C766" s="31"/>
      <c r="D766" s="31"/>
      <c r="E766" s="31"/>
      <c r="F766" s="31"/>
      <c r="G766" s="32"/>
      <c r="H766" s="31"/>
      <c r="I766" s="33"/>
      <c r="J766" s="31"/>
      <c r="K766" s="31"/>
    </row>
    <row r="767" spans="1:11" ht="14.4" x14ac:dyDescent="0.3">
      <c r="A767" s="31"/>
      <c r="B767" s="31"/>
      <c r="C767" s="31"/>
      <c r="D767" s="31"/>
      <c r="E767" s="31"/>
      <c r="F767" s="31"/>
      <c r="G767" s="32"/>
      <c r="H767" s="31"/>
      <c r="I767" s="33"/>
      <c r="J767" s="31"/>
      <c r="K767" s="31"/>
    </row>
    <row r="768" spans="1:11" ht="14.4" x14ac:dyDescent="0.3">
      <c r="A768" s="31"/>
      <c r="B768" s="31"/>
      <c r="C768" s="31"/>
      <c r="D768" s="31"/>
      <c r="E768" s="31"/>
      <c r="F768" s="31"/>
      <c r="G768" s="32"/>
      <c r="H768" s="31"/>
      <c r="I768" s="33"/>
      <c r="J768" s="31"/>
      <c r="K768" s="31"/>
    </row>
    <row r="769" spans="1:11" ht="14.4" x14ac:dyDescent="0.3">
      <c r="A769" s="31"/>
      <c r="B769" s="31"/>
      <c r="C769" s="31"/>
      <c r="D769" s="31"/>
      <c r="E769" s="31"/>
      <c r="F769" s="31"/>
      <c r="G769" s="32"/>
      <c r="H769" s="31"/>
      <c r="I769" s="33"/>
      <c r="J769" s="31"/>
      <c r="K769" s="31"/>
    </row>
    <row r="770" spans="1:11" ht="14.4" x14ac:dyDescent="0.3">
      <c r="A770" s="31"/>
      <c r="B770" s="31"/>
      <c r="C770" s="31"/>
      <c r="D770" s="31"/>
      <c r="E770" s="31"/>
      <c r="F770" s="31"/>
      <c r="G770" s="32"/>
      <c r="H770" s="31"/>
      <c r="I770" s="33"/>
      <c r="J770" s="31"/>
      <c r="K770" s="31"/>
    </row>
    <row r="771" spans="1:11" ht="14.4" x14ac:dyDescent="0.3">
      <c r="A771" s="31"/>
      <c r="B771" s="31"/>
      <c r="C771" s="31"/>
      <c r="D771" s="31"/>
      <c r="E771" s="31"/>
      <c r="F771" s="31"/>
      <c r="G771" s="32"/>
      <c r="H771" s="31"/>
      <c r="I771" s="33"/>
      <c r="J771" s="31"/>
      <c r="K771" s="31"/>
    </row>
    <row r="772" spans="1:11" ht="14.4" x14ac:dyDescent="0.3">
      <c r="A772" s="31"/>
      <c r="B772" s="31"/>
      <c r="C772" s="31"/>
      <c r="D772" s="31"/>
      <c r="E772" s="31"/>
      <c r="F772" s="31"/>
      <c r="G772" s="32"/>
      <c r="H772" s="31"/>
      <c r="I772" s="33"/>
      <c r="J772" s="31"/>
      <c r="K772" s="31"/>
    </row>
    <row r="773" spans="1:11" ht="14.4" x14ac:dyDescent="0.3">
      <c r="A773" s="31"/>
      <c r="B773" s="31"/>
      <c r="C773" s="31"/>
      <c r="D773" s="31"/>
      <c r="E773" s="31"/>
      <c r="F773" s="31"/>
      <c r="G773" s="32"/>
      <c r="H773" s="31"/>
      <c r="I773" s="33"/>
      <c r="J773" s="31"/>
      <c r="K773" s="31"/>
    </row>
    <row r="774" spans="1:11" ht="14.4" x14ac:dyDescent="0.3">
      <c r="A774" s="31"/>
      <c r="B774" s="31"/>
      <c r="C774" s="31"/>
      <c r="D774" s="31"/>
      <c r="E774" s="31"/>
      <c r="F774" s="31"/>
      <c r="G774" s="32"/>
      <c r="H774" s="31"/>
      <c r="I774" s="33"/>
      <c r="J774" s="31"/>
      <c r="K774" s="31"/>
    </row>
    <row r="775" spans="1:11" ht="14.4" x14ac:dyDescent="0.3">
      <c r="A775" s="31"/>
      <c r="B775" s="31"/>
      <c r="C775" s="31"/>
      <c r="D775" s="31"/>
      <c r="E775" s="31"/>
      <c r="F775" s="31"/>
      <c r="G775" s="32"/>
      <c r="H775" s="31"/>
      <c r="I775" s="33"/>
      <c r="J775" s="31"/>
      <c r="K775" s="31"/>
    </row>
    <row r="776" spans="1:11" ht="14.4" x14ac:dyDescent="0.3">
      <c r="A776" s="31"/>
      <c r="B776" s="31"/>
      <c r="C776" s="31"/>
      <c r="D776" s="31"/>
      <c r="E776" s="31"/>
      <c r="F776" s="31"/>
      <c r="G776" s="32"/>
      <c r="H776" s="31"/>
      <c r="I776" s="33"/>
      <c r="J776" s="31"/>
      <c r="K776" s="31"/>
    </row>
    <row r="777" spans="1:11" ht="14.4" x14ac:dyDescent="0.3">
      <c r="A777" s="31"/>
      <c r="B777" s="31"/>
      <c r="C777" s="31"/>
      <c r="D777" s="31"/>
      <c r="E777" s="31"/>
      <c r="F777" s="31"/>
      <c r="G777" s="32"/>
      <c r="H777" s="31"/>
      <c r="I777" s="33"/>
      <c r="J777" s="31"/>
      <c r="K777" s="31"/>
    </row>
    <row r="778" spans="1:11" ht="14.4" x14ac:dyDescent="0.3">
      <c r="A778" s="31"/>
      <c r="B778" s="31"/>
      <c r="C778" s="31"/>
      <c r="D778" s="31"/>
      <c r="E778" s="31"/>
      <c r="F778" s="31"/>
      <c r="G778" s="32"/>
      <c r="H778" s="31"/>
      <c r="I778" s="33"/>
      <c r="J778" s="31"/>
      <c r="K778" s="31"/>
    </row>
    <row r="779" spans="1:11" ht="14.4" x14ac:dyDescent="0.3">
      <c r="A779" s="31"/>
      <c r="B779" s="31"/>
      <c r="C779" s="31"/>
      <c r="D779" s="31"/>
      <c r="E779" s="31"/>
      <c r="F779" s="31"/>
      <c r="G779" s="32"/>
      <c r="H779" s="31"/>
      <c r="I779" s="33"/>
      <c r="J779" s="31"/>
      <c r="K779" s="31"/>
    </row>
    <row r="780" spans="1:11" ht="14.4" x14ac:dyDescent="0.3">
      <c r="A780" s="31"/>
      <c r="B780" s="31"/>
      <c r="C780" s="31"/>
      <c r="D780" s="31"/>
      <c r="E780" s="31"/>
      <c r="F780" s="31"/>
      <c r="G780" s="32"/>
      <c r="H780" s="31"/>
      <c r="I780" s="33"/>
      <c r="J780" s="31"/>
      <c r="K780" s="31"/>
    </row>
    <row r="781" spans="1:11" ht="14.4" x14ac:dyDescent="0.3">
      <c r="A781" s="31"/>
      <c r="B781" s="31"/>
      <c r="C781" s="31"/>
      <c r="D781" s="31"/>
      <c r="E781" s="31"/>
      <c r="F781" s="31"/>
      <c r="G781" s="32"/>
      <c r="H781" s="31"/>
      <c r="I781" s="33"/>
      <c r="J781" s="31"/>
      <c r="K781" s="31"/>
    </row>
    <row r="782" spans="1:11" ht="14.4" x14ac:dyDescent="0.3">
      <c r="A782" s="31"/>
      <c r="B782" s="31"/>
      <c r="C782" s="31"/>
      <c r="D782" s="31"/>
      <c r="E782" s="31"/>
      <c r="F782" s="31"/>
      <c r="G782" s="32"/>
      <c r="H782" s="31"/>
      <c r="I782" s="33"/>
      <c r="J782" s="31"/>
      <c r="K782" s="31"/>
    </row>
    <row r="783" spans="1:11" ht="14.4" x14ac:dyDescent="0.3">
      <c r="A783" s="31"/>
      <c r="B783" s="31"/>
      <c r="C783" s="31"/>
      <c r="D783" s="31"/>
      <c r="E783" s="31"/>
      <c r="F783" s="31"/>
      <c r="G783" s="32"/>
      <c r="H783" s="31"/>
      <c r="I783" s="33"/>
      <c r="J783" s="31"/>
      <c r="K783" s="31"/>
    </row>
    <row r="784" spans="1:11" ht="14.4" x14ac:dyDescent="0.3">
      <c r="A784" s="31"/>
      <c r="B784" s="31"/>
      <c r="C784" s="31"/>
      <c r="D784" s="31"/>
      <c r="E784" s="31"/>
      <c r="F784" s="31"/>
      <c r="G784" s="32"/>
      <c r="H784" s="31"/>
      <c r="I784" s="33"/>
      <c r="J784" s="31"/>
      <c r="K784" s="31"/>
    </row>
    <row r="785" spans="1:11" ht="14.4" x14ac:dyDescent="0.3">
      <c r="A785" s="31"/>
      <c r="B785" s="31"/>
      <c r="C785" s="31"/>
      <c r="D785" s="31"/>
      <c r="E785" s="31"/>
      <c r="F785" s="31"/>
      <c r="G785" s="32"/>
      <c r="H785" s="31"/>
      <c r="I785" s="33"/>
      <c r="J785" s="31"/>
      <c r="K785" s="31"/>
    </row>
    <row r="786" spans="1:11" ht="14.4" x14ac:dyDescent="0.3">
      <c r="A786" s="31"/>
      <c r="B786" s="31"/>
      <c r="C786" s="31"/>
      <c r="D786" s="31"/>
      <c r="E786" s="31"/>
      <c r="F786" s="31"/>
      <c r="G786" s="32"/>
      <c r="H786" s="31"/>
      <c r="I786" s="33"/>
      <c r="J786" s="31"/>
      <c r="K786" s="31"/>
    </row>
    <row r="787" spans="1:11" ht="14.4" x14ac:dyDescent="0.3">
      <c r="A787" s="31"/>
      <c r="B787" s="31"/>
      <c r="C787" s="31"/>
      <c r="D787" s="31"/>
      <c r="E787" s="31"/>
      <c r="F787" s="31"/>
      <c r="G787" s="32"/>
      <c r="H787" s="31"/>
      <c r="I787" s="33"/>
      <c r="J787" s="31"/>
      <c r="K787" s="31"/>
    </row>
    <row r="788" spans="1:11" ht="14.4" x14ac:dyDescent="0.3">
      <c r="A788" s="31"/>
      <c r="B788" s="31"/>
      <c r="C788" s="31"/>
      <c r="D788" s="31"/>
      <c r="E788" s="31"/>
      <c r="F788" s="31"/>
      <c r="G788" s="32"/>
      <c r="H788" s="31"/>
      <c r="I788" s="33"/>
      <c r="J788" s="31"/>
      <c r="K788" s="31"/>
    </row>
    <row r="789" spans="1:11" ht="14.4" x14ac:dyDescent="0.3">
      <c r="A789" s="31"/>
      <c r="B789" s="31"/>
      <c r="C789" s="31"/>
      <c r="D789" s="31"/>
      <c r="E789" s="31"/>
      <c r="F789" s="31"/>
      <c r="G789" s="32"/>
      <c r="H789" s="31"/>
      <c r="I789" s="33"/>
      <c r="J789" s="31"/>
      <c r="K789" s="31"/>
    </row>
    <row r="790" spans="1:11" ht="14.4" x14ac:dyDescent="0.3">
      <c r="A790" s="31"/>
      <c r="B790" s="31"/>
      <c r="C790" s="31"/>
      <c r="D790" s="31"/>
      <c r="E790" s="31"/>
      <c r="F790" s="31"/>
      <c r="G790" s="32"/>
      <c r="H790" s="31"/>
      <c r="I790" s="33"/>
      <c r="J790" s="31"/>
      <c r="K790" s="31"/>
    </row>
    <row r="791" spans="1:11" ht="14.4" x14ac:dyDescent="0.3">
      <c r="A791" s="31"/>
      <c r="B791" s="31"/>
      <c r="C791" s="31"/>
      <c r="D791" s="31"/>
      <c r="E791" s="31"/>
      <c r="F791" s="31"/>
      <c r="G791" s="32"/>
      <c r="H791" s="31"/>
      <c r="I791" s="33"/>
      <c r="J791" s="31"/>
      <c r="K791" s="31"/>
    </row>
    <row r="792" spans="1:11" ht="14.4" x14ac:dyDescent="0.3">
      <c r="A792" s="31"/>
      <c r="B792" s="31"/>
      <c r="C792" s="31"/>
      <c r="D792" s="31"/>
      <c r="E792" s="31"/>
      <c r="F792" s="31"/>
      <c r="G792" s="32"/>
      <c r="H792" s="31"/>
      <c r="I792" s="33"/>
      <c r="J792" s="31"/>
      <c r="K792" s="31"/>
    </row>
    <row r="793" spans="1:11" ht="14.4" x14ac:dyDescent="0.3">
      <c r="A793" s="31"/>
      <c r="B793" s="31"/>
      <c r="C793" s="31"/>
      <c r="D793" s="31"/>
      <c r="E793" s="31"/>
      <c r="F793" s="31"/>
      <c r="G793" s="32"/>
      <c r="H793" s="31"/>
      <c r="I793" s="33"/>
      <c r="J793" s="31"/>
      <c r="K793" s="31"/>
    </row>
    <row r="794" spans="1:11" ht="14.4" x14ac:dyDescent="0.3">
      <c r="A794" s="31"/>
      <c r="B794" s="31"/>
      <c r="C794" s="31"/>
      <c r="D794" s="31"/>
      <c r="E794" s="31"/>
      <c r="F794" s="31"/>
      <c r="G794" s="32"/>
      <c r="H794" s="31"/>
      <c r="I794" s="33"/>
      <c r="J794" s="31"/>
      <c r="K794" s="31"/>
    </row>
    <row r="795" spans="1:11" ht="14.4" x14ac:dyDescent="0.3">
      <c r="A795" s="31"/>
      <c r="B795" s="31"/>
      <c r="C795" s="31"/>
      <c r="D795" s="31"/>
      <c r="E795" s="31"/>
      <c r="F795" s="31"/>
      <c r="G795" s="32"/>
      <c r="H795" s="31"/>
      <c r="I795" s="33"/>
      <c r="J795" s="31"/>
      <c r="K795" s="31"/>
    </row>
    <row r="796" spans="1:11" ht="14.4" x14ac:dyDescent="0.3">
      <c r="A796" s="31"/>
      <c r="B796" s="31"/>
      <c r="C796" s="31"/>
      <c r="D796" s="31"/>
      <c r="E796" s="31"/>
      <c r="F796" s="31"/>
      <c r="G796" s="32"/>
      <c r="H796" s="31"/>
      <c r="I796" s="33"/>
      <c r="J796" s="31"/>
      <c r="K796" s="31"/>
    </row>
    <row r="797" spans="1:11" ht="14.4" x14ac:dyDescent="0.3">
      <c r="A797" s="31"/>
      <c r="B797" s="31"/>
      <c r="C797" s="31"/>
      <c r="D797" s="31"/>
      <c r="E797" s="31"/>
      <c r="F797" s="31"/>
      <c r="G797" s="32"/>
      <c r="H797" s="31"/>
      <c r="I797" s="33"/>
      <c r="J797" s="31"/>
      <c r="K797" s="31"/>
    </row>
    <row r="798" spans="1:11" ht="14.4" x14ac:dyDescent="0.3">
      <c r="A798" s="31"/>
      <c r="B798" s="31"/>
      <c r="C798" s="31"/>
      <c r="D798" s="31"/>
      <c r="E798" s="31"/>
      <c r="F798" s="31"/>
      <c r="G798" s="32"/>
      <c r="H798" s="31"/>
      <c r="I798" s="33"/>
      <c r="J798" s="31"/>
      <c r="K798" s="31"/>
    </row>
    <row r="799" spans="1:11" ht="14.4" x14ac:dyDescent="0.3">
      <c r="A799" s="31"/>
      <c r="B799" s="31"/>
      <c r="C799" s="31"/>
      <c r="D799" s="31"/>
      <c r="E799" s="31"/>
      <c r="F799" s="31"/>
      <c r="G799" s="32"/>
      <c r="H799" s="31"/>
      <c r="I799" s="33"/>
      <c r="J799" s="31"/>
      <c r="K799" s="31"/>
    </row>
    <row r="800" spans="1:11" ht="14.4" x14ac:dyDescent="0.3">
      <c r="A800" s="31"/>
      <c r="B800" s="31"/>
      <c r="C800" s="31"/>
      <c r="D800" s="31"/>
      <c r="E800" s="31"/>
      <c r="F800" s="31"/>
      <c r="G800" s="32"/>
      <c r="H800" s="31"/>
      <c r="I800" s="33"/>
      <c r="J800" s="31"/>
      <c r="K800" s="31"/>
    </row>
    <row r="801" spans="1:11" ht="14.4" x14ac:dyDescent="0.3">
      <c r="A801" s="31"/>
      <c r="B801" s="31"/>
      <c r="C801" s="31"/>
      <c r="D801" s="31"/>
      <c r="E801" s="31"/>
      <c r="F801" s="31"/>
      <c r="G801" s="32"/>
      <c r="H801" s="31"/>
      <c r="I801" s="33"/>
      <c r="J801" s="31"/>
      <c r="K801" s="31"/>
    </row>
    <row r="802" spans="1:11" ht="14.4" x14ac:dyDescent="0.3">
      <c r="A802" s="31"/>
      <c r="B802" s="31"/>
      <c r="C802" s="31"/>
      <c r="D802" s="31"/>
      <c r="E802" s="31"/>
      <c r="F802" s="31"/>
      <c r="G802" s="32"/>
      <c r="H802" s="31"/>
      <c r="I802" s="33"/>
      <c r="J802" s="31"/>
      <c r="K802" s="31"/>
    </row>
    <row r="803" spans="1:11" ht="14.4" x14ac:dyDescent="0.3">
      <c r="A803" s="31"/>
      <c r="B803" s="31"/>
      <c r="C803" s="31"/>
      <c r="D803" s="31"/>
      <c r="E803" s="31"/>
      <c r="F803" s="31"/>
      <c r="G803" s="32"/>
      <c r="H803" s="31"/>
      <c r="I803" s="33"/>
      <c r="J803" s="31"/>
      <c r="K803" s="31"/>
    </row>
    <row r="804" spans="1:11" ht="14.4" x14ac:dyDescent="0.3">
      <c r="A804" s="31"/>
      <c r="B804" s="31"/>
      <c r="C804" s="31"/>
      <c r="D804" s="31"/>
      <c r="E804" s="31"/>
      <c r="F804" s="31"/>
      <c r="G804" s="32"/>
      <c r="H804" s="31"/>
      <c r="I804" s="33"/>
      <c r="J804" s="31"/>
      <c r="K804" s="31"/>
    </row>
    <row r="805" spans="1:11" ht="14.4" x14ac:dyDescent="0.3">
      <c r="A805" s="31"/>
      <c r="B805" s="31"/>
      <c r="C805" s="31"/>
      <c r="D805" s="31"/>
      <c r="E805" s="31"/>
      <c r="F805" s="31"/>
      <c r="G805" s="32"/>
      <c r="H805" s="31"/>
      <c r="I805" s="33"/>
      <c r="J805" s="31"/>
      <c r="K805" s="31"/>
    </row>
    <row r="806" spans="1:11" ht="14.4" x14ac:dyDescent="0.3">
      <c r="A806" s="31"/>
      <c r="B806" s="31"/>
      <c r="C806" s="31"/>
      <c r="D806" s="31"/>
      <c r="E806" s="31"/>
      <c r="F806" s="31"/>
      <c r="G806" s="32"/>
      <c r="H806" s="31"/>
      <c r="I806" s="33"/>
      <c r="J806" s="31"/>
      <c r="K806" s="31"/>
    </row>
    <row r="807" spans="1:11" ht="14.4" x14ac:dyDescent="0.3">
      <c r="A807" s="31"/>
      <c r="B807" s="31"/>
      <c r="C807" s="31"/>
      <c r="D807" s="31"/>
      <c r="E807" s="31"/>
      <c r="F807" s="31"/>
      <c r="G807" s="32"/>
      <c r="H807" s="31"/>
      <c r="I807" s="33"/>
      <c r="J807" s="31"/>
      <c r="K807" s="31"/>
    </row>
    <row r="808" spans="1:11" ht="14.4" x14ac:dyDescent="0.3">
      <c r="A808" s="31"/>
      <c r="B808" s="31"/>
      <c r="C808" s="31"/>
      <c r="D808" s="31"/>
      <c r="E808" s="31"/>
      <c r="F808" s="31"/>
      <c r="G808" s="32"/>
      <c r="H808" s="31"/>
      <c r="I808" s="33"/>
      <c r="J808" s="31"/>
      <c r="K808" s="31"/>
    </row>
    <row r="809" spans="1:11" ht="14.4" x14ac:dyDescent="0.3">
      <c r="A809" s="31"/>
      <c r="B809" s="31"/>
      <c r="C809" s="31"/>
      <c r="D809" s="31"/>
      <c r="E809" s="31"/>
      <c r="F809" s="31"/>
      <c r="G809" s="32"/>
      <c r="H809" s="31"/>
      <c r="I809" s="33"/>
      <c r="J809" s="31"/>
      <c r="K809" s="31"/>
    </row>
    <row r="810" spans="1:11" ht="14.4" x14ac:dyDescent="0.3">
      <c r="A810" s="31"/>
      <c r="B810" s="31"/>
      <c r="C810" s="31"/>
      <c r="D810" s="31"/>
      <c r="E810" s="31"/>
      <c r="F810" s="31"/>
      <c r="G810" s="32"/>
      <c r="H810" s="31"/>
      <c r="I810" s="33"/>
      <c r="J810" s="31"/>
      <c r="K810" s="31"/>
    </row>
    <row r="811" spans="1:11" ht="14.4" x14ac:dyDescent="0.3">
      <c r="A811" s="31"/>
      <c r="B811" s="31"/>
      <c r="C811" s="31"/>
      <c r="D811" s="31"/>
      <c r="E811" s="31"/>
      <c r="F811" s="31"/>
      <c r="G811" s="32"/>
      <c r="H811" s="31"/>
      <c r="I811" s="33"/>
      <c r="J811" s="31"/>
      <c r="K811" s="31"/>
    </row>
    <row r="812" spans="1:11" ht="14.4" x14ac:dyDescent="0.3">
      <c r="A812" s="31"/>
      <c r="B812" s="31"/>
      <c r="C812" s="31"/>
      <c r="D812" s="31"/>
      <c r="E812" s="31"/>
      <c r="F812" s="31"/>
      <c r="G812" s="32"/>
      <c r="H812" s="31"/>
      <c r="I812" s="33"/>
      <c r="J812" s="31"/>
      <c r="K812" s="31"/>
    </row>
    <row r="813" spans="1:11" ht="14.4" x14ac:dyDescent="0.3">
      <c r="A813" s="31"/>
      <c r="B813" s="31"/>
      <c r="C813" s="31"/>
      <c r="D813" s="31"/>
      <c r="E813" s="31"/>
      <c r="F813" s="31"/>
      <c r="G813" s="32"/>
      <c r="H813" s="31"/>
      <c r="I813" s="33"/>
      <c r="J813" s="31"/>
      <c r="K813" s="31"/>
    </row>
    <row r="814" spans="1:11" ht="14.4" x14ac:dyDescent="0.3">
      <c r="A814" s="31"/>
      <c r="B814" s="31"/>
      <c r="C814" s="31"/>
      <c r="D814" s="31"/>
      <c r="E814" s="31"/>
      <c r="F814" s="31"/>
      <c r="G814" s="32"/>
      <c r="H814" s="31"/>
      <c r="I814" s="33"/>
      <c r="J814" s="31"/>
      <c r="K814" s="31"/>
    </row>
    <row r="815" spans="1:11" ht="14.4" x14ac:dyDescent="0.3">
      <c r="A815" s="31"/>
      <c r="B815" s="31"/>
      <c r="C815" s="31"/>
      <c r="D815" s="31"/>
      <c r="E815" s="31"/>
      <c r="F815" s="31"/>
      <c r="G815" s="32"/>
      <c r="H815" s="31"/>
      <c r="I815" s="33"/>
      <c r="J815" s="31"/>
      <c r="K815" s="31"/>
    </row>
    <row r="816" spans="1:11" ht="14.4" x14ac:dyDescent="0.3">
      <c r="A816" s="31"/>
      <c r="B816" s="31"/>
      <c r="C816" s="31"/>
      <c r="D816" s="31"/>
      <c r="E816" s="31"/>
      <c r="F816" s="31"/>
      <c r="G816" s="32"/>
      <c r="H816" s="31"/>
      <c r="I816" s="33"/>
      <c r="J816" s="31"/>
      <c r="K816" s="31"/>
    </row>
    <row r="817" spans="1:11" ht="14.4" x14ac:dyDescent="0.3">
      <c r="A817" s="31"/>
      <c r="B817" s="31"/>
      <c r="C817" s="31"/>
      <c r="D817" s="31"/>
      <c r="E817" s="31"/>
      <c r="F817" s="31"/>
      <c r="G817" s="32"/>
      <c r="H817" s="31"/>
      <c r="I817" s="33"/>
      <c r="J817" s="31"/>
      <c r="K817" s="31"/>
    </row>
    <row r="818" spans="1:11" ht="14.4" x14ac:dyDescent="0.3">
      <c r="A818" s="31"/>
      <c r="B818" s="31"/>
      <c r="C818" s="31"/>
      <c r="D818" s="31"/>
      <c r="E818" s="31"/>
      <c r="F818" s="31"/>
      <c r="G818" s="32"/>
      <c r="H818" s="31"/>
      <c r="I818" s="33"/>
      <c r="J818" s="31"/>
      <c r="K818" s="31"/>
    </row>
    <row r="819" spans="1:11" ht="14.4" x14ac:dyDescent="0.3">
      <c r="A819" s="31"/>
      <c r="B819" s="31"/>
      <c r="C819" s="31"/>
      <c r="D819" s="31"/>
      <c r="E819" s="31"/>
      <c r="F819" s="31"/>
      <c r="G819" s="32"/>
      <c r="H819" s="31"/>
      <c r="I819" s="33"/>
      <c r="J819" s="31"/>
      <c r="K819" s="31"/>
    </row>
    <row r="820" spans="1:11" ht="14.4" x14ac:dyDescent="0.3">
      <c r="A820" s="31"/>
      <c r="B820" s="31"/>
      <c r="C820" s="31"/>
      <c r="D820" s="31"/>
      <c r="E820" s="31"/>
      <c r="F820" s="31"/>
      <c r="G820" s="32"/>
      <c r="H820" s="31"/>
      <c r="I820" s="33"/>
      <c r="J820" s="31"/>
      <c r="K820" s="31"/>
    </row>
    <row r="821" spans="1:11" ht="14.4" x14ac:dyDescent="0.3">
      <c r="A821" s="31"/>
      <c r="B821" s="31"/>
      <c r="C821" s="31"/>
      <c r="D821" s="31"/>
      <c r="E821" s="31"/>
      <c r="F821" s="31"/>
      <c r="G821" s="32"/>
      <c r="H821" s="31"/>
      <c r="I821" s="33"/>
      <c r="J821" s="31"/>
      <c r="K821" s="31"/>
    </row>
    <row r="822" spans="1:11" ht="14.4" x14ac:dyDescent="0.3">
      <c r="A822" s="31"/>
      <c r="B822" s="31"/>
      <c r="C822" s="31"/>
      <c r="D822" s="31"/>
      <c r="E822" s="31"/>
      <c r="F822" s="31"/>
      <c r="G822" s="32"/>
      <c r="H822" s="31"/>
      <c r="I822" s="33"/>
      <c r="J822" s="31"/>
      <c r="K822" s="31"/>
    </row>
    <row r="823" spans="1:11" ht="14.4" x14ac:dyDescent="0.3">
      <c r="A823" s="31"/>
      <c r="B823" s="31"/>
      <c r="C823" s="31"/>
      <c r="D823" s="31"/>
      <c r="E823" s="31"/>
      <c r="F823" s="31"/>
      <c r="G823" s="32"/>
      <c r="H823" s="31"/>
      <c r="I823" s="33"/>
      <c r="J823" s="31"/>
      <c r="K823" s="31"/>
    </row>
    <row r="824" spans="1:11" ht="14.4" x14ac:dyDescent="0.3">
      <c r="A824" s="31"/>
      <c r="B824" s="31"/>
      <c r="C824" s="31"/>
      <c r="D824" s="31"/>
      <c r="E824" s="31"/>
      <c r="F824" s="31"/>
      <c r="G824" s="32"/>
      <c r="H824" s="31"/>
      <c r="I824" s="33"/>
      <c r="J824" s="31"/>
      <c r="K824" s="31"/>
    </row>
    <row r="825" spans="1:11" ht="14.4" x14ac:dyDescent="0.3">
      <c r="A825" s="31"/>
      <c r="B825" s="31"/>
      <c r="C825" s="31"/>
      <c r="D825" s="31"/>
      <c r="E825" s="31"/>
      <c r="F825" s="31"/>
      <c r="G825" s="32"/>
      <c r="H825" s="31"/>
      <c r="I825" s="33"/>
      <c r="J825" s="31"/>
      <c r="K825" s="31"/>
    </row>
    <row r="826" spans="1:11" ht="14.4" x14ac:dyDescent="0.3">
      <c r="A826" s="31"/>
      <c r="B826" s="31"/>
      <c r="C826" s="31"/>
      <c r="D826" s="31"/>
      <c r="E826" s="31"/>
      <c r="F826" s="31"/>
      <c r="G826" s="32"/>
      <c r="H826" s="31"/>
      <c r="I826" s="33"/>
      <c r="J826" s="31"/>
      <c r="K826" s="31"/>
    </row>
    <row r="827" spans="1:11" ht="14.4" x14ac:dyDescent="0.3">
      <c r="A827" s="31"/>
      <c r="B827" s="31"/>
      <c r="C827" s="31"/>
      <c r="D827" s="31"/>
      <c r="E827" s="31"/>
      <c r="F827" s="31"/>
      <c r="G827" s="32"/>
      <c r="H827" s="31"/>
      <c r="I827" s="33"/>
      <c r="J827" s="31"/>
      <c r="K827" s="31"/>
    </row>
    <row r="828" spans="1:11" ht="14.4" x14ac:dyDescent="0.3">
      <c r="A828" s="31"/>
      <c r="B828" s="31"/>
      <c r="C828" s="31"/>
      <c r="D828" s="31"/>
      <c r="E828" s="31"/>
      <c r="F828" s="31"/>
      <c r="G828" s="32"/>
      <c r="H828" s="31"/>
      <c r="I828" s="33"/>
      <c r="J828" s="31"/>
      <c r="K828" s="31"/>
    </row>
    <row r="829" spans="1:11" ht="14.4" x14ac:dyDescent="0.3">
      <c r="A829" s="31"/>
      <c r="B829" s="31"/>
      <c r="C829" s="31"/>
      <c r="D829" s="31"/>
      <c r="E829" s="31"/>
      <c r="F829" s="31"/>
      <c r="G829" s="32"/>
      <c r="H829" s="31"/>
      <c r="I829" s="33"/>
      <c r="J829" s="31"/>
      <c r="K829" s="31"/>
    </row>
    <row r="830" spans="1:11" ht="14.4" x14ac:dyDescent="0.3">
      <c r="A830" s="31"/>
      <c r="B830" s="31"/>
      <c r="C830" s="31"/>
      <c r="D830" s="31"/>
      <c r="E830" s="31"/>
      <c r="F830" s="31"/>
      <c r="G830" s="32"/>
      <c r="H830" s="31"/>
      <c r="I830" s="33"/>
      <c r="J830" s="31"/>
      <c r="K830" s="31"/>
    </row>
    <row r="831" spans="1:11" ht="14.4" x14ac:dyDescent="0.3">
      <c r="A831" s="31"/>
      <c r="B831" s="31"/>
      <c r="C831" s="31"/>
      <c r="D831" s="31"/>
      <c r="E831" s="31"/>
      <c r="F831" s="31"/>
      <c r="G831" s="32"/>
      <c r="H831" s="31"/>
      <c r="I831" s="33"/>
      <c r="J831" s="31"/>
      <c r="K831" s="31"/>
    </row>
    <row r="832" spans="1:11" ht="14.4" x14ac:dyDescent="0.3">
      <c r="A832" s="31"/>
      <c r="B832" s="31"/>
      <c r="C832" s="31"/>
      <c r="D832" s="31"/>
      <c r="E832" s="31"/>
      <c r="F832" s="31"/>
      <c r="G832" s="32"/>
      <c r="H832" s="31"/>
      <c r="I832" s="33"/>
      <c r="J832" s="31"/>
      <c r="K832" s="31"/>
    </row>
    <row r="833" spans="1:11" ht="14.4" x14ac:dyDescent="0.3">
      <c r="A833" s="31"/>
      <c r="B833" s="31"/>
      <c r="C833" s="31"/>
      <c r="D833" s="31"/>
      <c r="E833" s="31"/>
      <c r="F833" s="31"/>
      <c r="G833" s="32"/>
      <c r="H833" s="31"/>
      <c r="I833" s="33"/>
      <c r="J833" s="31"/>
      <c r="K833" s="31"/>
    </row>
    <row r="834" spans="1:11" ht="14.4" x14ac:dyDescent="0.3">
      <c r="A834" s="31"/>
      <c r="B834" s="31"/>
      <c r="C834" s="31"/>
      <c r="D834" s="31"/>
      <c r="E834" s="31"/>
      <c r="F834" s="31"/>
      <c r="G834" s="32"/>
      <c r="H834" s="31"/>
      <c r="I834" s="33"/>
      <c r="J834" s="31"/>
      <c r="K834" s="31"/>
    </row>
    <row r="835" spans="1:11" ht="14.4" x14ac:dyDescent="0.3">
      <c r="A835" s="31"/>
      <c r="B835" s="31"/>
      <c r="C835" s="31"/>
      <c r="D835" s="31"/>
      <c r="E835" s="31"/>
      <c r="F835" s="31"/>
      <c r="G835" s="32"/>
      <c r="H835" s="31"/>
      <c r="I835" s="33"/>
      <c r="J835" s="31"/>
      <c r="K835" s="31"/>
    </row>
    <row r="836" spans="1:11" ht="14.4" x14ac:dyDescent="0.3">
      <c r="A836" s="31"/>
      <c r="B836" s="31"/>
      <c r="C836" s="31"/>
      <c r="D836" s="31"/>
      <c r="E836" s="31"/>
      <c r="F836" s="31"/>
      <c r="G836" s="32"/>
      <c r="H836" s="31"/>
      <c r="I836" s="33"/>
      <c r="J836" s="31"/>
      <c r="K836" s="31"/>
    </row>
    <row r="837" spans="1:11" ht="14.4" x14ac:dyDescent="0.3">
      <c r="A837" s="31"/>
      <c r="B837" s="31"/>
      <c r="C837" s="31"/>
      <c r="D837" s="31"/>
      <c r="E837" s="31"/>
      <c r="F837" s="31"/>
      <c r="G837" s="32"/>
      <c r="H837" s="31"/>
      <c r="I837" s="33"/>
      <c r="J837" s="31"/>
      <c r="K837" s="31"/>
    </row>
    <row r="838" spans="1:11" ht="14.4" x14ac:dyDescent="0.3">
      <c r="A838" s="31"/>
      <c r="B838" s="31"/>
      <c r="C838" s="31"/>
      <c r="D838" s="31"/>
      <c r="E838" s="31"/>
      <c r="F838" s="31"/>
      <c r="G838" s="32"/>
      <c r="H838" s="31"/>
      <c r="I838" s="33"/>
      <c r="J838" s="31"/>
      <c r="K838" s="31"/>
    </row>
    <row r="839" spans="1:11" ht="14.4" x14ac:dyDescent="0.3">
      <c r="A839" s="31"/>
      <c r="B839" s="31"/>
      <c r="C839" s="31"/>
      <c r="D839" s="31"/>
      <c r="E839" s="31"/>
      <c r="F839" s="31"/>
      <c r="G839" s="32"/>
      <c r="H839" s="31"/>
      <c r="I839" s="33"/>
      <c r="J839" s="31"/>
      <c r="K839" s="31"/>
    </row>
    <row r="840" spans="1:11" ht="14.4" x14ac:dyDescent="0.3">
      <c r="A840" s="31"/>
      <c r="B840" s="31"/>
      <c r="C840" s="31"/>
      <c r="D840" s="31"/>
      <c r="E840" s="31"/>
      <c r="F840" s="31"/>
      <c r="G840" s="32"/>
      <c r="H840" s="31"/>
      <c r="I840" s="33"/>
      <c r="J840" s="31"/>
      <c r="K840" s="31"/>
    </row>
    <row r="841" spans="1:11" ht="14.4" x14ac:dyDescent="0.3">
      <c r="A841" s="31"/>
      <c r="B841" s="31"/>
      <c r="C841" s="31"/>
      <c r="D841" s="31"/>
      <c r="E841" s="31"/>
      <c r="F841" s="31"/>
      <c r="G841" s="32"/>
      <c r="H841" s="31"/>
      <c r="I841" s="33"/>
      <c r="J841" s="31"/>
      <c r="K841" s="31"/>
    </row>
    <row r="842" spans="1:11" ht="14.4" x14ac:dyDescent="0.3">
      <c r="A842" s="31"/>
      <c r="B842" s="31"/>
      <c r="C842" s="31"/>
      <c r="D842" s="31"/>
      <c r="E842" s="31"/>
      <c r="F842" s="31"/>
      <c r="G842" s="32"/>
      <c r="H842" s="31"/>
      <c r="I842" s="33"/>
      <c r="J842" s="31"/>
      <c r="K842" s="31"/>
    </row>
    <row r="843" spans="1:11" ht="14.4" x14ac:dyDescent="0.3">
      <c r="A843" s="31"/>
      <c r="B843" s="31"/>
      <c r="C843" s="31"/>
      <c r="D843" s="31"/>
      <c r="E843" s="31"/>
      <c r="F843" s="31"/>
      <c r="G843" s="32"/>
      <c r="H843" s="31"/>
      <c r="I843" s="33"/>
      <c r="J843" s="31"/>
      <c r="K843" s="31"/>
    </row>
    <row r="844" spans="1:11" ht="14.4" x14ac:dyDescent="0.3">
      <c r="A844" s="31"/>
      <c r="B844" s="31"/>
      <c r="C844" s="31"/>
      <c r="D844" s="31"/>
      <c r="E844" s="31"/>
      <c r="F844" s="31"/>
      <c r="G844" s="32"/>
      <c r="H844" s="31"/>
      <c r="I844" s="33"/>
      <c r="J844" s="31"/>
      <c r="K844" s="31"/>
    </row>
    <row r="845" spans="1:11" ht="14.4" x14ac:dyDescent="0.3">
      <c r="A845" s="31"/>
      <c r="B845" s="31"/>
      <c r="C845" s="31"/>
      <c r="D845" s="31"/>
      <c r="E845" s="31"/>
      <c r="F845" s="31"/>
      <c r="G845" s="32"/>
      <c r="H845" s="31"/>
      <c r="I845" s="33"/>
      <c r="J845" s="31"/>
      <c r="K845" s="31"/>
    </row>
    <row r="846" spans="1:11" ht="14.4" x14ac:dyDescent="0.3">
      <c r="A846" s="31"/>
      <c r="B846" s="31"/>
      <c r="C846" s="31"/>
      <c r="D846" s="31"/>
      <c r="E846" s="31"/>
      <c r="F846" s="31"/>
      <c r="G846" s="32"/>
      <c r="H846" s="31"/>
      <c r="I846" s="33"/>
      <c r="J846" s="31"/>
      <c r="K846" s="31"/>
    </row>
    <row r="847" spans="1:11" ht="14.4" x14ac:dyDescent="0.3">
      <c r="A847" s="31"/>
      <c r="B847" s="31"/>
      <c r="C847" s="31"/>
      <c r="D847" s="31"/>
      <c r="E847" s="31"/>
      <c r="F847" s="31"/>
      <c r="G847" s="32"/>
      <c r="H847" s="31"/>
      <c r="I847" s="33"/>
      <c r="J847" s="31"/>
      <c r="K847" s="31"/>
    </row>
    <row r="848" spans="1:11" ht="14.4" x14ac:dyDescent="0.3">
      <c r="A848" s="31"/>
      <c r="B848" s="31"/>
      <c r="C848" s="31"/>
      <c r="D848" s="31"/>
      <c r="E848" s="31"/>
      <c r="F848" s="31"/>
      <c r="G848" s="32"/>
      <c r="H848" s="31"/>
      <c r="I848" s="33"/>
      <c r="J848" s="31"/>
      <c r="K848" s="31"/>
    </row>
    <row r="849" spans="1:11" ht="14.4" x14ac:dyDescent="0.3">
      <c r="A849" s="31"/>
      <c r="B849" s="31"/>
      <c r="C849" s="31"/>
      <c r="D849" s="31"/>
      <c r="E849" s="31"/>
      <c r="F849" s="31"/>
      <c r="G849" s="32"/>
      <c r="H849" s="31"/>
      <c r="I849" s="33"/>
      <c r="J849" s="31"/>
      <c r="K849" s="31"/>
    </row>
    <row r="850" spans="1:11" ht="14.4" x14ac:dyDescent="0.3">
      <c r="A850" s="31"/>
      <c r="B850" s="31"/>
      <c r="C850" s="31"/>
      <c r="D850" s="31"/>
      <c r="E850" s="31"/>
      <c r="F850" s="31"/>
      <c r="G850" s="32"/>
      <c r="H850" s="31"/>
      <c r="I850" s="33"/>
      <c r="J850" s="31"/>
      <c r="K850" s="31"/>
    </row>
    <row r="851" spans="1:11" ht="14.4" x14ac:dyDescent="0.3">
      <c r="A851" s="31"/>
      <c r="B851" s="31"/>
      <c r="C851" s="31"/>
      <c r="D851" s="31"/>
      <c r="E851" s="31"/>
      <c r="F851" s="31"/>
      <c r="G851" s="32"/>
      <c r="H851" s="31"/>
      <c r="I851" s="33"/>
      <c r="J851" s="31"/>
      <c r="K851" s="31"/>
    </row>
    <row r="852" spans="1:11" ht="14.4" x14ac:dyDescent="0.3">
      <c r="A852" s="31"/>
      <c r="B852" s="31"/>
      <c r="C852" s="31"/>
      <c r="D852" s="31"/>
      <c r="E852" s="31"/>
      <c r="F852" s="31"/>
      <c r="G852" s="32"/>
      <c r="H852" s="31"/>
      <c r="I852" s="33"/>
      <c r="J852" s="31"/>
      <c r="K852" s="31"/>
    </row>
    <row r="853" spans="1:11" ht="14.4" x14ac:dyDescent="0.3">
      <c r="A853" s="31"/>
      <c r="B853" s="31"/>
      <c r="C853" s="31"/>
      <c r="D853" s="31"/>
      <c r="E853" s="31"/>
      <c r="F853" s="31"/>
      <c r="G853" s="32"/>
      <c r="H853" s="31"/>
      <c r="I853" s="33"/>
      <c r="J853" s="31"/>
      <c r="K853" s="31"/>
    </row>
    <row r="854" spans="1:11" ht="14.4" x14ac:dyDescent="0.3">
      <c r="A854" s="31"/>
      <c r="B854" s="31"/>
      <c r="C854" s="31"/>
      <c r="D854" s="31"/>
      <c r="E854" s="31"/>
      <c r="F854" s="31"/>
      <c r="G854" s="32"/>
      <c r="H854" s="31"/>
      <c r="I854" s="33"/>
      <c r="J854" s="31"/>
      <c r="K854" s="31"/>
    </row>
    <row r="855" spans="1:11" ht="14.4" x14ac:dyDescent="0.3">
      <c r="A855" s="31"/>
      <c r="B855" s="31"/>
      <c r="C855" s="31"/>
      <c r="D855" s="31"/>
      <c r="E855" s="31"/>
      <c r="F855" s="31"/>
      <c r="G855" s="32"/>
      <c r="H855" s="31"/>
      <c r="I855" s="33"/>
      <c r="J855" s="31"/>
      <c r="K855" s="31"/>
    </row>
    <row r="856" spans="1:11" ht="14.4" x14ac:dyDescent="0.3">
      <c r="A856" s="31"/>
      <c r="B856" s="31"/>
      <c r="C856" s="31"/>
      <c r="D856" s="31"/>
      <c r="E856" s="31"/>
      <c r="F856" s="31"/>
      <c r="G856" s="32"/>
      <c r="H856" s="31"/>
      <c r="I856" s="33"/>
      <c r="J856" s="31"/>
      <c r="K856" s="31"/>
    </row>
    <row r="857" spans="1:11" ht="14.4" x14ac:dyDescent="0.3">
      <c r="A857" s="31"/>
      <c r="B857" s="31"/>
      <c r="C857" s="31"/>
      <c r="D857" s="31"/>
      <c r="E857" s="31"/>
      <c r="F857" s="31"/>
      <c r="G857" s="32"/>
      <c r="H857" s="31"/>
      <c r="I857" s="33"/>
      <c r="J857" s="31"/>
      <c r="K857" s="31"/>
    </row>
    <row r="858" spans="1:11" ht="14.4" x14ac:dyDescent="0.3">
      <c r="A858" s="31"/>
      <c r="B858" s="31"/>
      <c r="C858" s="31"/>
      <c r="D858" s="31"/>
      <c r="E858" s="31"/>
      <c r="F858" s="31"/>
      <c r="G858" s="32"/>
      <c r="H858" s="31"/>
      <c r="I858" s="33"/>
      <c r="J858" s="31"/>
      <c r="K858" s="31"/>
    </row>
    <row r="859" spans="1:11" ht="14.4" x14ac:dyDescent="0.3">
      <c r="A859" s="31"/>
      <c r="B859" s="31"/>
      <c r="C859" s="31"/>
      <c r="D859" s="31"/>
      <c r="E859" s="31"/>
      <c r="F859" s="31"/>
      <c r="G859" s="32"/>
      <c r="H859" s="31"/>
      <c r="I859" s="33"/>
      <c r="J859" s="31"/>
      <c r="K859" s="31"/>
    </row>
    <row r="860" spans="1:11" ht="14.4" x14ac:dyDescent="0.3">
      <c r="A860" s="31"/>
      <c r="B860" s="31"/>
      <c r="C860" s="31"/>
      <c r="D860" s="31"/>
      <c r="E860" s="31"/>
      <c r="F860" s="31"/>
      <c r="G860" s="32"/>
      <c r="H860" s="31"/>
      <c r="I860" s="33"/>
      <c r="J860" s="31"/>
      <c r="K860" s="31"/>
    </row>
    <row r="861" spans="1:11" ht="14.4" x14ac:dyDescent="0.3">
      <c r="A861" s="31"/>
      <c r="B861" s="31"/>
      <c r="C861" s="31"/>
      <c r="D861" s="31"/>
      <c r="E861" s="31"/>
      <c r="F861" s="31"/>
      <c r="G861" s="32"/>
      <c r="H861" s="31"/>
      <c r="I861" s="33"/>
      <c r="J861" s="31"/>
      <c r="K861" s="31"/>
    </row>
    <row r="862" spans="1:11" ht="14.4" x14ac:dyDescent="0.3">
      <c r="A862" s="31"/>
      <c r="B862" s="31"/>
      <c r="C862" s="31"/>
      <c r="D862" s="31"/>
      <c r="E862" s="31"/>
      <c r="F862" s="31"/>
      <c r="G862" s="32"/>
      <c r="H862" s="31"/>
      <c r="I862" s="33"/>
      <c r="J862" s="31"/>
      <c r="K862" s="31"/>
    </row>
    <row r="863" spans="1:11" ht="14.4" x14ac:dyDescent="0.3">
      <c r="A863" s="31"/>
      <c r="B863" s="31"/>
      <c r="C863" s="31"/>
      <c r="D863" s="31"/>
      <c r="E863" s="31"/>
      <c r="F863" s="31"/>
      <c r="G863" s="32"/>
      <c r="H863" s="31"/>
      <c r="I863" s="33"/>
      <c r="J863" s="31"/>
      <c r="K863" s="31"/>
    </row>
    <row r="864" spans="1:11" ht="14.4" x14ac:dyDescent="0.3">
      <c r="A864" s="31"/>
      <c r="B864" s="31"/>
      <c r="C864" s="31"/>
      <c r="D864" s="31"/>
      <c r="E864" s="31"/>
      <c r="F864" s="31"/>
      <c r="G864" s="32"/>
      <c r="H864" s="31"/>
      <c r="I864" s="33"/>
      <c r="J864" s="31"/>
      <c r="K864" s="31"/>
    </row>
    <row r="865" spans="1:11" ht="14.4" x14ac:dyDescent="0.3">
      <c r="A865" s="31"/>
      <c r="B865" s="31"/>
      <c r="C865" s="31"/>
      <c r="D865" s="31"/>
      <c r="E865" s="31"/>
      <c r="F865" s="31"/>
      <c r="G865" s="32"/>
      <c r="H865" s="31"/>
      <c r="I865" s="33"/>
      <c r="J865" s="31"/>
      <c r="K865" s="31"/>
    </row>
    <row r="866" spans="1:11" ht="14.4" x14ac:dyDescent="0.3">
      <c r="A866" s="31"/>
      <c r="B866" s="31"/>
      <c r="C866" s="31"/>
      <c r="D866" s="31"/>
      <c r="E866" s="31"/>
      <c r="F866" s="31"/>
      <c r="G866" s="32"/>
      <c r="H866" s="31"/>
      <c r="I866" s="33"/>
      <c r="J866" s="31"/>
      <c r="K866" s="31"/>
    </row>
    <row r="867" spans="1:11" ht="14.4" x14ac:dyDescent="0.3">
      <c r="A867" s="31"/>
      <c r="B867" s="31"/>
      <c r="C867" s="31"/>
      <c r="D867" s="31"/>
      <c r="E867" s="31"/>
      <c r="F867" s="31"/>
      <c r="G867" s="32"/>
      <c r="H867" s="31"/>
      <c r="I867" s="33"/>
      <c r="J867" s="31"/>
      <c r="K867" s="31"/>
    </row>
    <row r="868" spans="1:11" ht="14.4" x14ac:dyDescent="0.3">
      <c r="A868" s="31"/>
      <c r="B868" s="31"/>
      <c r="C868" s="31"/>
      <c r="D868" s="31"/>
      <c r="E868" s="31"/>
      <c r="F868" s="31"/>
      <c r="G868" s="32"/>
      <c r="H868" s="31"/>
      <c r="I868" s="33"/>
      <c r="J868" s="31"/>
      <c r="K868" s="31"/>
    </row>
    <row r="869" spans="1:11" ht="14.4" x14ac:dyDescent="0.3">
      <c r="A869" s="31"/>
      <c r="B869" s="31"/>
      <c r="C869" s="31"/>
      <c r="D869" s="31"/>
      <c r="E869" s="31"/>
      <c r="F869" s="31"/>
      <c r="G869" s="32"/>
      <c r="H869" s="31"/>
      <c r="I869" s="33"/>
      <c r="J869" s="31"/>
      <c r="K869" s="31"/>
    </row>
    <row r="870" spans="1:11" ht="14.4" x14ac:dyDescent="0.3">
      <c r="A870" s="31"/>
      <c r="B870" s="31"/>
      <c r="C870" s="31"/>
      <c r="D870" s="31"/>
      <c r="E870" s="31"/>
      <c r="F870" s="31"/>
      <c r="G870" s="32"/>
      <c r="H870" s="31"/>
      <c r="I870" s="33"/>
      <c r="J870" s="31"/>
      <c r="K870" s="31"/>
    </row>
    <row r="871" spans="1:11" ht="14.4" x14ac:dyDescent="0.3">
      <c r="A871" s="31"/>
      <c r="B871" s="31"/>
      <c r="C871" s="31"/>
      <c r="D871" s="31"/>
      <c r="E871" s="31"/>
      <c r="F871" s="31"/>
      <c r="G871" s="32"/>
      <c r="H871" s="31"/>
      <c r="I871" s="33"/>
      <c r="J871" s="31"/>
      <c r="K871" s="31"/>
    </row>
    <row r="872" spans="1:11" ht="14.4" x14ac:dyDescent="0.3">
      <c r="A872" s="31"/>
      <c r="B872" s="31"/>
      <c r="C872" s="31"/>
      <c r="D872" s="31"/>
      <c r="E872" s="31"/>
      <c r="F872" s="31"/>
      <c r="G872" s="32"/>
      <c r="H872" s="31"/>
      <c r="I872" s="33"/>
      <c r="J872" s="31"/>
      <c r="K872" s="31"/>
    </row>
    <row r="873" spans="1:11" ht="14.4" x14ac:dyDescent="0.3">
      <c r="A873" s="31"/>
      <c r="B873" s="31"/>
      <c r="C873" s="31"/>
      <c r="D873" s="31"/>
      <c r="E873" s="31"/>
      <c r="F873" s="31"/>
      <c r="G873" s="32"/>
      <c r="H873" s="31"/>
      <c r="I873" s="33"/>
      <c r="J873" s="31"/>
      <c r="K873" s="31"/>
    </row>
    <row r="874" spans="1:11" ht="14.4" x14ac:dyDescent="0.3">
      <c r="A874" s="31"/>
      <c r="B874" s="31"/>
      <c r="C874" s="31"/>
      <c r="D874" s="31"/>
      <c r="E874" s="31"/>
      <c r="F874" s="31"/>
      <c r="G874" s="32"/>
      <c r="H874" s="31"/>
      <c r="I874" s="33"/>
      <c r="J874" s="31"/>
      <c r="K874" s="31"/>
    </row>
    <row r="875" spans="1:11" ht="14.4" x14ac:dyDescent="0.3">
      <c r="A875" s="31"/>
      <c r="B875" s="31"/>
      <c r="C875" s="31"/>
      <c r="D875" s="31"/>
      <c r="E875" s="31"/>
      <c r="F875" s="31"/>
      <c r="G875" s="32"/>
      <c r="H875" s="31"/>
      <c r="I875" s="33"/>
      <c r="J875" s="31"/>
      <c r="K875" s="31"/>
    </row>
    <row r="876" spans="1:11" ht="14.4" x14ac:dyDescent="0.3">
      <c r="A876" s="31"/>
      <c r="B876" s="31"/>
      <c r="C876" s="31"/>
      <c r="D876" s="31"/>
      <c r="E876" s="31"/>
      <c r="F876" s="31"/>
      <c r="G876" s="32"/>
      <c r="H876" s="31"/>
      <c r="I876" s="33"/>
      <c r="J876" s="31"/>
      <c r="K876" s="31"/>
    </row>
    <row r="877" spans="1:11" ht="14.4" x14ac:dyDescent="0.3">
      <c r="A877" s="31"/>
      <c r="B877" s="31"/>
      <c r="C877" s="31"/>
      <c r="D877" s="31"/>
      <c r="E877" s="31"/>
      <c r="F877" s="31"/>
      <c r="G877" s="32"/>
      <c r="H877" s="31"/>
      <c r="I877" s="33"/>
      <c r="J877" s="31"/>
      <c r="K877" s="31"/>
    </row>
    <row r="878" spans="1:11" ht="14.4" x14ac:dyDescent="0.3">
      <c r="A878" s="31"/>
      <c r="B878" s="31"/>
      <c r="C878" s="31"/>
      <c r="D878" s="31"/>
      <c r="E878" s="31"/>
      <c r="F878" s="31"/>
      <c r="G878" s="32"/>
      <c r="H878" s="31"/>
      <c r="I878" s="33"/>
      <c r="J878" s="31"/>
      <c r="K878" s="31"/>
    </row>
    <row r="879" spans="1:11" ht="14.4" x14ac:dyDescent="0.3">
      <c r="A879" s="31"/>
      <c r="B879" s="31"/>
      <c r="C879" s="31"/>
      <c r="D879" s="31"/>
      <c r="E879" s="31"/>
      <c r="F879" s="31"/>
      <c r="G879" s="32"/>
      <c r="H879" s="31"/>
      <c r="I879" s="33"/>
      <c r="J879" s="31"/>
      <c r="K879" s="31"/>
    </row>
    <row r="880" spans="1:11" ht="14.4" x14ac:dyDescent="0.3">
      <c r="A880" s="31"/>
      <c r="B880" s="31"/>
      <c r="C880" s="31"/>
      <c r="D880" s="31"/>
      <c r="E880" s="31"/>
      <c r="F880" s="31"/>
      <c r="G880" s="32"/>
      <c r="H880" s="31"/>
      <c r="I880" s="33"/>
      <c r="J880" s="31"/>
      <c r="K880" s="31"/>
    </row>
    <row r="881" spans="1:11" ht="14.4" x14ac:dyDescent="0.3">
      <c r="A881" s="31"/>
      <c r="B881" s="31"/>
      <c r="C881" s="31"/>
      <c r="D881" s="31"/>
      <c r="E881" s="31"/>
      <c r="F881" s="31"/>
      <c r="G881" s="32"/>
      <c r="H881" s="31"/>
      <c r="I881" s="33"/>
      <c r="J881" s="31"/>
      <c r="K881" s="31"/>
    </row>
    <row r="882" spans="1:11" ht="14.4" x14ac:dyDescent="0.3">
      <c r="A882" s="31"/>
      <c r="B882" s="31"/>
      <c r="C882" s="31"/>
      <c r="D882" s="31"/>
      <c r="E882" s="31"/>
      <c r="F882" s="31"/>
      <c r="G882" s="32"/>
      <c r="H882" s="31"/>
      <c r="I882" s="33"/>
      <c r="J882" s="31"/>
      <c r="K882" s="31"/>
    </row>
    <row r="883" spans="1:11" ht="14.4" x14ac:dyDescent="0.3">
      <c r="A883" s="31"/>
      <c r="B883" s="31"/>
      <c r="C883" s="31"/>
      <c r="D883" s="31"/>
      <c r="E883" s="31"/>
      <c r="F883" s="31"/>
      <c r="G883" s="32"/>
      <c r="H883" s="31"/>
      <c r="I883" s="33"/>
      <c r="J883" s="31"/>
      <c r="K883" s="31"/>
    </row>
    <row r="884" spans="1:11" ht="14.4" x14ac:dyDescent="0.3">
      <c r="A884" s="31"/>
      <c r="B884" s="31"/>
      <c r="C884" s="31"/>
      <c r="D884" s="31"/>
      <c r="E884" s="31"/>
      <c r="F884" s="31"/>
      <c r="G884" s="32"/>
      <c r="H884" s="31"/>
      <c r="I884" s="33"/>
      <c r="J884" s="31"/>
      <c r="K884" s="31"/>
    </row>
    <row r="885" spans="1:11" ht="14.4" x14ac:dyDescent="0.3">
      <c r="A885" s="31"/>
      <c r="B885" s="31"/>
      <c r="C885" s="31"/>
      <c r="D885" s="31"/>
      <c r="E885" s="31"/>
      <c r="F885" s="31"/>
      <c r="G885" s="32"/>
      <c r="H885" s="31"/>
      <c r="I885" s="33"/>
      <c r="J885" s="31"/>
      <c r="K885" s="31"/>
    </row>
    <row r="886" spans="1:11" ht="14.4" x14ac:dyDescent="0.3">
      <c r="A886" s="31"/>
      <c r="B886" s="31"/>
      <c r="C886" s="31"/>
      <c r="D886" s="31"/>
      <c r="E886" s="31"/>
      <c r="F886" s="31"/>
      <c r="G886" s="32"/>
      <c r="H886" s="31"/>
      <c r="I886" s="33"/>
      <c r="J886" s="31"/>
      <c r="K886" s="31"/>
    </row>
    <row r="887" spans="1:11" ht="14.4" x14ac:dyDescent="0.3">
      <c r="A887" s="31"/>
      <c r="B887" s="31"/>
      <c r="C887" s="31"/>
      <c r="D887" s="31"/>
      <c r="E887" s="31"/>
      <c r="F887" s="31"/>
      <c r="G887" s="32"/>
      <c r="H887" s="31"/>
      <c r="I887" s="33"/>
      <c r="J887" s="31"/>
      <c r="K887" s="31"/>
    </row>
    <row r="888" spans="1:11" ht="14.4" x14ac:dyDescent="0.3">
      <c r="A888" s="31"/>
      <c r="B888" s="31"/>
      <c r="C888" s="31"/>
      <c r="D888" s="31"/>
      <c r="E888" s="31"/>
      <c r="F888" s="31"/>
      <c r="G888" s="32"/>
      <c r="H888" s="31"/>
      <c r="I888" s="33"/>
      <c r="J888" s="31"/>
      <c r="K888" s="31"/>
    </row>
    <row r="889" spans="1:11" ht="14.4" x14ac:dyDescent="0.3">
      <c r="A889" s="31"/>
      <c r="B889" s="31"/>
      <c r="C889" s="31"/>
      <c r="D889" s="31"/>
      <c r="E889" s="31"/>
      <c r="F889" s="31"/>
      <c r="G889" s="32"/>
      <c r="H889" s="31"/>
      <c r="I889" s="33"/>
      <c r="J889" s="31"/>
      <c r="K889" s="31"/>
    </row>
    <row r="890" spans="1:11" ht="14.4" x14ac:dyDescent="0.3">
      <c r="A890" s="31"/>
      <c r="B890" s="31"/>
      <c r="C890" s="31"/>
      <c r="D890" s="31"/>
      <c r="E890" s="31"/>
      <c r="F890" s="31"/>
      <c r="G890" s="32"/>
      <c r="H890" s="31"/>
      <c r="I890" s="33"/>
      <c r="J890" s="31"/>
      <c r="K890" s="31"/>
    </row>
    <row r="891" spans="1:11" ht="14.4" x14ac:dyDescent="0.3">
      <c r="A891" s="31"/>
      <c r="B891" s="31"/>
      <c r="C891" s="31"/>
      <c r="D891" s="31"/>
      <c r="E891" s="31"/>
      <c r="F891" s="31"/>
      <c r="G891" s="32"/>
      <c r="H891" s="31"/>
      <c r="I891" s="33"/>
      <c r="J891" s="31"/>
      <c r="K891" s="31"/>
    </row>
    <row r="892" spans="1:11" ht="14.4" x14ac:dyDescent="0.3">
      <c r="A892" s="31"/>
      <c r="B892" s="31"/>
      <c r="C892" s="31"/>
      <c r="D892" s="31"/>
      <c r="E892" s="31"/>
      <c r="F892" s="31"/>
      <c r="G892" s="32"/>
      <c r="H892" s="31"/>
      <c r="I892" s="33"/>
      <c r="J892" s="31"/>
      <c r="K892" s="31"/>
    </row>
    <row r="893" spans="1:11" ht="14.4" x14ac:dyDescent="0.3">
      <c r="A893" s="31"/>
      <c r="B893" s="31"/>
      <c r="C893" s="31"/>
      <c r="D893" s="31"/>
      <c r="E893" s="31"/>
      <c r="F893" s="31"/>
      <c r="G893" s="32"/>
      <c r="H893" s="31"/>
      <c r="I893" s="33"/>
      <c r="J893" s="31"/>
      <c r="K893" s="31"/>
    </row>
    <row r="894" spans="1:11" ht="14.4" x14ac:dyDescent="0.3">
      <c r="A894" s="31"/>
      <c r="B894" s="31"/>
      <c r="C894" s="31"/>
      <c r="D894" s="31"/>
      <c r="E894" s="31"/>
      <c r="F894" s="31"/>
      <c r="G894" s="32"/>
      <c r="H894" s="31"/>
      <c r="I894" s="33"/>
      <c r="J894" s="31"/>
      <c r="K894" s="31"/>
    </row>
    <row r="895" spans="1:11" ht="14.4" x14ac:dyDescent="0.3">
      <c r="A895" s="31"/>
      <c r="B895" s="31"/>
      <c r="C895" s="31"/>
      <c r="D895" s="31"/>
      <c r="E895" s="31"/>
      <c r="F895" s="31"/>
      <c r="G895" s="32"/>
      <c r="H895" s="31"/>
      <c r="I895" s="33"/>
      <c r="J895" s="31"/>
      <c r="K895" s="31"/>
    </row>
    <row r="896" spans="1:11" ht="14.4" x14ac:dyDescent="0.3">
      <c r="A896" s="31"/>
      <c r="B896" s="31"/>
      <c r="C896" s="31"/>
      <c r="D896" s="31"/>
      <c r="E896" s="31"/>
      <c r="F896" s="31"/>
      <c r="G896" s="32"/>
      <c r="H896" s="31"/>
      <c r="I896" s="33"/>
      <c r="J896" s="31"/>
      <c r="K896" s="31"/>
    </row>
    <row r="897" spans="1:11" ht="14.4" x14ac:dyDescent="0.3">
      <c r="A897" s="31"/>
      <c r="B897" s="31"/>
      <c r="C897" s="31"/>
      <c r="D897" s="31"/>
      <c r="E897" s="31"/>
      <c r="F897" s="31"/>
      <c r="G897" s="32"/>
      <c r="H897" s="31"/>
      <c r="I897" s="33"/>
      <c r="J897" s="31"/>
      <c r="K897" s="31"/>
    </row>
    <row r="898" spans="1:11" ht="14.4" x14ac:dyDescent="0.3">
      <c r="A898" s="31"/>
      <c r="B898" s="31"/>
      <c r="C898" s="31"/>
      <c r="D898" s="31"/>
      <c r="E898" s="31"/>
      <c r="F898" s="31"/>
      <c r="G898" s="32"/>
      <c r="H898" s="31"/>
      <c r="I898" s="33"/>
      <c r="J898" s="31"/>
      <c r="K898" s="31"/>
    </row>
    <row r="899" spans="1:11" ht="14.4" x14ac:dyDescent="0.3">
      <c r="A899" s="31"/>
      <c r="B899" s="31"/>
      <c r="C899" s="31"/>
      <c r="D899" s="31"/>
      <c r="E899" s="31"/>
      <c r="F899" s="31"/>
      <c r="G899" s="32"/>
      <c r="H899" s="31"/>
      <c r="I899" s="33"/>
      <c r="J899" s="31"/>
      <c r="K899" s="31"/>
    </row>
    <row r="900" spans="1:11" ht="14.4" x14ac:dyDescent="0.3">
      <c r="A900" s="31"/>
      <c r="B900" s="31"/>
      <c r="C900" s="31"/>
      <c r="D900" s="31"/>
      <c r="E900" s="31"/>
      <c r="F900" s="31"/>
      <c r="G900" s="32"/>
      <c r="H900" s="31"/>
      <c r="I900" s="33"/>
      <c r="J900" s="31"/>
      <c r="K900" s="31"/>
    </row>
    <row r="901" spans="1:11" ht="14.4" x14ac:dyDescent="0.3">
      <c r="A901" s="31"/>
      <c r="B901" s="31"/>
      <c r="C901" s="31"/>
      <c r="D901" s="31"/>
      <c r="E901" s="31"/>
      <c r="F901" s="31"/>
      <c r="G901" s="32"/>
      <c r="H901" s="31"/>
      <c r="I901" s="33"/>
      <c r="J901" s="31"/>
      <c r="K901" s="31"/>
    </row>
    <row r="902" spans="1:11" ht="14.4" x14ac:dyDescent="0.3">
      <c r="A902" s="31"/>
      <c r="B902" s="31"/>
      <c r="C902" s="31"/>
      <c r="D902" s="31"/>
      <c r="E902" s="31"/>
      <c r="F902" s="31"/>
      <c r="G902" s="32"/>
      <c r="H902" s="31"/>
      <c r="I902" s="33"/>
      <c r="J902" s="31"/>
      <c r="K902" s="31"/>
    </row>
    <row r="903" spans="1:11" ht="14.4" x14ac:dyDescent="0.3">
      <c r="A903" s="31"/>
      <c r="B903" s="31"/>
      <c r="C903" s="31"/>
      <c r="D903" s="31"/>
      <c r="E903" s="31"/>
      <c r="F903" s="31"/>
      <c r="G903" s="32"/>
      <c r="H903" s="31"/>
      <c r="I903" s="33"/>
      <c r="J903" s="31"/>
      <c r="K903" s="31"/>
    </row>
    <row r="904" spans="1:11" ht="14.4" x14ac:dyDescent="0.3">
      <c r="A904" s="31"/>
      <c r="B904" s="31"/>
      <c r="C904" s="31"/>
      <c r="D904" s="31"/>
      <c r="E904" s="31"/>
      <c r="F904" s="31"/>
      <c r="G904" s="32"/>
      <c r="H904" s="31"/>
      <c r="I904" s="33"/>
      <c r="J904" s="31"/>
      <c r="K904" s="31"/>
    </row>
    <row r="905" spans="1:11" ht="14.4" x14ac:dyDescent="0.3">
      <c r="A905" s="31"/>
      <c r="B905" s="31"/>
      <c r="C905" s="31"/>
      <c r="D905" s="31"/>
      <c r="E905" s="31"/>
      <c r="F905" s="31"/>
      <c r="G905" s="32"/>
      <c r="H905" s="31"/>
      <c r="I905" s="33"/>
      <c r="J905" s="31"/>
      <c r="K905" s="31"/>
    </row>
    <row r="906" spans="1:11" ht="14.4" x14ac:dyDescent="0.3">
      <c r="A906" s="31"/>
      <c r="B906" s="31"/>
      <c r="C906" s="31"/>
      <c r="D906" s="31"/>
      <c r="E906" s="31"/>
      <c r="F906" s="31"/>
      <c r="G906" s="32"/>
      <c r="H906" s="31"/>
      <c r="I906" s="33"/>
      <c r="J906" s="31"/>
      <c r="K906" s="31"/>
    </row>
    <row r="907" spans="1:11" ht="14.4" x14ac:dyDescent="0.3">
      <c r="A907" s="31"/>
      <c r="B907" s="31"/>
      <c r="C907" s="31"/>
      <c r="D907" s="31"/>
      <c r="E907" s="31"/>
      <c r="F907" s="31"/>
      <c r="G907" s="32"/>
      <c r="H907" s="31"/>
      <c r="I907" s="33"/>
      <c r="J907" s="31"/>
      <c r="K907" s="31"/>
    </row>
    <row r="908" spans="1:11" ht="14.4" x14ac:dyDescent="0.3">
      <c r="A908" s="31"/>
      <c r="B908" s="31"/>
      <c r="C908" s="31"/>
      <c r="D908" s="31"/>
      <c r="E908" s="31"/>
      <c r="F908" s="31"/>
      <c r="G908" s="32"/>
      <c r="H908" s="31"/>
      <c r="I908" s="33"/>
      <c r="J908" s="31"/>
      <c r="K908" s="31"/>
    </row>
    <row r="909" spans="1:11" ht="14.4" x14ac:dyDescent="0.3">
      <c r="A909" s="31"/>
      <c r="B909" s="31"/>
      <c r="C909" s="31"/>
      <c r="D909" s="31"/>
      <c r="E909" s="31"/>
      <c r="F909" s="31"/>
      <c r="G909" s="32"/>
      <c r="H909" s="31"/>
      <c r="I909" s="33"/>
      <c r="J909" s="31"/>
      <c r="K909" s="31"/>
    </row>
    <row r="910" spans="1:11" ht="14.4" x14ac:dyDescent="0.3">
      <c r="A910" s="31"/>
      <c r="B910" s="31"/>
      <c r="C910" s="31"/>
      <c r="D910" s="31"/>
      <c r="E910" s="31"/>
      <c r="F910" s="31"/>
      <c r="G910" s="32"/>
      <c r="H910" s="31"/>
      <c r="I910" s="33"/>
      <c r="J910" s="31"/>
      <c r="K910" s="31"/>
    </row>
    <row r="911" spans="1:11" ht="14.4" x14ac:dyDescent="0.3">
      <c r="A911" s="31"/>
      <c r="B911" s="31"/>
      <c r="C911" s="31"/>
      <c r="D911" s="31"/>
      <c r="E911" s="31"/>
      <c r="F911" s="31"/>
      <c r="G911" s="32"/>
      <c r="H911" s="31"/>
      <c r="I911" s="33"/>
      <c r="J911" s="31"/>
      <c r="K911" s="31"/>
    </row>
    <row r="912" spans="1:11" ht="14.4" x14ac:dyDescent="0.3">
      <c r="A912" s="31"/>
      <c r="B912" s="31"/>
      <c r="C912" s="31"/>
      <c r="D912" s="31"/>
      <c r="E912" s="31"/>
      <c r="F912" s="31"/>
      <c r="G912" s="32"/>
      <c r="H912" s="31"/>
      <c r="I912" s="33"/>
      <c r="J912" s="31"/>
      <c r="K912" s="31"/>
    </row>
    <row r="913" spans="1:11" ht="14.4" x14ac:dyDescent="0.3">
      <c r="A913" s="31"/>
      <c r="B913" s="31"/>
      <c r="C913" s="31"/>
      <c r="D913" s="31"/>
      <c r="E913" s="31"/>
      <c r="F913" s="31"/>
      <c r="G913" s="32"/>
      <c r="H913" s="31"/>
      <c r="I913" s="33"/>
      <c r="J913" s="31"/>
      <c r="K913" s="31"/>
    </row>
    <row r="914" spans="1:11" ht="14.4" x14ac:dyDescent="0.3">
      <c r="A914" s="31"/>
      <c r="B914" s="31"/>
      <c r="C914" s="31"/>
      <c r="D914" s="31"/>
      <c r="E914" s="31"/>
      <c r="F914" s="31"/>
      <c r="G914" s="32"/>
      <c r="H914" s="31"/>
      <c r="I914" s="33"/>
      <c r="J914" s="31"/>
      <c r="K914" s="31"/>
    </row>
    <row r="915" spans="1:11" ht="14.4" x14ac:dyDescent="0.3">
      <c r="A915" s="31"/>
      <c r="B915" s="31"/>
      <c r="C915" s="31"/>
      <c r="D915" s="31"/>
      <c r="E915" s="31"/>
      <c r="F915" s="31"/>
      <c r="G915" s="32"/>
      <c r="H915" s="31"/>
      <c r="I915" s="33"/>
      <c r="J915" s="31"/>
      <c r="K915" s="31"/>
    </row>
    <row r="916" spans="1:11" ht="14.4" x14ac:dyDescent="0.3">
      <c r="A916" s="31"/>
      <c r="B916" s="31"/>
      <c r="C916" s="31"/>
      <c r="D916" s="31"/>
      <c r="E916" s="31"/>
      <c r="F916" s="31"/>
      <c r="G916" s="32"/>
      <c r="H916" s="31"/>
      <c r="I916" s="33"/>
      <c r="J916" s="31"/>
      <c r="K916" s="31"/>
    </row>
    <row r="917" spans="1:11" ht="14.4" x14ac:dyDescent="0.3">
      <c r="A917" s="31"/>
      <c r="B917" s="31"/>
      <c r="C917" s="31"/>
      <c r="D917" s="31"/>
      <c r="E917" s="31"/>
      <c r="F917" s="31"/>
      <c r="G917" s="32"/>
      <c r="H917" s="31"/>
      <c r="I917" s="33"/>
      <c r="J917" s="31"/>
      <c r="K917" s="31"/>
    </row>
    <row r="918" spans="1:11" ht="14.4" x14ac:dyDescent="0.3">
      <c r="A918" s="31"/>
      <c r="B918" s="31"/>
      <c r="C918" s="31"/>
      <c r="D918" s="31"/>
      <c r="E918" s="31"/>
      <c r="F918" s="31"/>
      <c r="G918" s="32"/>
      <c r="H918" s="31"/>
      <c r="I918" s="33"/>
      <c r="J918" s="31"/>
      <c r="K918" s="31"/>
    </row>
    <row r="919" spans="1:11" ht="14.4" x14ac:dyDescent="0.3">
      <c r="A919" s="31"/>
      <c r="B919" s="31"/>
      <c r="C919" s="31"/>
      <c r="D919" s="31"/>
      <c r="E919" s="31"/>
      <c r="F919" s="31"/>
      <c r="G919" s="32"/>
      <c r="H919" s="31"/>
      <c r="I919" s="33"/>
      <c r="J919" s="31"/>
      <c r="K919" s="31"/>
    </row>
    <row r="920" spans="1:11" ht="14.4" x14ac:dyDescent="0.3">
      <c r="A920" s="31"/>
      <c r="B920" s="31"/>
      <c r="C920" s="31"/>
      <c r="D920" s="31"/>
      <c r="E920" s="31"/>
      <c r="F920" s="31"/>
      <c r="G920" s="32"/>
      <c r="H920" s="31"/>
      <c r="I920" s="33"/>
      <c r="J920" s="31"/>
      <c r="K920" s="31"/>
    </row>
    <row r="921" spans="1:11" ht="14.4" x14ac:dyDescent="0.3">
      <c r="A921" s="31"/>
      <c r="B921" s="31"/>
      <c r="C921" s="31"/>
      <c r="D921" s="31"/>
      <c r="E921" s="31"/>
      <c r="F921" s="31"/>
      <c r="G921" s="32"/>
      <c r="H921" s="31"/>
      <c r="I921" s="33"/>
      <c r="J921" s="31"/>
      <c r="K921" s="31"/>
    </row>
    <row r="922" spans="1:11" ht="14.4" x14ac:dyDescent="0.3">
      <c r="A922" s="31"/>
      <c r="B922" s="31"/>
      <c r="C922" s="31"/>
      <c r="D922" s="31"/>
      <c r="E922" s="31"/>
      <c r="F922" s="31"/>
      <c r="G922" s="32"/>
      <c r="H922" s="31"/>
      <c r="I922" s="33"/>
      <c r="J922" s="31"/>
      <c r="K922" s="31"/>
    </row>
    <row r="923" spans="1:11" ht="14.4" x14ac:dyDescent="0.3">
      <c r="A923" s="31"/>
      <c r="B923" s="31"/>
      <c r="C923" s="31"/>
      <c r="D923" s="31"/>
      <c r="E923" s="31"/>
      <c r="F923" s="31"/>
      <c r="G923" s="32"/>
      <c r="H923" s="31"/>
      <c r="I923" s="33"/>
      <c r="J923" s="31"/>
      <c r="K923" s="31"/>
    </row>
    <row r="924" spans="1:11" ht="14.4" x14ac:dyDescent="0.3">
      <c r="A924" s="31"/>
      <c r="B924" s="31"/>
      <c r="C924" s="31"/>
      <c r="D924" s="31"/>
      <c r="E924" s="31"/>
      <c r="F924" s="31"/>
      <c r="G924" s="32"/>
      <c r="H924" s="31"/>
      <c r="I924" s="33"/>
      <c r="J924" s="31"/>
      <c r="K924" s="31"/>
    </row>
    <row r="925" spans="1:11" ht="14.4" x14ac:dyDescent="0.3">
      <c r="A925" s="31"/>
      <c r="B925" s="31"/>
      <c r="C925" s="31"/>
      <c r="D925" s="31"/>
      <c r="E925" s="31"/>
      <c r="F925" s="31"/>
      <c r="G925" s="32"/>
      <c r="H925" s="31"/>
      <c r="I925" s="33"/>
      <c r="J925" s="31"/>
      <c r="K925" s="31"/>
    </row>
    <row r="926" spans="1:11" ht="14.4" x14ac:dyDescent="0.3">
      <c r="A926" s="31"/>
      <c r="B926" s="31"/>
      <c r="C926" s="31"/>
      <c r="D926" s="31"/>
      <c r="E926" s="31"/>
      <c r="F926" s="31"/>
      <c r="G926" s="32"/>
      <c r="H926" s="31"/>
      <c r="I926" s="33"/>
      <c r="J926" s="31"/>
      <c r="K926" s="31"/>
    </row>
    <row r="927" spans="1:11" ht="14.4" x14ac:dyDescent="0.3">
      <c r="A927" s="31"/>
      <c r="B927" s="31"/>
      <c r="C927" s="31"/>
      <c r="D927" s="31"/>
      <c r="E927" s="31"/>
      <c r="F927" s="31"/>
      <c r="G927" s="32"/>
      <c r="H927" s="31"/>
      <c r="I927" s="33"/>
      <c r="J927" s="31"/>
      <c r="K927" s="31"/>
    </row>
    <row r="928" spans="1:11" ht="14.4" x14ac:dyDescent="0.3">
      <c r="A928" s="31"/>
      <c r="B928" s="31"/>
      <c r="C928" s="31"/>
      <c r="D928" s="31"/>
      <c r="E928" s="31"/>
      <c r="F928" s="31"/>
      <c r="G928" s="32"/>
      <c r="H928" s="31"/>
      <c r="I928" s="33"/>
      <c r="J928" s="31"/>
      <c r="K928" s="31"/>
    </row>
    <row r="929" spans="1:11" ht="14.4" x14ac:dyDescent="0.3">
      <c r="A929" s="31"/>
      <c r="B929" s="31"/>
      <c r="C929" s="31"/>
      <c r="D929" s="31"/>
      <c r="E929" s="31"/>
      <c r="F929" s="31"/>
      <c r="G929" s="32"/>
      <c r="H929" s="31"/>
      <c r="I929" s="33"/>
      <c r="J929" s="31"/>
      <c r="K929" s="31"/>
    </row>
    <row r="930" spans="1:11" ht="14.4" x14ac:dyDescent="0.3">
      <c r="A930" s="31"/>
      <c r="B930" s="31"/>
      <c r="C930" s="31"/>
      <c r="D930" s="31"/>
      <c r="E930" s="31"/>
      <c r="F930" s="31"/>
      <c r="G930" s="32"/>
      <c r="H930" s="31"/>
      <c r="I930" s="33"/>
      <c r="J930" s="31"/>
      <c r="K930" s="31"/>
    </row>
    <row r="931" spans="1:11" ht="14.4" x14ac:dyDescent="0.3">
      <c r="A931" s="31"/>
      <c r="B931" s="31"/>
      <c r="C931" s="31"/>
      <c r="D931" s="31"/>
      <c r="E931" s="31"/>
      <c r="F931" s="31"/>
      <c r="G931" s="32"/>
      <c r="H931" s="31"/>
      <c r="I931" s="33"/>
      <c r="J931" s="31"/>
      <c r="K931" s="31"/>
    </row>
    <row r="932" spans="1:11" ht="14.4" x14ac:dyDescent="0.3">
      <c r="A932" s="31"/>
      <c r="B932" s="31"/>
      <c r="C932" s="31"/>
      <c r="D932" s="31"/>
      <c r="E932" s="31"/>
      <c r="F932" s="31"/>
      <c r="G932" s="32"/>
      <c r="H932" s="31"/>
      <c r="I932" s="33"/>
      <c r="J932" s="31"/>
      <c r="K932" s="31"/>
    </row>
    <row r="933" spans="1:11" ht="14.4" x14ac:dyDescent="0.3">
      <c r="A933" s="31"/>
      <c r="B933" s="31"/>
      <c r="C933" s="31"/>
      <c r="D933" s="31"/>
      <c r="E933" s="31"/>
      <c r="F933" s="31"/>
      <c r="G933" s="32"/>
      <c r="H933" s="31"/>
      <c r="I933" s="33"/>
      <c r="J933" s="31"/>
      <c r="K933" s="31"/>
    </row>
    <row r="934" spans="1:11" ht="14.4" x14ac:dyDescent="0.3">
      <c r="A934" s="31"/>
      <c r="B934" s="31"/>
      <c r="C934" s="31"/>
      <c r="D934" s="31"/>
      <c r="E934" s="31"/>
      <c r="F934" s="31"/>
      <c r="G934" s="32"/>
      <c r="H934" s="31"/>
      <c r="I934" s="33"/>
      <c r="J934" s="31"/>
      <c r="K934" s="31"/>
    </row>
    <row r="935" spans="1:11" ht="14.4" x14ac:dyDescent="0.3">
      <c r="A935" s="31"/>
      <c r="B935" s="31"/>
      <c r="C935" s="31"/>
      <c r="D935" s="31"/>
      <c r="E935" s="31"/>
      <c r="F935" s="31"/>
      <c r="G935" s="32"/>
      <c r="H935" s="31"/>
      <c r="I935" s="33"/>
      <c r="J935" s="31"/>
      <c r="K935" s="31"/>
    </row>
    <row r="936" spans="1:11" ht="14.4" x14ac:dyDescent="0.3">
      <c r="A936" s="31"/>
      <c r="B936" s="31"/>
      <c r="C936" s="31"/>
      <c r="D936" s="31"/>
      <c r="E936" s="31"/>
      <c r="F936" s="31"/>
      <c r="G936" s="32"/>
      <c r="H936" s="31"/>
      <c r="I936" s="33"/>
      <c r="J936" s="31"/>
      <c r="K936" s="31"/>
    </row>
    <row r="937" spans="1:11" ht="14.4" x14ac:dyDescent="0.3">
      <c r="A937" s="31"/>
      <c r="B937" s="31"/>
      <c r="C937" s="31"/>
      <c r="D937" s="31"/>
      <c r="E937" s="31"/>
      <c r="F937" s="31"/>
      <c r="G937" s="32"/>
      <c r="H937" s="31"/>
      <c r="I937" s="33"/>
      <c r="J937" s="31"/>
      <c r="K937" s="31"/>
    </row>
    <row r="938" spans="1:11" ht="14.4" x14ac:dyDescent="0.3">
      <c r="A938" s="31"/>
      <c r="B938" s="31"/>
      <c r="C938" s="31"/>
      <c r="D938" s="31"/>
      <c r="E938" s="31"/>
      <c r="F938" s="31"/>
      <c r="G938" s="32"/>
      <c r="H938" s="31"/>
      <c r="I938" s="33"/>
      <c r="J938" s="31"/>
      <c r="K938" s="31"/>
    </row>
    <row r="939" spans="1:11" ht="14.4" x14ac:dyDescent="0.3">
      <c r="A939" s="31"/>
      <c r="B939" s="31"/>
      <c r="C939" s="31"/>
      <c r="D939" s="31"/>
      <c r="E939" s="31"/>
      <c r="F939" s="31"/>
      <c r="G939" s="32"/>
      <c r="H939" s="31"/>
      <c r="I939" s="33"/>
      <c r="J939" s="31"/>
      <c r="K939" s="31"/>
    </row>
    <row r="940" spans="1:11" ht="14.4" x14ac:dyDescent="0.3">
      <c r="A940" s="31"/>
      <c r="B940" s="31"/>
      <c r="C940" s="31"/>
      <c r="D940" s="31"/>
      <c r="E940" s="31"/>
      <c r="F940" s="31"/>
      <c r="G940" s="32"/>
      <c r="H940" s="31"/>
      <c r="I940" s="33"/>
      <c r="J940" s="31"/>
      <c r="K940" s="31"/>
    </row>
    <row r="941" spans="1:11" ht="14.4" x14ac:dyDescent="0.3">
      <c r="A941" s="31"/>
      <c r="B941" s="31"/>
      <c r="C941" s="31"/>
      <c r="D941" s="31"/>
      <c r="E941" s="31"/>
      <c r="F941" s="31"/>
      <c r="G941" s="32"/>
      <c r="H941" s="31"/>
      <c r="I941" s="33"/>
      <c r="J941" s="31"/>
      <c r="K941" s="31"/>
    </row>
    <row r="942" spans="1:11" ht="14.4" x14ac:dyDescent="0.3">
      <c r="A942" s="31"/>
      <c r="B942" s="31"/>
      <c r="C942" s="31"/>
      <c r="D942" s="31"/>
      <c r="E942" s="31"/>
      <c r="F942" s="31"/>
      <c r="G942" s="32"/>
      <c r="H942" s="31"/>
      <c r="I942" s="33"/>
      <c r="J942" s="31"/>
      <c r="K942" s="31"/>
    </row>
    <row r="943" spans="1:11" ht="14.4" x14ac:dyDescent="0.3">
      <c r="A943" s="31"/>
      <c r="B943" s="31"/>
      <c r="C943" s="31"/>
      <c r="D943" s="31"/>
      <c r="E943" s="31"/>
      <c r="F943" s="31"/>
      <c r="G943" s="32"/>
      <c r="H943" s="31"/>
      <c r="I943" s="33"/>
      <c r="J943" s="31"/>
      <c r="K943" s="31"/>
    </row>
    <row r="944" spans="1:11" ht="14.4" x14ac:dyDescent="0.3">
      <c r="A944" s="31"/>
      <c r="B944" s="31"/>
      <c r="C944" s="31"/>
      <c r="D944" s="31"/>
      <c r="E944" s="31"/>
      <c r="F944" s="31"/>
      <c r="G944" s="32"/>
      <c r="H944" s="31"/>
      <c r="I944" s="33"/>
      <c r="J944" s="31"/>
      <c r="K944" s="31"/>
    </row>
    <row r="945" spans="1:11" ht="14.4" x14ac:dyDescent="0.3">
      <c r="A945" s="31"/>
      <c r="B945" s="31"/>
      <c r="C945" s="31"/>
      <c r="D945" s="31"/>
      <c r="E945" s="31"/>
      <c r="F945" s="31"/>
      <c r="G945" s="32"/>
      <c r="H945" s="31"/>
      <c r="I945" s="33"/>
      <c r="J945" s="31"/>
      <c r="K945" s="31"/>
    </row>
    <row r="946" spans="1:11" ht="14.4" x14ac:dyDescent="0.3">
      <c r="A946" s="31"/>
      <c r="B946" s="31"/>
      <c r="C946" s="31"/>
      <c r="D946" s="31"/>
      <c r="E946" s="31"/>
      <c r="F946" s="31"/>
      <c r="G946" s="32"/>
      <c r="H946" s="31"/>
      <c r="I946" s="33"/>
      <c r="J946" s="31"/>
      <c r="K946" s="31"/>
    </row>
    <row r="947" spans="1:11" ht="14.4" x14ac:dyDescent="0.3">
      <c r="A947" s="31"/>
      <c r="B947" s="31"/>
      <c r="C947" s="31"/>
      <c r="D947" s="31"/>
      <c r="E947" s="31"/>
      <c r="F947" s="31"/>
      <c r="G947" s="32"/>
      <c r="H947" s="31"/>
      <c r="I947" s="33"/>
      <c r="J947" s="31"/>
      <c r="K947" s="31"/>
    </row>
    <row r="948" spans="1:11" ht="14.4" x14ac:dyDescent="0.3">
      <c r="A948" s="31"/>
      <c r="B948" s="31"/>
      <c r="C948" s="31"/>
      <c r="D948" s="31"/>
      <c r="E948" s="31"/>
      <c r="F948" s="31"/>
      <c r="G948" s="32"/>
      <c r="H948" s="31"/>
      <c r="I948" s="33"/>
      <c r="J948" s="31"/>
      <c r="K948" s="31"/>
    </row>
    <row r="949" spans="1:11" ht="14.4" x14ac:dyDescent="0.3">
      <c r="A949" s="31"/>
      <c r="B949" s="31"/>
      <c r="C949" s="31"/>
      <c r="D949" s="31"/>
      <c r="E949" s="31"/>
      <c r="F949" s="31"/>
      <c r="G949" s="32"/>
      <c r="H949" s="31"/>
      <c r="I949" s="33"/>
      <c r="J949" s="31"/>
      <c r="K949" s="31"/>
    </row>
    <row r="950" spans="1:11" ht="14.4" x14ac:dyDescent="0.3">
      <c r="A950" s="31"/>
      <c r="B950" s="31"/>
      <c r="C950" s="31"/>
      <c r="D950" s="31"/>
      <c r="E950" s="31"/>
      <c r="F950" s="31"/>
      <c r="G950" s="32"/>
      <c r="H950" s="31"/>
      <c r="I950" s="33"/>
      <c r="J950" s="31"/>
      <c r="K950" s="31"/>
    </row>
    <row r="951" spans="1:11" ht="14.4" x14ac:dyDescent="0.3">
      <c r="A951" s="31"/>
      <c r="B951" s="31"/>
      <c r="C951" s="31"/>
      <c r="D951" s="31"/>
      <c r="E951" s="31"/>
      <c r="F951" s="31"/>
      <c r="G951" s="32"/>
      <c r="H951" s="31"/>
      <c r="I951" s="33"/>
      <c r="J951" s="31"/>
      <c r="K951" s="31"/>
    </row>
    <row r="952" spans="1:11" ht="14.4" x14ac:dyDescent="0.3">
      <c r="A952" s="31"/>
      <c r="B952" s="31"/>
      <c r="C952" s="31"/>
      <c r="D952" s="31"/>
      <c r="E952" s="31"/>
      <c r="F952" s="31"/>
      <c r="G952" s="32"/>
      <c r="H952" s="31"/>
      <c r="I952" s="33"/>
      <c r="J952" s="31"/>
      <c r="K952" s="31"/>
    </row>
    <row r="953" spans="1:11" ht="14.4" x14ac:dyDescent="0.3">
      <c r="A953" s="31"/>
      <c r="B953" s="31"/>
      <c r="C953" s="31"/>
      <c r="D953" s="31"/>
      <c r="E953" s="31"/>
      <c r="F953" s="31"/>
      <c r="G953" s="32"/>
      <c r="H953" s="31"/>
      <c r="I953" s="33"/>
      <c r="J953" s="31"/>
      <c r="K953" s="31"/>
    </row>
    <row r="954" spans="1:11" ht="14.4" x14ac:dyDescent="0.3">
      <c r="A954" s="31"/>
      <c r="B954" s="31"/>
      <c r="C954" s="31"/>
      <c r="D954" s="31"/>
      <c r="E954" s="31"/>
      <c r="F954" s="31"/>
      <c r="G954" s="32"/>
      <c r="H954" s="31"/>
      <c r="I954" s="33"/>
      <c r="J954" s="31"/>
      <c r="K954" s="31"/>
    </row>
    <row r="955" spans="1:11" ht="14.4" x14ac:dyDescent="0.3">
      <c r="A955" s="31"/>
      <c r="B955" s="31"/>
      <c r="C955" s="31"/>
      <c r="D955" s="31"/>
      <c r="E955" s="31"/>
      <c r="F955" s="31"/>
      <c r="G955" s="32"/>
      <c r="H955" s="31"/>
      <c r="I955" s="33"/>
      <c r="J955" s="31"/>
      <c r="K955" s="31"/>
    </row>
    <row r="956" spans="1:11" ht="14.4" x14ac:dyDescent="0.3">
      <c r="A956" s="31"/>
      <c r="B956" s="31"/>
      <c r="C956" s="31"/>
      <c r="D956" s="31"/>
      <c r="E956" s="31"/>
      <c r="F956" s="31"/>
      <c r="G956" s="32"/>
      <c r="H956" s="31"/>
      <c r="I956" s="33"/>
      <c r="J956" s="31"/>
      <c r="K956" s="31"/>
    </row>
    <row r="957" spans="1:11" ht="14.4" x14ac:dyDescent="0.3">
      <c r="A957" s="31"/>
      <c r="B957" s="31"/>
      <c r="C957" s="31"/>
      <c r="D957" s="31"/>
      <c r="E957" s="31"/>
      <c r="F957" s="31"/>
      <c r="G957" s="32"/>
      <c r="H957" s="31"/>
      <c r="I957" s="33"/>
      <c r="J957" s="31"/>
      <c r="K957" s="31"/>
    </row>
    <row r="958" spans="1:11" ht="14.4" x14ac:dyDescent="0.3">
      <c r="A958" s="31"/>
      <c r="B958" s="31"/>
      <c r="C958" s="31"/>
      <c r="D958" s="31"/>
      <c r="E958" s="31"/>
      <c r="F958" s="31"/>
      <c r="G958" s="32"/>
      <c r="H958" s="31"/>
      <c r="I958" s="33"/>
      <c r="J958" s="31"/>
      <c r="K958" s="31"/>
    </row>
    <row r="959" spans="1:11" ht="14.4" x14ac:dyDescent="0.3">
      <c r="A959" s="31"/>
      <c r="B959" s="31"/>
      <c r="C959" s="31"/>
      <c r="D959" s="31"/>
      <c r="E959" s="31"/>
      <c r="F959" s="31"/>
      <c r="G959" s="32"/>
      <c r="H959" s="31"/>
      <c r="I959" s="33"/>
      <c r="J959" s="31"/>
      <c r="K959" s="31"/>
    </row>
    <row r="960" spans="1:11" ht="14.4" x14ac:dyDescent="0.3">
      <c r="A960" s="31"/>
      <c r="B960" s="31"/>
      <c r="C960" s="31"/>
      <c r="D960" s="31"/>
      <c r="E960" s="31"/>
      <c r="F960" s="31"/>
      <c r="G960" s="32"/>
      <c r="H960" s="31"/>
      <c r="I960" s="33"/>
      <c r="J960" s="31"/>
      <c r="K960" s="31"/>
    </row>
    <row r="961" spans="1:11" ht="14.4" x14ac:dyDescent="0.3">
      <c r="A961" s="31"/>
      <c r="B961" s="31"/>
      <c r="C961" s="31"/>
      <c r="D961" s="31"/>
      <c r="E961" s="31"/>
      <c r="F961" s="31"/>
      <c r="G961" s="32"/>
      <c r="H961" s="31"/>
      <c r="I961" s="33"/>
      <c r="J961" s="31"/>
      <c r="K961" s="31"/>
    </row>
    <row r="962" spans="1:11" ht="14.4" x14ac:dyDescent="0.3">
      <c r="A962" s="31"/>
      <c r="B962" s="31"/>
      <c r="C962" s="31"/>
      <c r="D962" s="31"/>
      <c r="E962" s="31"/>
      <c r="F962" s="31"/>
      <c r="G962" s="32"/>
      <c r="H962" s="31"/>
      <c r="I962" s="33"/>
      <c r="J962" s="31"/>
      <c r="K962" s="31"/>
    </row>
    <row r="963" spans="1:11" ht="14.4" x14ac:dyDescent="0.3">
      <c r="A963" s="31"/>
      <c r="B963" s="31"/>
      <c r="C963" s="31"/>
      <c r="D963" s="31"/>
      <c r="E963" s="31"/>
      <c r="F963" s="31"/>
      <c r="G963" s="32"/>
      <c r="H963" s="31"/>
      <c r="I963" s="33"/>
      <c r="J963" s="31"/>
      <c r="K963" s="31"/>
    </row>
    <row r="964" spans="1:11" ht="14.4" x14ac:dyDescent="0.3">
      <c r="A964" s="31"/>
      <c r="B964" s="31"/>
      <c r="C964" s="31"/>
      <c r="D964" s="31"/>
      <c r="E964" s="31"/>
      <c r="F964" s="31"/>
      <c r="G964" s="32"/>
      <c r="H964" s="31"/>
      <c r="I964" s="33"/>
      <c r="J964" s="31"/>
      <c r="K964" s="31"/>
    </row>
    <row r="965" spans="1:11" ht="14.4" x14ac:dyDescent="0.3">
      <c r="A965" s="31"/>
      <c r="B965" s="31"/>
      <c r="C965" s="31"/>
      <c r="D965" s="31"/>
      <c r="E965" s="31"/>
      <c r="F965" s="31"/>
      <c r="G965" s="32"/>
      <c r="H965" s="31"/>
      <c r="I965" s="33"/>
      <c r="J965" s="31"/>
      <c r="K965" s="31"/>
    </row>
    <row r="966" spans="1:11" ht="14.4" x14ac:dyDescent="0.3">
      <c r="A966" s="31"/>
      <c r="B966" s="31"/>
      <c r="C966" s="31"/>
      <c r="D966" s="31"/>
      <c r="E966" s="31"/>
      <c r="F966" s="31"/>
      <c r="G966" s="32"/>
      <c r="H966" s="31"/>
      <c r="I966" s="33"/>
      <c r="J966" s="31"/>
      <c r="K966" s="31"/>
    </row>
    <row r="967" spans="1:11" ht="14.4" x14ac:dyDescent="0.3">
      <c r="A967" s="31"/>
      <c r="B967" s="31"/>
      <c r="C967" s="31"/>
      <c r="D967" s="31"/>
      <c r="E967" s="31"/>
      <c r="F967" s="31"/>
      <c r="G967" s="32"/>
      <c r="H967" s="31"/>
      <c r="I967" s="33"/>
      <c r="J967" s="31"/>
      <c r="K967" s="31"/>
    </row>
    <row r="968" spans="1:11" ht="14.4" x14ac:dyDescent="0.3">
      <c r="A968" s="31"/>
      <c r="B968" s="31"/>
      <c r="C968" s="31"/>
      <c r="D968" s="31"/>
      <c r="E968" s="31"/>
      <c r="F968" s="31"/>
      <c r="G968" s="32"/>
      <c r="H968" s="31"/>
      <c r="I968" s="33"/>
      <c r="J968" s="31"/>
      <c r="K968" s="31"/>
    </row>
    <row r="969" spans="1:11" ht="14.4" x14ac:dyDescent="0.3">
      <c r="A969" s="31"/>
      <c r="B969" s="31"/>
      <c r="C969" s="31"/>
      <c r="D969" s="31"/>
      <c r="E969" s="31"/>
      <c r="F969" s="31"/>
      <c r="G969" s="32"/>
      <c r="H969" s="31"/>
      <c r="I969" s="33"/>
      <c r="J969" s="31"/>
      <c r="K969" s="31"/>
    </row>
    <row r="970" spans="1:11" ht="14.4" x14ac:dyDescent="0.3">
      <c r="A970" s="31"/>
      <c r="B970" s="31"/>
      <c r="C970" s="31"/>
      <c r="D970" s="31"/>
      <c r="E970" s="31"/>
      <c r="F970" s="31"/>
      <c r="G970" s="32"/>
      <c r="H970" s="31"/>
      <c r="I970" s="33"/>
      <c r="J970" s="31"/>
      <c r="K970" s="31"/>
    </row>
    <row r="971" spans="1:11" ht="14.4" x14ac:dyDescent="0.3">
      <c r="A971" s="31"/>
      <c r="B971" s="31"/>
      <c r="C971" s="31"/>
      <c r="D971" s="31"/>
      <c r="E971" s="31"/>
      <c r="F971" s="31"/>
      <c r="G971" s="32"/>
      <c r="H971" s="31"/>
      <c r="I971" s="33"/>
      <c r="J971" s="31"/>
      <c r="K971" s="31"/>
    </row>
    <row r="972" spans="1:11" ht="14.4" x14ac:dyDescent="0.3">
      <c r="A972" s="31"/>
      <c r="B972" s="31"/>
      <c r="C972" s="31"/>
      <c r="D972" s="31"/>
      <c r="E972" s="31"/>
      <c r="F972" s="31"/>
      <c r="G972" s="32"/>
      <c r="H972" s="31"/>
      <c r="I972" s="33"/>
      <c r="J972" s="31"/>
      <c r="K972" s="31"/>
    </row>
    <row r="973" spans="1:11" ht="14.4" x14ac:dyDescent="0.3">
      <c r="A973" s="31"/>
      <c r="B973" s="31"/>
      <c r="C973" s="31"/>
      <c r="D973" s="31"/>
      <c r="E973" s="31"/>
      <c r="F973" s="31"/>
      <c r="G973" s="32"/>
      <c r="H973" s="31"/>
      <c r="I973" s="33"/>
      <c r="J973" s="31"/>
      <c r="K973" s="31"/>
    </row>
    <row r="974" spans="1:11" ht="14.4" x14ac:dyDescent="0.3">
      <c r="A974" s="31"/>
      <c r="B974" s="31"/>
      <c r="C974" s="31"/>
      <c r="D974" s="31"/>
      <c r="E974" s="31"/>
      <c r="F974" s="31"/>
      <c r="G974" s="32"/>
      <c r="H974" s="31"/>
      <c r="I974" s="33"/>
      <c r="J974" s="31"/>
      <c r="K974" s="31"/>
    </row>
    <row r="975" spans="1:11" ht="14.4" x14ac:dyDescent="0.3">
      <c r="A975" s="31"/>
      <c r="B975" s="31"/>
      <c r="C975" s="31"/>
      <c r="D975" s="31"/>
      <c r="E975" s="31"/>
      <c r="F975" s="31"/>
      <c r="G975" s="32"/>
      <c r="H975" s="31"/>
      <c r="I975" s="33"/>
      <c r="J975" s="31"/>
      <c r="K975" s="31"/>
    </row>
    <row r="976" spans="1:11" ht="14.4" x14ac:dyDescent="0.3">
      <c r="A976" s="31"/>
      <c r="B976" s="31"/>
      <c r="C976" s="31"/>
      <c r="D976" s="31"/>
      <c r="E976" s="31"/>
      <c r="F976" s="31"/>
      <c r="G976" s="32"/>
      <c r="H976" s="31"/>
      <c r="I976" s="33"/>
      <c r="J976" s="31"/>
      <c r="K976" s="31"/>
    </row>
    <row r="977" spans="1:11" ht="14.4" x14ac:dyDescent="0.3">
      <c r="A977" s="31"/>
      <c r="B977" s="31"/>
      <c r="C977" s="31"/>
      <c r="D977" s="31"/>
      <c r="E977" s="31"/>
      <c r="F977" s="31"/>
      <c r="G977" s="32"/>
      <c r="H977" s="31"/>
      <c r="I977" s="33"/>
      <c r="J977" s="31"/>
      <c r="K977" s="31"/>
    </row>
    <row r="978" spans="1:11" ht="14.4" x14ac:dyDescent="0.3">
      <c r="A978" s="31"/>
      <c r="B978" s="31"/>
      <c r="C978" s="31"/>
      <c r="D978" s="31"/>
      <c r="E978" s="31"/>
      <c r="F978" s="31"/>
      <c r="G978" s="32"/>
      <c r="H978" s="31"/>
      <c r="I978" s="33"/>
      <c r="J978" s="31"/>
      <c r="K978" s="31"/>
    </row>
    <row r="979" spans="1:11" ht="14.4" x14ac:dyDescent="0.3">
      <c r="A979" s="31"/>
      <c r="B979" s="31"/>
      <c r="C979" s="31"/>
      <c r="D979" s="31"/>
      <c r="E979" s="31"/>
      <c r="F979" s="31"/>
      <c r="G979" s="32"/>
      <c r="H979" s="31"/>
      <c r="I979" s="33"/>
      <c r="J979" s="31"/>
      <c r="K979" s="31"/>
    </row>
    <row r="980" spans="1:11" ht="14.4" x14ac:dyDescent="0.3">
      <c r="A980" s="31"/>
      <c r="B980" s="31"/>
      <c r="C980" s="31"/>
      <c r="D980" s="31"/>
      <c r="E980" s="31"/>
      <c r="F980" s="31"/>
      <c r="G980" s="32"/>
      <c r="H980" s="31"/>
      <c r="I980" s="33"/>
      <c r="J980" s="31"/>
      <c r="K980" s="31"/>
    </row>
    <row r="981" spans="1:11" ht="14.4" x14ac:dyDescent="0.3">
      <c r="A981" s="31"/>
      <c r="B981" s="31"/>
      <c r="C981" s="31"/>
      <c r="D981" s="31"/>
      <c r="E981" s="31"/>
      <c r="F981" s="31"/>
      <c r="G981" s="32"/>
      <c r="H981" s="31"/>
      <c r="I981" s="33"/>
      <c r="J981" s="31"/>
      <c r="K981" s="31"/>
    </row>
    <row r="982" spans="1:11" ht="14.4" x14ac:dyDescent="0.3">
      <c r="A982" s="31"/>
      <c r="B982" s="31"/>
      <c r="C982" s="31"/>
      <c r="D982" s="31"/>
      <c r="E982" s="31"/>
      <c r="F982" s="31"/>
      <c r="G982" s="32"/>
      <c r="H982" s="31"/>
      <c r="I982" s="33"/>
      <c r="J982" s="31"/>
      <c r="K982" s="31"/>
    </row>
    <row r="983" spans="1:11" ht="14.4" x14ac:dyDescent="0.3">
      <c r="A983" s="31"/>
      <c r="B983" s="31"/>
      <c r="C983" s="31"/>
      <c r="D983" s="31"/>
      <c r="E983" s="31"/>
      <c r="F983" s="31"/>
      <c r="G983" s="32"/>
      <c r="H983" s="31"/>
      <c r="I983" s="33"/>
      <c r="J983" s="31"/>
      <c r="K983" s="31"/>
    </row>
    <row r="984" spans="1:11" ht="14.4" x14ac:dyDescent="0.3">
      <c r="A984" s="31"/>
      <c r="B984" s="31"/>
      <c r="C984" s="31"/>
      <c r="D984" s="31"/>
      <c r="E984" s="31"/>
      <c r="F984" s="31"/>
      <c r="G984" s="32"/>
      <c r="H984" s="31"/>
      <c r="I984" s="33"/>
      <c r="J984" s="31"/>
      <c r="K984" s="31"/>
    </row>
    <row r="985" spans="1:11" ht="14.4" x14ac:dyDescent="0.3">
      <c r="A985" s="31"/>
      <c r="B985" s="31"/>
      <c r="C985" s="31"/>
      <c r="D985" s="31"/>
      <c r="E985" s="31"/>
      <c r="F985" s="31"/>
      <c r="G985" s="32"/>
      <c r="H985" s="31"/>
      <c r="I985" s="33"/>
      <c r="J985" s="31"/>
      <c r="K985" s="31"/>
    </row>
    <row r="986" spans="1:11" ht="14.4" x14ac:dyDescent="0.3">
      <c r="A986" s="31"/>
      <c r="B986" s="31"/>
      <c r="C986" s="31"/>
      <c r="D986" s="31"/>
      <c r="E986" s="31"/>
      <c r="F986" s="31"/>
      <c r="G986" s="32"/>
      <c r="H986" s="31"/>
      <c r="I986" s="33"/>
      <c r="J986" s="31"/>
      <c r="K986" s="31"/>
    </row>
    <row r="987" spans="1:11" ht="14.4" x14ac:dyDescent="0.3">
      <c r="A987" s="31"/>
      <c r="B987" s="31"/>
      <c r="C987" s="31"/>
      <c r="D987" s="31"/>
      <c r="E987" s="31"/>
      <c r="F987" s="31"/>
      <c r="G987" s="32"/>
      <c r="H987" s="31"/>
      <c r="I987" s="33"/>
      <c r="J987" s="31"/>
      <c r="K987" s="31"/>
    </row>
    <row r="988" spans="1:11" ht="14.4" x14ac:dyDescent="0.3">
      <c r="A988" s="31"/>
      <c r="B988" s="31"/>
      <c r="C988" s="31"/>
      <c r="D988" s="31"/>
      <c r="E988" s="31"/>
      <c r="F988" s="31"/>
      <c r="G988" s="32"/>
      <c r="H988" s="31"/>
      <c r="I988" s="33"/>
      <c r="J988" s="31"/>
      <c r="K988" s="31"/>
    </row>
    <row r="989" spans="1:11" ht="14.4" x14ac:dyDescent="0.3">
      <c r="A989" s="31"/>
      <c r="B989" s="31"/>
      <c r="C989" s="31"/>
      <c r="D989" s="31"/>
      <c r="E989" s="31"/>
      <c r="F989" s="31"/>
      <c r="G989" s="32"/>
      <c r="H989" s="31"/>
      <c r="I989" s="33"/>
      <c r="J989" s="31"/>
      <c r="K989" s="31"/>
    </row>
    <row r="990" spans="1:11" ht="14.4" x14ac:dyDescent="0.3">
      <c r="A990" s="31"/>
      <c r="B990" s="31"/>
      <c r="C990" s="31"/>
      <c r="D990" s="31"/>
      <c r="E990" s="31"/>
      <c r="F990" s="31"/>
      <c r="G990" s="32"/>
      <c r="H990" s="31"/>
      <c r="I990" s="33"/>
      <c r="J990" s="31"/>
      <c r="K990" s="31"/>
    </row>
    <row r="991" spans="1:11" ht="14.4" x14ac:dyDescent="0.3">
      <c r="A991" s="31"/>
      <c r="B991" s="31"/>
      <c r="C991" s="31"/>
      <c r="D991" s="31"/>
      <c r="E991" s="31"/>
      <c r="F991" s="31"/>
      <c r="G991" s="32"/>
      <c r="H991" s="31"/>
      <c r="I991" s="33"/>
      <c r="J991" s="31"/>
      <c r="K991" s="31"/>
    </row>
    <row r="992" spans="1:11" ht="14.4" x14ac:dyDescent="0.3">
      <c r="A992" s="31"/>
      <c r="B992" s="31"/>
      <c r="C992" s="31"/>
      <c r="D992" s="31"/>
      <c r="E992" s="31"/>
      <c r="F992" s="31"/>
      <c r="G992" s="32"/>
      <c r="H992" s="31"/>
      <c r="I992" s="33"/>
      <c r="J992" s="31"/>
      <c r="K992" s="31"/>
    </row>
    <row r="993" spans="1:11" ht="14.4" x14ac:dyDescent="0.3">
      <c r="A993" s="31"/>
      <c r="B993" s="31"/>
      <c r="C993" s="31"/>
      <c r="D993" s="31"/>
      <c r="E993" s="31"/>
      <c r="F993" s="31"/>
      <c r="G993" s="32"/>
      <c r="H993" s="31"/>
      <c r="I993" s="33"/>
      <c r="J993" s="31"/>
      <c r="K993" s="31"/>
    </row>
    <row r="994" spans="1:11" ht="14.4" x14ac:dyDescent="0.3">
      <c r="A994" s="31"/>
      <c r="B994" s="31"/>
      <c r="C994" s="31"/>
      <c r="D994" s="31"/>
      <c r="E994" s="31"/>
      <c r="F994" s="31"/>
      <c r="G994" s="32"/>
      <c r="H994" s="31"/>
      <c r="I994" s="33"/>
      <c r="J994" s="31"/>
      <c r="K994" s="31"/>
    </row>
    <row r="995" spans="1:11" ht="14.4" x14ac:dyDescent="0.3">
      <c r="A995" s="31"/>
      <c r="B995" s="31"/>
      <c r="C995" s="31"/>
      <c r="D995" s="31"/>
      <c r="E995" s="31"/>
      <c r="F995" s="31"/>
      <c r="G995" s="32"/>
      <c r="H995" s="31"/>
      <c r="I995" s="33"/>
      <c r="J995" s="31"/>
      <c r="K995" s="31"/>
    </row>
    <row r="996" spans="1:11" ht="14.4" x14ac:dyDescent="0.3">
      <c r="A996" s="31"/>
      <c r="B996" s="31"/>
      <c r="C996" s="31"/>
      <c r="D996" s="31"/>
      <c r="E996" s="31"/>
      <c r="F996" s="31"/>
      <c r="G996" s="32"/>
      <c r="H996" s="31"/>
      <c r="I996" s="33"/>
      <c r="J996" s="31"/>
      <c r="K996" s="31"/>
    </row>
    <row r="997" spans="1:11" ht="14.4" x14ac:dyDescent="0.3">
      <c r="A997" s="31"/>
      <c r="B997" s="31"/>
      <c r="C997" s="31"/>
      <c r="D997" s="31"/>
      <c r="E997" s="31"/>
      <c r="F997" s="31"/>
      <c r="G997" s="32"/>
      <c r="H997" s="31"/>
      <c r="I997" s="33"/>
      <c r="J997" s="31"/>
      <c r="K997" s="31"/>
    </row>
    <row r="998" spans="1:11" ht="14.4" x14ac:dyDescent="0.3">
      <c r="A998" s="31"/>
      <c r="B998" s="31"/>
      <c r="C998" s="31"/>
      <c r="D998" s="31"/>
      <c r="E998" s="31"/>
      <c r="F998" s="31"/>
      <c r="G998" s="32"/>
      <c r="H998" s="31"/>
      <c r="I998" s="33"/>
      <c r="J998" s="31"/>
      <c r="K998" s="31"/>
    </row>
    <row r="999" spans="1:11" ht="14.4" x14ac:dyDescent="0.3">
      <c r="A999" s="31"/>
      <c r="B999" s="31"/>
      <c r="C999" s="31"/>
      <c r="D999" s="31"/>
      <c r="E999" s="31"/>
      <c r="F999" s="31"/>
      <c r="G999" s="32"/>
      <c r="H999" s="31"/>
      <c r="I999" s="33"/>
      <c r="J999" s="31"/>
      <c r="K999" s="31"/>
    </row>
    <row r="1000" spans="1:11" ht="14.4" x14ac:dyDescent="0.3">
      <c r="A1000" s="31"/>
      <c r="B1000" s="31"/>
      <c r="C1000" s="31"/>
      <c r="D1000" s="31"/>
      <c r="E1000" s="31"/>
      <c r="F1000" s="31"/>
      <c r="G1000" s="32"/>
      <c r="H1000" s="31"/>
      <c r="I1000" s="33"/>
      <c r="J1000" s="31"/>
      <c r="K1000" s="31"/>
    </row>
    <row r="1001" spans="1:11" ht="14.4" x14ac:dyDescent="0.3">
      <c r="A1001" s="31"/>
      <c r="B1001" s="31"/>
      <c r="C1001" s="31"/>
      <c r="D1001" s="31"/>
      <c r="E1001" s="31"/>
      <c r="F1001" s="31"/>
      <c r="G1001" s="32"/>
      <c r="H1001" s="31"/>
      <c r="I1001" s="33"/>
      <c r="J1001" s="31"/>
      <c r="K1001" s="31"/>
    </row>
    <row r="1002" spans="1:11" ht="14.4" x14ac:dyDescent="0.3">
      <c r="A1002" s="31"/>
      <c r="B1002" s="31"/>
      <c r="C1002" s="31"/>
      <c r="D1002" s="31"/>
      <c r="E1002" s="31"/>
      <c r="F1002" s="31"/>
      <c r="G1002" s="32"/>
      <c r="H1002" s="31"/>
      <c r="I1002" s="33"/>
      <c r="J1002" s="31"/>
      <c r="K1002" s="31"/>
    </row>
    <row r="1003" spans="1:11" ht="14.4" x14ac:dyDescent="0.3">
      <c r="A1003" s="31"/>
      <c r="B1003" s="31"/>
      <c r="C1003" s="31"/>
      <c r="D1003" s="31"/>
      <c r="E1003" s="31"/>
      <c r="F1003" s="31"/>
      <c r="G1003" s="32"/>
      <c r="H1003" s="31"/>
      <c r="I1003" s="33"/>
      <c r="J1003" s="31"/>
      <c r="K1003" s="31"/>
    </row>
    <row r="1004" spans="1:11" ht="14.4" x14ac:dyDescent="0.3">
      <c r="A1004" s="31"/>
      <c r="B1004" s="31"/>
      <c r="C1004" s="31"/>
      <c r="D1004" s="31"/>
      <c r="E1004" s="31"/>
      <c r="F1004" s="31"/>
      <c r="G1004" s="32"/>
      <c r="H1004" s="31"/>
      <c r="I1004" s="33"/>
      <c r="J1004" s="31"/>
      <c r="K1004" s="31"/>
    </row>
    <row r="1005" spans="1:11" ht="14.4" x14ac:dyDescent="0.3">
      <c r="A1005" s="31"/>
      <c r="B1005" s="31"/>
      <c r="C1005" s="31"/>
      <c r="D1005" s="31"/>
      <c r="E1005" s="31"/>
      <c r="F1005" s="31"/>
      <c r="G1005" s="32"/>
      <c r="H1005" s="31"/>
      <c r="I1005" s="33"/>
      <c r="J1005" s="31"/>
      <c r="K1005" s="31"/>
    </row>
    <row r="1006" spans="1:11" ht="14.4" x14ac:dyDescent="0.3">
      <c r="A1006" s="31"/>
      <c r="B1006" s="31"/>
      <c r="C1006" s="31"/>
      <c r="D1006" s="31"/>
      <c r="E1006" s="31"/>
      <c r="F1006" s="31"/>
      <c r="G1006" s="32"/>
      <c r="H1006" s="31"/>
      <c r="I1006" s="33"/>
      <c r="J1006" s="31"/>
      <c r="K1006" s="31"/>
    </row>
    <row r="1007" spans="1:11" ht="14.4" x14ac:dyDescent="0.3">
      <c r="A1007" s="31"/>
      <c r="B1007" s="31"/>
      <c r="C1007" s="31"/>
      <c r="D1007" s="31"/>
      <c r="E1007" s="31"/>
      <c r="F1007" s="31"/>
      <c r="G1007" s="32"/>
      <c r="H1007" s="31"/>
      <c r="I1007" s="33"/>
      <c r="J1007" s="31"/>
      <c r="K1007" s="31"/>
    </row>
    <row r="1008" spans="1:11" ht="14.4" x14ac:dyDescent="0.3">
      <c r="A1008" s="31"/>
      <c r="B1008" s="31"/>
      <c r="C1008" s="31"/>
      <c r="D1008" s="31"/>
      <c r="E1008" s="31"/>
      <c r="F1008" s="31"/>
      <c r="G1008" s="32"/>
      <c r="H1008" s="31"/>
      <c r="I1008" s="33"/>
      <c r="J1008" s="31"/>
      <c r="K1008" s="31"/>
    </row>
    <row r="1009" spans="1:11" ht="14.4" x14ac:dyDescent="0.3">
      <c r="A1009" s="31"/>
      <c r="B1009" s="31"/>
      <c r="C1009" s="31"/>
      <c r="D1009" s="31"/>
      <c r="E1009" s="31"/>
      <c r="F1009" s="31"/>
      <c r="G1009" s="32"/>
      <c r="H1009" s="31"/>
      <c r="I1009" s="33"/>
      <c r="J1009" s="31"/>
      <c r="K1009" s="31"/>
    </row>
    <row r="1010" spans="1:11" ht="14.4" x14ac:dyDescent="0.3">
      <c r="A1010" s="31"/>
      <c r="B1010" s="31"/>
      <c r="C1010" s="31"/>
      <c r="D1010" s="31"/>
      <c r="E1010" s="31"/>
      <c r="F1010" s="31"/>
      <c r="G1010" s="32"/>
      <c r="H1010" s="31"/>
      <c r="I1010" s="33"/>
      <c r="J1010" s="31"/>
      <c r="K1010" s="31"/>
    </row>
    <row r="1011" spans="1:11" ht="14.4" x14ac:dyDescent="0.3">
      <c r="A1011" s="31"/>
      <c r="B1011" s="31"/>
      <c r="C1011" s="31"/>
      <c r="D1011" s="31"/>
      <c r="E1011" s="31"/>
      <c r="F1011" s="31"/>
      <c r="G1011" s="32"/>
      <c r="H1011" s="31"/>
      <c r="I1011" s="33"/>
      <c r="J1011" s="31"/>
      <c r="K1011" s="31"/>
    </row>
    <row r="1012" spans="1:11" ht="14.4" x14ac:dyDescent="0.3">
      <c r="A1012" s="31"/>
      <c r="B1012" s="31"/>
      <c r="C1012" s="31"/>
      <c r="D1012" s="31"/>
      <c r="E1012" s="31"/>
      <c r="F1012" s="31"/>
      <c r="G1012" s="32"/>
      <c r="H1012" s="31"/>
      <c r="I1012" s="33"/>
      <c r="J1012" s="31"/>
      <c r="K1012" s="31"/>
    </row>
    <row r="1013" spans="1:11" ht="14.4" x14ac:dyDescent="0.3">
      <c r="A1013" s="31"/>
      <c r="B1013" s="31"/>
      <c r="C1013" s="31"/>
      <c r="D1013" s="31"/>
      <c r="E1013" s="31"/>
      <c r="F1013" s="31"/>
      <c r="G1013" s="32"/>
      <c r="H1013" s="31"/>
      <c r="I1013" s="33"/>
      <c r="J1013" s="31"/>
      <c r="K1013" s="31"/>
    </row>
    <row r="1014" spans="1:11" ht="14.4" x14ac:dyDescent="0.3">
      <c r="A1014" s="31"/>
      <c r="B1014" s="31"/>
      <c r="C1014" s="31"/>
      <c r="D1014" s="31"/>
      <c r="E1014" s="31"/>
      <c r="F1014" s="31"/>
      <c r="G1014" s="32"/>
      <c r="H1014" s="31"/>
      <c r="I1014" s="33"/>
      <c r="J1014" s="31"/>
      <c r="K1014" s="31"/>
    </row>
    <row r="1015" spans="1:11" ht="14.4" x14ac:dyDescent="0.3">
      <c r="A1015" s="31"/>
      <c r="B1015" s="31"/>
      <c r="C1015" s="31"/>
      <c r="D1015" s="31"/>
      <c r="E1015" s="31"/>
      <c r="F1015" s="31"/>
      <c r="G1015" s="32"/>
      <c r="H1015" s="31"/>
      <c r="I1015" s="33"/>
      <c r="J1015" s="31"/>
      <c r="K1015" s="31"/>
    </row>
    <row r="1016" spans="1:11" ht="14.4" x14ac:dyDescent="0.3">
      <c r="A1016" s="31"/>
      <c r="B1016" s="31"/>
      <c r="C1016" s="31"/>
      <c r="D1016" s="31"/>
      <c r="E1016" s="31"/>
      <c r="F1016" s="31"/>
      <c r="G1016" s="32"/>
      <c r="H1016" s="31"/>
      <c r="I1016" s="33"/>
      <c r="J1016" s="31"/>
      <c r="K1016" s="31"/>
    </row>
    <row r="1017" spans="1:11" ht="14.4" x14ac:dyDescent="0.3">
      <c r="A1017" s="31"/>
      <c r="B1017" s="31"/>
      <c r="C1017" s="31"/>
      <c r="D1017" s="31"/>
      <c r="E1017" s="31"/>
      <c r="F1017" s="31"/>
      <c r="G1017" s="32"/>
      <c r="H1017" s="31"/>
      <c r="I1017" s="33"/>
      <c r="J1017" s="31"/>
      <c r="K1017" s="31"/>
    </row>
    <row r="1018" spans="1:11" ht="14.4" x14ac:dyDescent="0.3">
      <c r="A1018" s="31"/>
      <c r="B1018" s="31"/>
      <c r="C1018" s="31"/>
      <c r="D1018" s="31"/>
      <c r="E1018" s="31"/>
      <c r="F1018" s="31"/>
      <c r="G1018" s="32"/>
      <c r="H1018" s="31"/>
      <c r="I1018" s="33"/>
      <c r="J1018" s="31"/>
      <c r="K1018" s="31"/>
    </row>
    <row r="1019" spans="1:11" ht="14.4" x14ac:dyDescent="0.3">
      <c r="A1019" s="31"/>
      <c r="B1019" s="31"/>
      <c r="C1019" s="31"/>
      <c r="D1019" s="31"/>
      <c r="E1019" s="31"/>
      <c r="F1019" s="31"/>
      <c r="G1019" s="32"/>
      <c r="H1019" s="31"/>
      <c r="I1019" s="33"/>
      <c r="J1019" s="31"/>
      <c r="K1019" s="31"/>
    </row>
    <row r="1020" spans="1:11" ht="14.4" x14ac:dyDescent="0.3">
      <c r="A1020" s="31"/>
      <c r="B1020" s="31"/>
      <c r="C1020" s="31"/>
      <c r="D1020" s="31"/>
      <c r="E1020" s="31"/>
      <c r="F1020" s="31"/>
      <c r="G1020" s="32"/>
      <c r="H1020" s="31"/>
      <c r="I1020" s="33"/>
      <c r="J1020" s="31"/>
      <c r="K1020" s="31"/>
    </row>
    <row r="1021" spans="1:11" ht="14.4" x14ac:dyDescent="0.3">
      <c r="A1021" s="31"/>
      <c r="B1021" s="31"/>
      <c r="C1021" s="31"/>
      <c r="D1021" s="31"/>
      <c r="E1021" s="31"/>
      <c r="F1021" s="31"/>
      <c r="G1021" s="32"/>
      <c r="H1021" s="31"/>
      <c r="I1021" s="33"/>
      <c r="J1021" s="31"/>
      <c r="K1021" s="31"/>
    </row>
    <row r="1022" spans="1:11" ht="14.4" x14ac:dyDescent="0.3">
      <c r="A1022" s="31"/>
      <c r="B1022" s="31"/>
      <c r="C1022" s="31"/>
      <c r="D1022" s="31"/>
      <c r="E1022" s="31"/>
      <c r="F1022" s="31"/>
      <c r="G1022" s="32"/>
      <c r="H1022" s="31"/>
      <c r="I1022" s="33"/>
      <c r="J1022" s="31"/>
      <c r="K1022" s="31"/>
    </row>
    <row r="1023" spans="1:11" ht="14.4" x14ac:dyDescent="0.3">
      <c r="A1023" s="31"/>
      <c r="B1023" s="31"/>
      <c r="C1023" s="31"/>
      <c r="D1023" s="31"/>
      <c r="E1023" s="31"/>
      <c r="F1023" s="31"/>
      <c r="G1023" s="32"/>
      <c r="H1023" s="31"/>
      <c r="I1023" s="33"/>
      <c r="J1023" s="31"/>
      <c r="K1023" s="31"/>
    </row>
    <row r="1024" spans="1:11" ht="14.4" x14ac:dyDescent="0.3">
      <c r="A1024" s="31"/>
      <c r="B1024" s="31"/>
      <c r="C1024" s="31"/>
      <c r="D1024" s="31"/>
      <c r="E1024" s="31"/>
      <c r="F1024" s="31"/>
      <c r="G1024" s="32"/>
      <c r="H1024" s="31"/>
      <c r="I1024" s="33"/>
      <c r="J1024" s="31"/>
      <c r="K1024" s="31"/>
    </row>
    <row r="1025" spans="1:11" ht="14.4" x14ac:dyDescent="0.3">
      <c r="A1025" s="31"/>
      <c r="B1025" s="31"/>
      <c r="C1025" s="31"/>
      <c r="D1025" s="31"/>
      <c r="E1025" s="31"/>
      <c r="F1025" s="31"/>
      <c r="G1025" s="32"/>
      <c r="H1025" s="31"/>
      <c r="I1025" s="33"/>
      <c r="J1025" s="31"/>
      <c r="K1025" s="31"/>
    </row>
    <row r="1026" spans="1:11" ht="14.4" x14ac:dyDescent="0.3">
      <c r="A1026" s="31"/>
      <c r="B1026" s="31"/>
      <c r="C1026" s="31"/>
      <c r="D1026" s="31"/>
      <c r="E1026" s="31"/>
      <c r="F1026" s="31"/>
      <c r="G1026" s="32"/>
      <c r="H1026" s="31"/>
      <c r="I1026" s="33"/>
      <c r="J1026" s="31"/>
      <c r="K1026" s="31"/>
    </row>
    <row r="1027" spans="1:11" ht="14.4" x14ac:dyDescent="0.3">
      <c r="A1027" s="31"/>
      <c r="B1027" s="31"/>
      <c r="C1027" s="31"/>
      <c r="D1027" s="31"/>
      <c r="E1027" s="31"/>
      <c r="F1027" s="31"/>
      <c r="G1027" s="32"/>
      <c r="H1027" s="31"/>
      <c r="I1027" s="33"/>
      <c r="J1027" s="31"/>
      <c r="K1027" s="31"/>
    </row>
    <row r="1028" spans="1:11" ht="14.4" x14ac:dyDescent="0.3">
      <c r="A1028" s="31"/>
      <c r="B1028" s="31"/>
      <c r="C1028" s="31"/>
      <c r="D1028" s="31"/>
      <c r="E1028" s="31"/>
      <c r="F1028" s="31"/>
      <c r="G1028" s="32"/>
      <c r="H1028" s="31"/>
      <c r="I1028" s="33"/>
      <c r="J1028" s="31"/>
      <c r="K1028" s="31"/>
    </row>
    <row r="1029" spans="1:11" ht="14.4" x14ac:dyDescent="0.3">
      <c r="A1029" s="31"/>
      <c r="B1029" s="31"/>
      <c r="C1029" s="31"/>
      <c r="D1029" s="31"/>
      <c r="E1029" s="31"/>
      <c r="F1029" s="31"/>
      <c r="G1029" s="32"/>
      <c r="H1029" s="31"/>
      <c r="I1029" s="33"/>
      <c r="J1029" s="31"/>
      <c r="K1029" s="31"/>
    </row>
    <row r="1030" spans="1:11" ht="14.4" x14ac:dyDescent="0.3">
      <c r="A1030" s="31"/>
      <c r="B1030" s="31"/>
      <c r="C1030" s="31"/>
      <c r="D1030" s="31"/>
      <c r="E1030" s="31"/>
      <c r="F1030" s="31"/>
      <c r="G1030" s="32"/>
      <c r="H1030" s="31"/>
      <c r="I1030" s="33"/>
      <c r="J1030" s="31"/>
      <c r="K1030" s="31"/>
    </row>
    <row r="1031" spans="1:11" ht="14.4" x14ac:dyDescent="0.3">
      <c r="A1031" s="31"/>
      <c r="B1031" s="31"/>
      <c r="C1031" s="31"/>
      <c r="D1031" s="31"/>
      <c r="E1031" s="31"/>
      <c r="F1031" s="31"/>
      <c r="G1031" s="32"/>
      <c r="H1031" s="31"/>
      <c r="I1031" s="33"/>
      <c r="J1031" s="31"/>
      <c r="K1031" s="31"/>
    </row>
    <row r="1032" spans="1:11" ht="14.4" x14ac:dyDescent="0.3">
      <c r="A1032" s="31"/>
      <c r="B1032" s="31"/>
      <c r="C1032" s="31"/>
      <c r="D1032" s="31"/>
      <c r="E1032" s="31"/>
      <c r="F1032" s="31"/>
      <c r="G1032" s="32"/>
      <c r="H1032" s="31"/>
      <c r="I1032" s="33"/>
      <c r="J1032" s="31"/>
      <c r="K1032" s="31"/>
    </row>
    <row r="1033" spans="1:11" ht="14.4" x14ac:dyDescent="0.3">
      <c r="A1033" s="31"/>
      <c r="B1033" s="31"/>
      <c r="C1033" s="31"/>
      <c r="D1033" s="31"/>
      <c r="E1033" s="31"/>
      <c r="F1033" s="31"/>
      <c r="G1033" s="32"/>
      <c r="H1033" s="31"/>
      <c r="I1033" s="33"/>
      <c r="J1033" s="31"/>
      <c r="K1033" s="31"/>
    </row>
    <row r="1034" spans="1:11" ht="14.4" x14ac:dyDescent="0.3">
      <c r="A1034" s="31"/>
      <c r="B1034" s="31"/>
      <c r="C1034" s="31"/>
      <c r="D1034" s="31"/>
      <c r="E1034" s="31"/>
      <c r="F1034" s="31"/>
      <c r="G1034" s="32"/>
      <c r="H1034" s="31"/>
      <c r="I1034" s="33"/>
      <c r="J1034" s="31"/>
      <c r="K1034" s="31"/>
    </row>
    <row r="1035" spans="1:11" ht="14.4" x14ac:dyDescent="0.3">
      <c r="A1035" s="31"/>
      <c r="B1035" s="31"/>
      <c r="C1035" s="31"/>
      <c r="D1035" s="31"/>
      <c r="E1035" s="31"/>
      <c r="F1035" s="31"/>
      <c r="G1035" s="32"/>
      <c r="H1035" s="31"/>
      <c r="I1035" s="33"/>
      <c r="J1035" s="31"/>
      <c r="K1035" s="31"/>
    </row>
    <row r="1036" spans="1:11" ht="14.4" x14ac:dyDescent="0.3">
      <c r="A1036" s="31"/>
      <c r="B1036" s="31"/>
      <c r="C1036" s="31"/>
      <c r="D1036" s="31"/>
      <c r="E1036" s="31"/>
      <c r="F1036" s="31"/>
      <c r="G1036" s="32"/>
      <c r="H1036" s="31"/>
      <c r="I1036" s="33"/>
      <c r="J1036" s="31"/>
      <c r="K1036" s="31"/>
    </row>
    <row r="1037" spans="1:11" ht="14.4" x14ac:dyDescent="0.3">
      <c r="A1037" s="31"/>
      <c r="B1037" s="31"/>
      <c r="C1037" s="31"/>
      <c r="D1037" s="31"/>
      <c r="E1037" s="31"/>
      <c r="F1037" s="31"/>
      <c r="G1037" s="32"/>
      <c r="H1037" s="31"/>
      <c r="I1037" s="33"/>
      <c r="J1037" s="31"/>
      <c r="K1037" s="31"/>
    </row>
    <row r="1038" spans="1:11" ht="14.4" x14ac:dyDescent="0.3">
      <c r="A1038" s="31"/>
      <c r="B1038" s="31"/>
      <c r="C1038" s="31"/>
      <c r="D1038" s="31"/>
      <c r="E1038" s="31"/>
      <c r="F1038" s="31"/>
      <c r="G1038" s="32"/>
      <c r="H1038" s="31"/>
      <c r="I1038" s="33"/>
      <c r="J1038" s="31"/>
      <c r="K1038" s="31"/>
    </row>
    <row r="1039" spans="1:11" ht="14.4" x14ac:dyDescent="0.3">
      <c r="A1039" s="31"/>
      <c r="B1039" s="31"/>
      <c r="C1039" s="31"/>
      <c r="D1039" s="31"/>
      <c r="E1039" s="31"/>
      <c r="F1039" s="31"/>
      <c r="G1039" s="32"/>
      <c r="H1039" s="31"/>
      <c r="I1039" s="33"/>
      <c r="J1039" s="31"/>
      <c r="K1039" s="31"/>
    </row>
    <row r="1040" spans="1:11" ht="14.4" x14ac:dyDescent="0.3">
      <c r="A1040" s="31"/>
      <c r="B1040" s="31"/>
      <c r="C1040" s="31"/>
      <c r="D1040" s="31"/>
      <c r="E1040" s="31"/>
      <c r="F1040" s="31"/>
      <c r="G1040" s="32"/>
      <c r="H1040" s="31"/>
      <c r="I1040" s="33"/>
      <c r="J1040" s="31"/>
      <c r="K1040" s="31"/>
    </row>
    <row r="1041" spans="1:11" ht="14.4" x14ac:dyDescent="0.3">
      <c r="A1041" s="31"/>
      <c r="B1041" s="31"/>
      <c r="C1041" s="31"/>
      <c r="D1041" s="31"/>
      <c r="E1041" s="31"/>
      <c r="F1041" s="31"/>
      <c r="G1041" s="32"/>
      <c r="H1041" s="31"/>
      <c r="I1041" s="33"/>
      <c r="J1041" s="31"/>
      <c r="K1041" s="31"/>
    </row>
    <row r="1042" spans="1:11" ht="14.4" x14ac:dyDescent="0.3">
      <c r="A1042" s="31"/>
      <c r="B1042" s="31"/>
      <c r="C1042" s="31"/>
      <c r="D1042" s="31"/>
      <c r="E1042" s="31"/>
      <c r="F1042" s="31"/>
      <c r="G1042" s="32"/>
      <c r="H1042" s="31"/>
      <c r="I1042" s="33"/>
      <c r="J1042" s="31"/>
      <c r="K1042" s="31"/>
    </row>
    <row r="1043" spans="1:11" ht="14.4" x14ac:dyDescent="0.3">
      <c r="A1043" s="31"/>
      <c r="B1043" s="31"/>
      <c r="C1043" s="31"/>
      <c r="D1043" s="31"/>
      <c r="E1043" s="31"/>
      <c r="F1043" s="31"/>
      <c r="G1043" s="32"/>
      <c r="H1043" s="31"/>
      <c r="I1043" s="33"/>
      <c r="J1043" s="31"/>
      <c r="K1043" s="31"/>
    </row>
    <row r="1044" spans="1:11" ht="14.4" x14ac:dyDescent="0.3">
      <c r="A1044" s="31"/>
      <c r="B1044" s="31"/>
      <c r="C1044" s="31"/>
      <c r="D1044" s="31"/>
      <c r="E1044" s="31"/>
      <c r="F1044" s="31"/>
      <c r="G1044" s="32"/>
      <c r="H1044" s="31"/>
      <c r="I1044" s="33"/>
      <c r="J1044" s="31"/>
      <c r="K1044" s="31"/>
    </row>
    <row r="1045" spans="1:11" ht="14.4" x14ac:dyDescent="0.3">
      <c r="A1045" s="31"/>
      <c r="B1045" s="31"/>
      <c r="C1045" s="31"/>
      <c r="D1045" s="31"/>
      <c r="E1045" s="31"/>
      <c r="F1045" s="31"/>
      <c r="G1045" s="32"/>
      <c r="H1045" s="31"/>
      <c r="I1045" s="33"/>
      <c r="J1045" s="31"/>
      <c r="K1045" s="31"/>
    </row>
    <row r="1046" spans="1:11" ht="14.4" x14ac:dyDescent="0.3">
      <c r="A1046" s="31"/>
      <c r="B1046" s="31"/>
      <c r="C1046" s="31"/>
      <c r="D1046" s="31"/>
      <c r="E1046" s="31"/>
      <c r="F1046" s="31"/>
      <c r="G1046" s="32"/>
      <c r="H1046" s="31"/>
      <c r="I1046" s="33"/>
      <c r="J1046" s="31"/>
      <c r="K1046" s="31"/>
    </row>
    <row r="1047" spans="1:11" ht="14.4" x14ac:dyDescent="0.3">
      <c r="A1047" s="31"/>
      <c r="B1047" s="31"/>
      <c r="C1047" s="31"/>
      <c r="D1047" s="31"/>
      <c r="E1047" s="31"/>
      <c r="F1047" s="31"/>
      <c r="G1047" s="32"/>
      <c r="H1047" s="31"/>
      <c r="I1047" s="33"/>
      <c r="J1047" s="31"/>
      <c r="K1047" s="31"/>
    </row>
    <row r="1048" spans="1:11" ht="14.4" x14ac:dyDescent="0.3">
      <c r="A1048" s="31"/>
      <c r="B1048" s="31"/>
      <c r="C1048" s="31"/>
      <c r="D1048" s="31"/>
      <c r="E1048" s="31"/>
      <c r="F1048" s="31"/>
      <c r="G1048" s="32"/>
      <c r="H1048" s="31"/>
      <c r="I1048" s="33"/>
      <c r="J1048" s="31"/>
      <c r="K1048" s="31"/>
    </row>
    <row r="1049" spans="1:11" ht="14.4" x14ac:dyDescent="0.3">
      <c r="A1049" s="31"/>
      <c r="B1049" s="31"/>
      <c r="C1049" s="31"/>
      <c r="D1049" s="31"/>
      <c r="E1049" s="31"/>
      <c r="F1049" s="31"/>
      <c r="G1049" s="32"/>
      <c r="H1049" s="31"/>
      <c r="I1049" s="33"/>
      <c r="J1049" s="31"/>
      <c r="K1049" s="31"/>
    </row>
    <row r="1050" spans="1:11" ht="14.4" x14ac:dyDescent="0.3">
      <c r="A1050" s="31"/>
      <c r="B1050" s="31"/>
      <c r="C1050" s="31"/>
      <c r="D1050" s="31"/>
      <c r="E1050" s="31"/>
      <c r="F1050" s="31"/>
      <c r="G1050" s="32"/>
      <c r="H1050" s="31"/>
      <c r="I1050" s="33"/>
      <c r="J1050" s="31"/>
      <c r="K1050" s="31"/>
    </row>
    <row r="1051" spans="1:11" ht="14.4" x14ac:dyDescent="0.3">
      <c r="A1051" s="31"/>
      <c r="B1051" s="31"/>
      <c r="C1051" s="31"/>
      <c r="D1051" s="31"/>
      <c r="E1051" s="31"/>
      <c r="F1051" s="31"/>
      <c r="G1051" s="32"/>
      <c r="H1051" s="31"/>
      <c r="I1051" s="33"/>
      <c r="J1051" s="31"/>
      <c r="K1051" s="31"/>
    </row>
    <row r="1052" spans="1:11" ht="14.4" x14ac:dyDescent="0.3">
      <c r="A1052" s="31"/>
      <c r="B1052" s="31"/>
      <c r="C1052" s="31"/>
      <c r="D1052" s="31"/>
      <c r="E1052" s="31"/>
      <c r="F1052" s="31"/>
      <c r="G1052" s="32"/>
      <c r="H1052" s="31"/>
      <c r="I1052" s="33"/>
      <c r="J1052" s="31"/>
      <c r="K1052" s="31"/>
    </row>
    <row r="1053" spans="1:11" ht="14.4" x14ac:dyDescent="0.3">
      <c r="A1053" s="31"/>
      <c r="B1053" s="31"/>
      <c r="C1053" s="31"/>
      <c r="D1053" s="31"/>
      <c r="E1053" s="31"/>
      <c r="F1053" s="31"/>
      <c r="G1053" s="32"/>
      <c r="H1053" s="31"/>
      <c r="I1053" s="33"/>
      <c r="J1053" s="31"/>
      <c r="K1053" s="31"/>
    </row>
    <row r="1054" spans="1:11" ht="14.4" x14ac:dyDescent="0.3">
      <c r="A1054" s="31"/>
      <c r="B1054" s="31"/>
      <c r="C1054" s="31"/>
      <c r="D1054" s="31"/>
      <c r="E1054" s="31"/>
      <c r="F1054" s="31"/>
      <c r="G1054" s="32"/>
      <c r="H1054" s="31"/>
      <c r="I1054" s="33"/>
      <c r="J1054" s="31"/>
      <c r="K1054" s="31"/>
    </row>
    <row r="1055" spans="1:11" ht="14.4" x14ac:dyDescent="0.3">
      <c r="A1055" s="31"/>
      <c r="B1055" s="31"/>
      <c r="C1055" s="31"/>
      <c r="D1055" s="31"/>
      <c r="E1055" s="31"/>
      <c r="F1055" s="31"/>
      <c r="G1055" s="32"/>
      <c r="H1055" s="31"/>
      <c r="I1055" s="33"/>
      <c r="J1055" s="31"/>
      <c r="K1055" s="31"/>
    </row>
    <row r="1056" spans="1:11" ht="14.4" x14ac:dyDescent="0.3">
      <c r="A1056" s="31"/>
      <c r="B1056" s="31"/>
      <c r="C1056" s="31"/>
      <c r="D1056" s="31"/>
      <c r="E1056" s="31"/>
      <c r="F1056" s="31"/>
      <c r="G1056" s="32"/>
      <c r="H1056" s="31"/>
      <c r="I1056" s="33"/>
      <c r="J1056" s="31"/>
      <c r="K1056" s="31"/>
    </row>
    <row r="1057" spans="1:11" ht="14.4" x14ac:dyDescent="0.3">
      <c r="A1057" s="31"/>
      <c r="B1057" s="31"/>
      <c r="C1057" s="31"/>
      <c r="D1057" s="31"/>
      <c r="E1057" s="31"/>
      <c r="F1057" s="31"/>
      <c r="G1057" s="32"/>
      <c r="H1057" s="31"/>
      <c r="I1057" s="33"/>
      <c r="J1057" s="31"/>
      <c r="K1057" s="31"/>
    </row>
    <row r="1058" spans="1:11" ht="14.4" x14ac:dyDescent="0.3">
      <c r="A1058" s="31"/>
      <c r="B1058" s="31"/>
      <c r="C1058" s="31"/>
      <c r="D1058" s="31"/>
      <c r="E1058" s="31"/>
      <c r="F1058" s="31"/>
      <c r="G1058" s="32"/>
      <c r="H1058" s="31"/>
      <c r="I1058" s="33"/>
      <c r="J1058" s="31"/>
      <c r="K1058" s="31"/>
    </row>
    <row r="1059" spans="1:11" ht="14.4" x14ac:dyDescent="0.3">
      <c r="A1059" s="31"/>
      <c r="B1059" s="31"/>
      <c r="C1059" s="31"/>
      <c r="D1059" s="31"/>
      <c r="E1059" s="31"/>
      <c r="F1059" s="31"/>
      <c r="G1059" s="32"/>
      <c r="H1059" s="31"/>
      <c r="I1059" s="33"/>
      <c r="J1059" s="31"/>
      <c r="K1059" s="31"/>
    </row>
    <row r="1060" spans="1:11" ht="14.4" x14ac:dyDescent="0.3">
      <c r="A1060" s="31"/>
      <c r="B1060" s="31"/>
      <c r="C1060" s="31"/>
      <c r="D1060" s="31"/>
      <c r="E1060" s="31"/>
      <c r="F1060" s="31"/>
      <c r="G1060" s="32"/>
      <c r="H1060" s="31"/>
      <c r="I1060" s="33"/>
      <c r="J1060" s="31"/>
      <c r="K1060" s="31"/>
    </row>
    <row r="1061" spans="1:11" ht="14.4" x14ac:dyDescent="0.3">
      <c r="A1061" s="31"/>
      <c r="B1061" s="31"/>
      <c r="C1061" s="31"/>
      <c r="D1061" s="31"/>
      <c r="E1061" s="31"/>
      <c r="F1061" s="31"/>
      <c r="G1061" s="32"/>
      <c r="H1061" s="31"/>
      <c r="I1061" s="33"/>
      <c r="J1061" s="31"/>
      <c r="K1061" s="31"/>
    </row>
    <row r="1062" spans="1:11" ht="14.4" x14ac:dyDescent="0.3">
      <c r="A1062" s="31"/>
      <c r="B1062" s="31"/>
      <c r="C1062" s="31"/>
      <c r="D1062" s="31"/>
      <c r="E1062" s="31"/>
      <c r="F1062" s="31"/>
      <c r="G1062" s="32"/>
      <c r="H1062" s="31"/>
      <c r="I1062" s="33"/>
      <c r="J1062" s="31"/>
      <c r="K1062" s="31"/>
    </row>
    <row r="1063" spans="1:11" ht="14.4" x14ac:dyDescent="0.3">
      <c r="A1063" s="31"/>
      <c r="B1063" s="31"/>
      <c r="C1063" s="31"/>
      <c r="D1063" s="31"/>
      <c r="E1063" s="31"/>
      <c r="F1063" s="31"/>
      <c r="G1063" s="32"/>
      <c r="H1063" s="31"/>
      <c r="I1063" s="33"/>
      <c r="J1063" s="31"/>
      <c r="K1063" s="31"/>
    </row>
    <row r="1064" spans="1:11" ht="14.4" x14ac:dyDescent="0.3">
      <c r="A1064" s="31"/>
      <c r="B1064" s="31"/>
      <c r="C1064" s="31"/>
      <c r="D1064" s="31"/>
      <c r="E1064" s="31"/>
      <c r="F1064" s="31"/>
      <c r="G1064" s="32"/>
      <c r="H1064" s="31"/>
      <c r="I1064" s="33"/>
      <c r="J1064" s="31"/>
      <c r="K1064" s="31"/>
    </row>
    <row r="1065" spans="1:11" ht="14.4" x14ac:dyDescent="0.3">
      <c r="A1065" s="31"/>
      <c r="B1065" s="31"/>
      <c r="C1065" s="31"/>
      <c r="D1065" s="31"/>
      <c r="E1065" s="31"/>
      <c r="F1065" s="31"/>
      <c r="G1065" s="32"/>
      <c r="H1065" s="31"/>
      <c r="I1065" s="33"/>
      <c r="J1065" s="31"/>
      <c r="K1065" s="31"/>
    </row>
    <row r="1066" spans="1:11" ht="14.4" x14ac:dyDescent="0.3">
      <c r="A1066" s="31"/>
      <c r="B1066" s="31"/>
      <c r="C1066" s="31"/>
      <c r="D1066" s="31"/>
      <c r="E1066" s="31"/>
      <c r="F1066" s="31"/>
      <c r="G1066" s="32"/>
      <c r="H1066" s="31"/>
      <c r="I1066" s="33"/>
      <c r="J1066" s="31"/>
      <c r="K1066" s="31"/>
    </row>
    <row r="1067" spans="1:11" ht="14.4" x14ac:dyDescent="0.3">
      <c r="A1067" s="31"/>
      <c r="B1067" s="31"/>
      <c r="C1067" s="31"/>
      <c r="D1067" s="31"/>
      <c r="E1067" s="31"/>
      <c r="F1067" s="31"/>
      <c r="G1067" s="32"/>
      <c r="H1067" s="31"/>
      <c r="I1067" s="33"/>
      <c r="J1067" s="31"/>
      <c r="K1067" s="31"/>
    </row>
    <row r="1068" spans="1:11" ht="14.4" x14ac:dyDescent="0.3">
      <c r="A1068" s="31"/>
      <c r="B1068" s="31"/>
      <c r="C1068" s="31"/>
      <c r="D1068" s="31"/>
      <c r="E1068" s="31"/>
      <c r="F1068" s="31"/>
      <c r="G1068" s="32"/>
      <c r="H1068" s="31"/>
      <c r="I1068" s="33"/>
      <c r="J1068" s="31"/>
      <c r="K1068" s="31"/>
    </row>
    <row r="1069" spans="1:11" ht="14.4" x14ac:dyDescent="0.3">
      <c r="A1069" s="31"/>
      <c r="B1069" s="31"/>
      <c r="C1069" s="31"/>
      <c r="D1069" s="31"/>
      <c r="E1069" s="31"/>
      <c r="F1069" s="31"/>
      <c r="G1069" s="32"/>
      <c r="H1069" s="31"/>
      <c r="I1069" s="33"/>
      <c r="J1069" s="31"/>
      <c r="K1069" s="31"/>
    </row>
    <row r="1070" spans="1:11" ht="14.4" x14ac:dyDescent="0.3">
      <c r="A1070" s="31"/>
      <c r="B1070" s="31"/>
      <c r="C1070" s="31"/>
      <c r="D1070" s="31"/>
      <c r="E1070" s="31"/>
      <c r="F1070" s="31"/>
      <c r="G1070" s="32"/>
      <c r="H1070" s="31"/>
      <c r="I1070" s="33"/>
      <c r="J1070" s="31"/>
      <c r="K1070" s="31"/>
    </row>
    <row r="1071" spans="1:11" ht="14.4" x14ac:dyDescent="0.3">
      <c r="A1071" s="31"/>
      <c r="B1071" s="31"/>
      <c r="C1071" s="31"/>
      <c r="D1071" s="31"/>
      <c r="E1071" s="31"/>
      <c r="F1071" s="31"/>
      <c r="G1071" s="32"/>
      <c r="H1071" s="31"/>
      <c r="I1071" s="33"/>
      <c r="J1071" s="31"/>
      <c r="K1071" s="31"/>
    </row>
    <row r="1072" spans="1:11" ht="14.4" x14ac:dyDescent="0.3">
      <c r="A1072" s="31"/>
      <c r="B1072" s="31"/>
      <c r="C1072" s="31"/>
      <c r="D1072" s="31"/>
      <c r="E1072" s="31"/>
      <c r="F1072" s="31"/>
      <c r="G1072" s="32"/>
      <c r="H1072" s="31"/>
      <c r="I1072" s="33"/>
      <c r="J1072" s="31"/>
      <c r="K1072" s="31"/>
    </row>
    <row r="1073" spans="1:11" ht="14.4" x14ac:dyDescent="0.3">
      <c r="A1073" s="31"/>
      <c r="B1073" s="31"/>
      <c r="C1073" s="31"/>
      <c r="D1073" s="31"/>
      <c r="E1073" s="31"/>
      <c r="F1073" s="31"/>
      <c r="G1073" s="32"/>
      <c r="H1073" s="31"/>
      <c r="I1073" s="33"/>
      <c r="J1073" s="31"/>
      <c r="K1073" s="31"/>
    </row>
    <row r="1074" spans="1:11" ht="14.4" x14ac:dyDescent="0.3">
      <c r="A1074" s="31"/>
      <c r="B1074" s="31"/>
      <c r="C1074" s="31"/>
      <c r="D1074" s="31"/>
      <c r="E1074" s="31"/>
      <c r="F1074" s="31"/>
      <c r="G1074" s="32"/>
      <c r="H1074" s="31"/>
      <c r="I1074" s="33"/>
      <c r="J1074" s="31"/>
      <c r="K1074" s="31"/>
    </row>
    <row r="1075" spans="1:11" ht="14.4" x14ac:dyDescent="0.3">
      <c r="A1075" s="31"/>
      <c r="B1075" s="31"/>
      <c r="C1075" s="31"/>
      <c r="D1075" s="31"/>
      <c r="E1075" s="31"/>
      <c r="F1075" s="31"/>
      <c r="G1075" s="32"/>
      <c r="H1075" s="31"/>
      <c r="I1075" s="33"/>
      <c r="J1075" s="31"/>
      <c r="K1075" s="31"/>
    </row>
    <row r="1076" spans="1:11" ht="14.4" x14ac:dyDescent="0.3">
      <c r="A1076" s="31"/>
      <c r="B1076" s="31"/>
      <c r="C1076" s="31"/>
      <c r="D1076" s="31"/>
      <c r="E1076" s="31"/>
      <c r="F1076" s="31"/>
      <c r="G1076" s="32"/>
      <c r="H1076" s="31"/>
      <c r="I1076" s="33"/>
      <c r="J1076" s="31"/>
      <c r="K1076" s="31"/>
    </row>
    <row r="1077" spans="1:11" ht="14.4" x14ac:dyDescent="0.3">
      <c r="A1077" s="31"/>
      <c r="B1077" s="31"/>
      <c r="C1077" s="31"/>
      <c r="D1077" s="31"/>
      <c r="E1077" s="31"/>
      <c r="F1077" s="31"/>
      <c r="G1077" s="32"/>
      <c r="H1077" s="31"/>
      <c r="I1077" s="33"/>
      <c r="J1077" s="31"/>
      <c r="K1077" s="31"/>
    </row>
    <row r="1078" spans="1:11" ht="14.4" x14ac:dyDescent="0.3">
      <c r="A1078" s="31"/>
      <c r="B1078" s="31"/>
      <c r="C1078" s="31"/>
      <c r="D1078" s="31"/>
      <c r="E1078" s="31"/>
      <c r="F1078" s="31"/>
      <c r="G1078" s="32"/>
      <c r="H1078" s="31"/>
      <c r="I1078" s="33"/>
      <c r="J1078" s="31"/>
      <c r="K1078" s="31"/>
    </row>
    <row r="1079" spans="1:11" ht="14.4" x14ac:dyDescent="0.3">
      <c r="A1079" s="31"/>
      <c r="B1079" s="31"/>
      <c r="C1079" s="31"/>
      <c r="D1079" s="31"/>
      <c r="E1079" s="31"/>
      <c r="F1079" s="31"/>
      <c r="G1079" s="32"/>
      <c r="H1079" s="31"/>
      <c r="I1079" s="33"/>
      <c r="J1079" s="31"/>
      <c r="K1079" s="31"/>
    </row>
    <row r="1080" spans="1:11" ht="14.4" x14ac:dyDescent="0.3">
      <c r="A1080" s="31"/>
      <c r="B1080" s="31"/>
      <c r="C1080" s="31"/>
      <c r="D1080" s="31"/>
      <c r="E1080" s="31"/>
      <c r="F1080" s="31"/>
      <c r="G1080" s="32"/>
      <c r="H1080" s="31"/>
      <c r="I1080" s="33"/>
      <c r="J1080" s="31"/>
      <c r="K1080" s="31"/>
    </row>
    <row r="1081" spans="1:11" ht="14.4" x14ac:dyDescent="0.3">
      <c r="A1081" s="31"/>
      <c r="B1081" s="31"/>
      <c r="C1081" s="31"/>
      <c r="D1081" s="31"/>
      <c r="E1081" s="31"/>
      <c r="F1081" s="31"/>
      <c r="G1081" s="32"/>
      <c r="H1081" s="31"/>
      <c r="I1081" s="33"/>
      <c r="J1081" s="31"/>
      <c r="K1081" s="31"/>
    </row>
    <row r="1082" spans="1:11" ht="14.4" x14ac:dyDescent="0.3">
      <c r="A1082" s="31"/>
      <c r="B1082" s="31"/>
      <c r="C1082" s="31"/>
      <c r="D1082" s="31"/>
      <c r="E1082" s="31"/>
      <c r="F1082" s="31"/>
      <c r="G1082" s="32"/>
      <c r="H1082" s="31"/>
      <c r="I1082" s="33"/>
      <c r="J1082" s="31"/>
      <c r="K1082" s="31"/>
    </row>
    <row r="1083" spans="1:11" ht="14.4" x14ac:dyDescent="0.3">
      <c r="A1083" s="31"/>
      <c r="B1083" s="31"/>
      <c r="C1083" s="31"/>
      <c r="D1083" s="31"/>
      <c r="E1083" s="31"/>
      <c r="F1083" s="31"/>
      <c r="G1083" s="32"/>
      <c r="H1083" s="31"/>
      <c r="I1083" s="33"/>
      <c r="J1083" s="31"/>
      <c r="K1083" s="31"/>
    </row>
    <row r="1084" spans="1:11" ht="14.4" x14ac:dyDescent="0.3">
      <c r="A1084" s="31"/>
      <c r="B1084" s="31"/>
      <c r="C1084" s="31"/>
      <c r="D1084" s="31"/>
      <c r="E1084" s="31"/>
      <c r="F1084" s="31"/>
      <c r="G1084" s="32"/>
      <c r="H1084" s="31"/>
      <c r="I1084" s="33"/>
      <c r="J1084" s="31"/>
      <c r="K1084" s="31"/>
    </row>
    <row r="1085" spans="1:11" ht="14.4" x14ac:dyDescent="0.3">
      <c r="A1085" s="31"/>
      <c r="B1085" s="31"/>
      <c r="C1085" s="31"/>
      <c r="D1085" s="31"/>
      <c r="E1085" s="31"/>
      <c r="F1085" s="31"/>
      <c r="G1085" s="32"/>
      <c r="H1085" s="31"/>
      <c r="I1085" s="33"/>
      <c r="J1085" s="31"/>
      <c r="K1085" s="31"/>
    </row>
    <row r="1086" spans="1:11" ht="14.4" x14ac:dyDescent="0.3">
      <c r="A1086" s="31"/>
      <c r="B1086" s="31"/>
      <c r="C1086" s="31"/>
      <c r="D1086" s="31"/>
      <c r="E1086" s="31"/>
      <c r="F1086" s="31"/>
      <c r="G1086" s="32"/>
      <c r="H1086" s="31"/>
      <c r="I1086" s="33"/>
      <c r="J1086" s="31"/>
      <c r="K1086" s="31"/>
    </row>
    <row r="1087" spans="1:11" ht="14.4" x14ac:dyDescent="0.3">
      <c r="A1087" s="31"/>
      <c r="B1087" s="31"/>
      <c r="C1087" s="31"/>
      <c r="D1087" s="31"/>
      <c r="E1087" s="31"/>
      <c r="F1087" s="31"/>
      <c r="G1087" s="32"/>
      <c r="H1087" s="31"/>
      <c r="I1087" s="33"/>
      <c r="J1087" s="31"/>
      <c r="K1087" s="31"/>
    </row>
    <row r="1088" spans="1:11" ht="14.4" x14ac:dyDescent="0.3">
      <c r="A1088" s="31"/>
      <c r="B1088" s="31"/>
      <c r="C1088" s="31"/>
      <c r="D1088" s="31"/>
      <c r="E1088" s="31"/>
      <c r="F1088" s="31"/>
      <c r="G1088" s="32"/>
      <c r="H1088" s="31"/>
      <c r="I1088" s="33"/>
      <c r="J1088" s="31"/>
      <c r="K1088" s="31"/>
    </row>
    <row r="1089" spans="1:11" ht="14.4" x14ac:dyDescent="0.3">
      <c r="A1089" s="31"/>
      <c r="B1089" s="31"/>
      <c r="C1089" s="31"/>
      <c r="D1089" s="31"/>
      <c r="E1089" s="31"/>
      <c r="F1089" s="31"/>
      <c r="G1089" s="32"/>
      <c r="H1089" s="31"/>
      <c r="I1089" s="33"/>
      <c r="J1089" s="31"/>
      <c r="K1089" s="31"/>
    </row>
    <row r="1090" spans="1:11" ht="14.4" x14ac:dyDescent="0.3">
      <c r="A1090" s="31"/>
      <c r="B1090" s="31"/>
      <c r="C1090" s="31"/>
      <c r="D1090" s="31"/>
      <c r="E1090" s="31"/>
      <c r="F1090" s="31"/>
      <c r="G1090" s="32"/>
      <c r="H1090" s="31"/>
      <c r="I1090" s="33"/>
      <c r="J1090" s="31"/>
      <c r="K1090" s="31"/>
    </row>
    <row r="1091" spans="1:11" ht="14.4" x14ac:dyDescent="0.3">
      <c r="A1091" s="31"/>
      <c r="B1091" s="31"/>
      <c r="C1091" s="31"/>
      <c r="D1091" s="31"/>
      <c r="E1091" s="31"/>
      <c r="F1091" s="31"/>
      <c r="G1091" s="32"/>
      <c r="H1091" s="31"/>
      <c r="I1091" s="33"/>
      <c r="J1091" s="31"/>
      <c r="K1091" s="31"/>
    </row>
    <row r="1092" spans="1:11" ht="14.4" x14ac:dyDescent="0.3">
      <c r="A1092" s="31"/>
      <c r="B1092" s="31"/>
      <c r="C1092" s="31"/>
      <c r="D1092" s="31"/>
      <c r="E1092" s="31"/>
      <c r="F1092" s="31"/>
      <c r="G1092" s="32"/>
      <c r="H1092" s="31"/>
      <c r="I1092" s="33"/>
      <c r="J1092" s="31"/>
      <c r="K1092" s="31"/>
    </row>
    <row r="1093" spans="1:11" ht="14.4" x14ac:dyDescent="0.3">
      <c r="A1093" s="31"/>
      <c r="B1093" s="31"/>
      <c r="C1093" s="31"/>
      <c r="D1093" s="31"/>
      <c r="E1093" s="31"/>
      <c r="F1093" s="31"/>
      <c r="G1093" s="32"/>
      <c r="H1093" s="31"/>
      <c r="I1093" s="33"/>
      <c r="J1093" s="31"/>
      <c r="K1093" s="31"/>
    </row>
    <row r="1094" spans="1:11" ht="14.4" x14ac:dyDescent="0.3">
      <c r="A1094" s="31"/>
      <c r="B1094" s="31"/>
      <c r="C1094" s="31"/>
      <c r="D1094" s="31"/>
      <c r="E1094" s="31"/>
      <c r="F1094" s="31"/>
      <c r="G1094" s="32"/>
      <c r="H1094" s="31"/>
      <c r="I1094" s="33"/>
      <c r="J1094" s="31"/>
      <c r="K1094" s="31"/>
    </row>
    <row r="1095" spans="1:11" ht="14.4" x14ac:dyDescent="0.3">
      <c r="A1095" s="31"/>
      <c r="B1095" s="31"/>
      <c r="C1095" s="31"/>
      <c r="D1095" s="31"/>
      <c r="E1095" s="31"/>
      <c r="F1095" s="31"/>
      <c r="G1095" s="32"/>
      <c r="H1095" s="31"/>
      <c r="I1095" s="33"/>
      <c r="J1095" s="31"/>
      <c r="K1095" s="31"/>
    </row>
    <row r="1096" spans="1:11" ht="14.4" x14ac:dyDescent="0.3">
      <c r="A1096" s="31"/>
      <c r="B1096" s="31"/>
      <c r="C1096" s="31"/>
      <c r="D1096" s="31"/>
      <c r="E1096" s="31"/>
      <c r="F1096" s="31"/>
      <c r="G1096" s="32"/>
      <c r="H1096" s="31"/>
      <c r="I1096" s="33"/>
      <c r="J1096" s="31"/>
      <c r="K1096" s="31"/>
    </row>
    <row r="1097" spans="1:11" ht="14.4" x14ac:dyDescent="0.3">
      <c r="A1097" s="31"/>
      <c r="B1097" s="31"/>
      <c r="C1097" s="31"/>
      <c r="D1097" s="31"/>
      <c r="E1097" s="31"/>
      <c r="F1097" s="31"/>
      <c r="G1097" s="32"/>
      <c r="H1097" s="31"/>
      <c r="I1097" s="33"/>
      <c r="J1097" s="31"/>
      <c r="K1097" s="31"/>
    </row>
    <row r="1098" spans="1:11" ht="14.4" x14ac:dyDescent="0.3">
      <c r="A1098" s="31"/>
      <c r="B1098" s="31"/>
      <c r="C1098" s="31"/>
      <c r="D1098" s="31"/>
      <c r="E1098" s="31"/>
      <c r="F1098" s="31"/>
      <c r="G1098" s="32"/>
      <c r="H1098" s="31"/>
      <c r="I1098" s="33"/>
      <c r="J1098" s="31"/>
      <c r="K1098" s="31"/>
    </row>
    <row r="1099" spans="1:11" ht="14.4" x14ac:dyDescent="0.3">
      <c r="A1099" s="31"/>
      <c r="B1099" s="31"/>
      <c r="C1099" s="31"/>
      <c r="D1099" s="31"/>
      <c r="E1099" s="31"/>
      <c r="F1099" s="31"/>
      <c r="G1099" s="32"/>
      <c r="H1099" s="31"/>
      <c r="I1099" s="33"/>
      <c r="J1099" s="31"/>
      <c r="K1099" s="31"/>
    </row>
    <row r="1100" spans="1:11" ht="14.4" x14ac:dyDescent="0.3">
      <c r="A1100" s="31"/>
      <c r="B1100" s="31"/>
      <c r="C1100" s="31"/>
      <c r="D1100" s="31"/>
      <c r="E1100" s="31"/>
      <c r="F1100" s="31"/>
      <c r="G1100" s="32"/>
      <c r="H1100" s="31"/>
      <c r="I1100" s="33"/>
      <c r="J1100" s="31"/>
      <c r="K1100" s="31"/>
    </row>
    <row r="1101" spans="1:11" ht="14.4" x14ac:dyDescent="0.3">
      <c r="A1101" s="31"/>
      <c r="B1101" s="31"/>
      <c r="C1101" s="31"/>
      <c r="D1101" s="31"/>
      <c r="E1101" s="31"/>
      <c r="F1101" s="31"/>
      <c r="G1101" s="32"/>
      <c r="H1101" s="31"/>
      <c r="I1101" s="33"/>
      <c r="J1101" s="31"/>
      <c r="K1101" s="31"/>
    </row>
    <row r="1102" spans="1:11" ht="14.4" x14ac:dyDescent="0.3">
      <c r="A1102" s="31"/>
      <c r="B1102" s="31"/>
      <c r="C1102" s="31"/>
      <c r="D1102" s="31"/>
      <c r="E1102" s="31"/>
      <c r="F1102" s="31"/>
      <c r="G1102" s="32"/>
      <c r="H1102" s="31"/>
      <c r="I1102" s="33"/>
      <c r="J1102" s="31"/>
      <c r="K1102" s="31"/>
    </row>
    <row r="1103" spans="1:11" ht="14.4" x14ac:dyDescent="0.3">
      <c r="A1103" s="31"/>
      <c r="B1103" s="31"/>
      <c r="C1103" s="31"/>
      <c r="D1103" s="31"/>
      <c r="E1103" s="31"/>
      <c r="F1103" s="31"/>
      <c r="G1103" s="32"/>
      <c r="H1103" s="31"/>
      <c r="I1103" s="33"/>
      <c r="J1103" s="31"/>
      <c r="K1103" s="31"/>
    </row>
    <row r="1104" spans="1:11" ht="14.4" x14ac:dyDescent="0.3">
      <c r="A1104" s="31"/>
      <c r="B1104" s="31"/>
      <c r="C1104" s="31"/>
      <c r="D1104" s="31"/>
      <c r="E1104" s="31"/>
      <c r="F1104" s="31"/>
      <c r="G1104" s="32"/>
      <c r="H1104" s="31"/>
      <c r="I1104" s="33"/>
      <c r="J1104" s="31"/>
      <c r="K1104" s="31"/>
    </row>
    <row r="1105" spans="1:11" ht="14.4" x14ac:dyDescent="0.3">
      <c r="A1105" s="31"/>
      <c r="B1105" s="31"/>
      <c r="C1105" s="31"/>
      <c r="D1105" s="31"/>
      <c r="E1105" s="31"/>
      <c r="F1105" s="31"/>
      <c r="G1105" s="32"/>
      <c r="H1105" s="31"/>
      <c r="I1105" s="33"/>
      <c r="J1105" s="31"/>
      <c r="K1105" s="31"/>
    </row>
    <row r="1106" spans="1:11" ht="14.4" x14ac:dyDescent="0.3">
      <c r="A1106" s="31"/>
      <c r="B1106" s="31"/>
      <c r="C1106" s="31"/>
      <c r="D1106" s="31"/>
      <c r="E1106" s="31"/>
      <c r="F1106" s="31"/>
      <c r="G1106" s="32"/>
      <c r="H1106" s="31"/>
      <c r="I1106" s="33"/>
      <c r="J1106" s="31"/>
      <c r="K1106" s="31"/>
    </row>
    <row r="1107" spans="1:11" ht="14.4" x14ac:dyDescent="0.3">
      <c r="A1107" s="31"/>
      <c r="B1107" s="31"/>
      <c r="C1107" s="31"/>
      <c r="D1107" s="31"/>
      <c r="E1107" s="31"/>
      <c r="F1107" s="31"/>
      <c r="G1107" s="32"/>
      <c r="H1107" s="31"/>
      <c r="I1107" s="33"/>
      <c r="J1107" s="31"/>
      <c r="K1107" s="31"/>
    </row>
    <row r="1108" spans="1:11" ht="14.4" x14ac:dyDescent="0.3">
      <c r="A1108" s="31"/>
      <c r="B1108" s="31"/>
      <c r="C1108" s="31"/>
      <c r="D1108" s="31"/>
      <c r="E1108" s="31"/>
      <c r="F1108" s="31"/>
      <c r="G1108" s="32"/>
      <c r="H1108" s="31"/>
      <c r="I1108" s="33"/>
      <c r="J1108" s="31"/>
      <c r="K1108" s="31"/>
    </row>
    <row r="1109" spans="1:11" ht="14.4" x14ac:dyDescent="0.3">
      <c r="A1109" s="31"/>
      <c r="B1109" s="31"/>
      <c r="C1109" s="31"/>
      <c r="D1109" s="31"/>
      <c r="E1109" s="31"/>
      <c r="F1109" s="31"/>
      <c r="G1109" s="32"/>
      <c r="H1109" s="31"/>
      <c r="I1109" s="33"/>
      <c r="J1109" s="31"/>
      <c r="K1109" s="31"/>
    </row>
    <row r="1110" spans="1:11" ht="14.4" x14ac:dyDescent="0.3">
      <c r="A1110" s="31"/>
      <c r="B1110" s="31"/>
      <c r="C1110" s="31"/>
      <c r="D1110" s="31"/>
      <c r="E1110" s="31"/>
      <c r="F1110" s="31"/>
      <c r="G1110" s="32"/>
      <c r="H1110" s="31"/>
      <c r="I1110" s="33"/>
      <c r="J1110" s="31"/>
      <c r="K1110" s="31"/>
    </row>
    <row r="1111" spans="1:11" ht="14.4" x14ac:dyDescent="0.3">
      <c r="A1111" s="31"/>
      <c r="B1111" s="31"/>
      <c r="C1111" s="31"/>
      <c r="D1111" s="31"/>
      <c r="E1111" s="31"/>
      <c r="F1111" s="31"/>
      <c r="G1111" s="32"/>
      <c r="H1111" s="31"/>
      <c r="I1111" s="33"/>
      <c r="J1111" s="31"/>
      <c r="K1111" s="31"/>
    </row>
    <row r="1112" spans="1:11" ht="14.4" x14ac:dyDescent="0.3">
      <c r="A1112" s="31"/>
      <c r="B1112" s="31"/>
      <c r="C1112" s="31"/>
      <c r="D1112" s="31"/>
      <c r="E1112" s="31"/>
      <c r="F1112" s="31"/>
      <c r="G1112" s="32"/>
      <c r="H1112" s="31"/>
      <c r="I1112" s="33"/>
      <c r="J1112" s="31"/>
      <c r="K1112" s="31"/>
    </row>
    <row r="1113" spans="1:11" ht="14.4" x14ac:dyDescent="0.3">
      <c r="A1113" s="31"/>
      <c r="B1113" s="31"/>
      <c r="C1113" s="31"/>
      <c r="D1113" s="31"/>
      <c r="E1113" s="31"/>
      <c r="F1113" s="31"/>
      <c r="G1113" s="32"/>
      <c r="H1113" s="31"/>
      <c r="I1113" s="33"/>
      <c r="J1113" s="31"/>
      <c r="K1113" s="31"/>
    </row>
    <row r="1114" spans="1:11" ht="14.4" x14ac:dyDescent="0.3">
      <c r="A1114" s="31"/>
      <c r="B1114" s="31"/>
      <c r="C1114" s="31"/>
      <c r="D1114" s="31"/>
      <c r="E1114" s="31"/>
      <c r="F1114" s="31"/>
      <c r="G1114" s="32"/>
      <c r="H1114" s="31"/>
      <c r="I1114" s="33"/>
      <c r="J1114" s="31"/>
      <c r="K1114" s="31"/>
    </row>
    <row r="1115" spans="1:11" ht="14.4" x14ac:dyDescent="0.3">
      <c r="A1115" s="31"/>
      <c r="B1115" s="31"/>
      <c r="C1115" s="31"/>
      <c r="D1115" s="31"/>
      <c r="E1115" s="31"/>
      <c r="F1115" s="31"/>
      <c r="G1115" s="32"/>
      <c r="H1115" s="31"/>
      <c r="I1115" s="33"/>
      <c r="J1115" s="31"/>
      <c r="K1115" s="31"/>
    </row>
    <row r="1116" spans="1:11" ht="14.4" x14ac:dyDescent="0.3">
      <c r="A1116" s="31"/>
      <c r="B1116" s="31"/>
      <c r="C1116" s="31"/>
      <c r="D1116" s="31"/>
      <c r="E1116" s="31"/>
      <c r="F1116" s="31"/>
      <c r="G1116" s="32"/>
      <c r="H1116" s="31"/>
      <c r="I1116" s="33"/>
      <c r="J1116" s="31"/>
      <c r="K1116" s="31"/>
    </row>
    <row r="1117" spans="1:11" ht="14.4" x14ac:dyDescent="0.3">
      <c r="A1117" s="31"/>
      <c r="B1117" s="31"/>
      <c r="C1117" s="31"/>
      <c r="D1117" s="31"/>
      <c r="E1117" s="31"/>
      <c r="F1117" s="31"/>
      <c r="G1117" s="32"/>
      <c r="H1117" s="31"/>
      <c r="I1117" s="33"/>
      <c r="J1117" s="31"/>
      <c r="K1117" s="31"/>
    </row>
    <row r="1118" spans="1:11" ht="14.4" x14ac:dyDescent="0.3">
      <c r="A1118" s="31"/>
      <c r="B1118" s="31"/>
      <c r="C1118" s="31"/>
      <c r="D1118" s="31"/>
      <c r="E1118" s="31"/>
      <c r="F1118" s="31"/>
      <c r="G1118" s="32"/>
      <c r="H1118" s="31"/>
      <c r="I1118" s="33"/>
      <c r="J1118" s="31"/>
      <c r="K1118" s="31"/>
    </row>
    <row r="1119" spans="1:11" ht="14.4" x14ac:dyDescent="0.3">
      <c r="A1119" s="31"/>
      <c r="B1119" s="31"/>
      <c r="C1119" s="31"/>
      <c r="D1119" s="31"/>
      <c r="E1119" s="31"/>
      <c r="F1119" s="31"/>
      <c r="G1119" s="32"/>
      <c r="H1119" s="31"/>
      <c r="I1119" s="33"/>
      <c r="J1119" s="31"/>
      <c r="K1119" s="31"/>
    </row>
    <row r="1120" spans="1:11" ht="14.4" x14ac:dyDescent="0.3">
      <c r="A1120" s="31"/>
      <c r="B1120" s="31"/>
      <c r="C1120" s="31"/>
      <c r="D1120" s="31"/>
      <c r="E1120" s="31"/>
      <c r="F1120" s="31"/>
      <c r="G1120" s="32"/>
      <c r="H1120" s="31"/>
      <c r="I1120" s="33"/>
      <c r="J1120" s="31"/>
      <c r="K1120" s="31"/>
    </row>
    <row r="1121" spans="1:11" ht="14.4" x14ac:dyDescent="0.3">
      <c r="A1121" s="31"/>
      <c r="B1121" s="31"/>
      <c r="C1121" s="31"/>
      <c r="D1121" s="31"/>
      <c r="E1121" s="31"/>
      <c r="F1121" s="31"/>
      <c r="G1121" s="32"/>
      <c r="H1121" s="31"/>
      <c r="I1121" s="33"/>
      <c r="J1121" s="31"/>
      <c r="K1121" s="31"/>
    </row>
    <row r="1122" spans="1:11" ht="14.4" x14ac:dyDescent="0.3">
      <c r="A1122" s="31"/>
      <c r="B1122" s="31"/>
      <c r="C1122" s="31"/>
      <c r="D1122" s="31"/>
      <c r="E1122" s="31"/>
      <c r="F1122" s="31"/>
      <c r="G1122" s="32"/>
      <c r="H1122" s="31"/>
      <c r="I1122" s="33"/>
      <c r="J1122" s="31"/>
      <c r="K1122" s="31"/>
    </row>
    <row r="1123" spans="1:11" ht="14.4" x14ac:dyDescent="0.3">
      <c r="A1123" s="31"/>
      <c r="B1123" s="31"/>
      <c r="C1123" s="31"/>
      <c r="D1123" s="31"/>
      <c r="E1123" s="31"/>
      <c r="F1123" s="31"/>
      <c r="G1123" s="32"/>
      <c r="H1123" s="31"/>
      <c r="I1123" s="33"/>
      <c r="J1123" s="31"/>
      <c r="K1123" s="31"/>
    </row>
    <row r="1124" spans="1:11" ht="14.4" x14ac:dyDescent="0.3">
      <c r="A1124" s="31"/>
      <c r="B1124" s="31"/>
      <c r="C1124" s="31"/>
      <c r="D1124" s="31"/>
      <c r="E1124" s="31"/>
      <c r="F1124" s="31"/>
      <c r="G1124" s="32"/>
      <c r="H1124" s="31"/>
      <c r="I1124" s="33"/>
      <c r="J1124" s="31"/>
      <c r="K1124" s="31"/>
    </row>
    <row r="1125" spans="1:11" ht="14.4" x14ac:dyDescent="0.3">
      <c r="A1125" s="31"/>
      <c r="B1125" s="31"/>
      <c r="C1125" s="31"/>
      <c r="D1125" s="31"/>
      <c r="E1125" s="31"/>
      <c r="F1125" s="31"/>
      <c r="G1125" s="32"/>
      <c r="H1125" s="31"/>
      <c r="I1125" s="33"/>
      <c r="J1125" s="31"/>
      <c r="K1125" s="31"/>
    </row>
    <row r="1126" spans="1:11" ht="14.4" x14ac:dyDescent="0.3">
      <c r="A1126" s="31"/>
      <c r="B1126" s="31"/>
      <c r="C1126" s="31"/>
      <c r="D1126" s="31"/>
      <c r="E1126" s="31"/>
      <c r="F1126" s="31"/>
      <c r="G1126" s="32"/>
      <c r="H1126" s="31"/>
      <c r="I1126" s="33"/>
      <c r="J1126" s="31"/>
      <c r="K1126" s="31"/>
    </row>
    <row r="1127" spans="1:11" ht="14.4" x14ac:dyDescent="0.3">
      <c r="A1127" s="31"/>
      <c r="B1127" s="31"/>
      <c r="C1127" s="31"/>
      <c r="D1127" s="31"/>
      <c r="E1127" s="31"/>
      <c r="F1127" s="31"/>
      <c r="G1127" s="32"/>
      <c r="H1127" s="31"/>
      <c r="I1127" s="33"/>
      <c r="J1127" s="31"/>
      <c r="K1127" s="31"/>
    </row>
    <row r="1128" spans="1:11" ht="14.4" x14ac:dyDescent="0.3">
      <c r="A1128" s="31"/>
      <c r="B1128" s="31"/>
      <c r="C1128" s="31"/>
      <c r="D1128" s="31"/>
      <c r="E1128" s="31"/>
      <c r="F1128" s="31"/>
      <c r="G1128" s="32"/>
      <c r="H1128" s="31"/>
      <c r="I1128" s="33"/>
      <c r="J1128" s="31"/>
      <c r="K1128" s="31"/>
    </row>
    <row r="1129" spans="1:11" ht="14.4" x14ac:dyDescent="0.3">
      <c r="A1129" s="31"/>
      <c r="B1129" s="31"/>
      <c r="C1129" s="31"/>
      <c r="D1129" s="31"/>
      <c r="E1129" s="31"/>
      <c r="F1129" s="31"/>
      <c r="G1129" s="32"/>
      <c r="H1129" s="31"/>
      <c r="I1129" s="33"/>
      <c r="J1129" s="31"/>
      <c r="K1129" s="31"/>
    </row>
    <row r="1130" spans="1:11" ht="14.4" x14ac:dyDescent="0.3">
      <c r="A1130" s="31"/>
      <c r="B1130" s="31"/>
      <c r="C1130" s="31"/>
      <c r="D1130" s="31"/>
      <c r="E1130" s="31"/>
      <c r="F1130" s="31"/>
      <c r="G1130" s="32"/>
      <c r="H1130" s="31"/>
      <c r="I1130" s="33"/>
      <c r="J1130" s="31"/>
      <c r="K1130" s="31"/>
    </row>
    <row r="1131" spans="1:11" ht="14.4" x14ac:dyDescent="0.3">
      <c r="A1131" s="31"/>
      <c r="B1131" s="31"/>
      <c r="C1131" s="31"/>
      <c r="D1131" s="31"/>
      <c r="E1131" s="31"/>
      <c r="F1131" s="31"/>
      <c r="G1131" s="32"/>
      <c r="H1131" s="31"/>
      <c r="I1131" s="33"/>
      <c r="J1131" s="31"/>
      <c r="K1131" s="31"/>
    </row>
    <row r="1132" spans="1:11" ht="14.4" x14ac:dyDescent="0.3">
      <c r="A1132" s="31"/>
      <c r="B1132" s="31"/>
      <c r="C1132" s="31"/>
      <c r="D1132" s="31"/>
      <c r="E1132" s="31"/>
      <c r="F1132" s="31"/>
      <c r="G1132" s="32"/>
      <c r="H1132" s="31"/>
      <c r="I1132" s="33"/>
      <c r="J1132" s="31"/>
      <c r="K1132" s="31"/>
    </row>
    <row r="1133" spans="1:11" ht="14.4" x14ac:dyDescent="0.3">
      <c r="A1133" s="31"/>
      <c r="B1133" s="31"/>
      <c r="C1133" s="31"/>
      <c r="D1133" s="31"/>
      <c r="E1133" s="31"/>
      <c r="F1133" s="31"/>
      <c r="G1133" s="32"/>
      <c r="H1133" s="31"/>
      <c r="I1133" s="33"/>
      <c r="J1133" s="31"/>
      <c r="K1133" s="31"/>
    </row>
    <row r="1134" spans="1:11" ht="14.4" x14ac:dyDescent="0.3">
      <c r="A1134" s="31"/>
      <c r="B1134" s="31"/>
      <c r="C1134" s="31"/>
      <c r="D1134" s="31"/>
      <c r="E1134" s="31"/>
      <c r="F1134" s="31"/>
      <c r="G1134" s="32"/>
      <c r="H1134" s="31"/>
      <c r="I1134" s="33"/>
      <c r="J1134" s="31"/>
      <c r="K1134" s="31"/>
    </row>
    <row r="1135" spans="1:11" ht="14.4" x14ac:dyDescent="0.3">
      <c r="A1135" s="31"/>
      <c r="B1135" s="31"/>
      <c r="C1135" s="31"/>
      <c r="D1135" s="31"/>
      <c r="E1135" s="31"/>
      <c r="F1135" s="31"/>
      <c r="G1135" s="32"/>
      <c r="H1135" s="31"/>
      <c r="I1135" s="33"/>
      <c r="J1135" s="31"/>
      <c r="K1135" s="31"/>
    </row>
    <row r="1136" spans="1:11" ht="14.4" x14ac:dyDescent="0.3">
      <c r="A1136" s="31"/>
      <c r="B1136" s="31"/>
      <c r="C1136" s="31"/>
      <c r="D1136" s="31"/>
      <c r="E1136" s="31"/>
      <c r="F1136" s="31"/>
      <c r="G1136" s="32"/>
      <c r="H1136" s="31"/>
      <c r="I1136" s="33"/>
      <c r="J1136" s="31"/>
      <c r="K1136" s="31"/>
    </row>
    <row r="1137" spans="1:11" ht="14.4" x14ac:dyDescent="0.3">
      <c r="A1137" s="31"/>
      <c r="B1137" s="31"/>
      <c r="C1137" s="31"/>
      <c r="D1137" s="31"/>
      <c r="E1137" s="31"/>
      <c r="F1137" s="31"/>
      <c r="G1137" s="32"/>
      <c r="H1137" s="31"/>
      <c r="I1137" s="33"/>
      <c r="J1137" s="31"/>
      <c r="K1137" s="31"/>
    </row>
    <row r="1138" spans="1:11" ht="14.4" x14ac:dyDescent="0.3">
      <c r="A1138" s="31"/>
      <c r="B1138" s="31"/>
      <c r="C1138" s="31"/>
      <c r="D1138" s="31"/>
      <c r="E1138" s="31"/>
      <c r="F1138" s="31"/>
      <c r="G1138" s="32"/>
      <c r="H1138" s="31"/>
      <c r="I1138" s="33"/>
      <c r="J1138" s="31"/>
      <c r="K1138" s="31"/>
    </row>
    <row r="1139" spans="1:11" ht="14.4" x14ac:dyDescent="0.3">
      <c r="A1139" s="31"/>
      <c r="B1139" s="31"/>
      <c r="C1139" s="31"/>
      <c r="D1139" s="31"/>
      <c r="E1139" s="31"/>
      <c r="F1139" s="31"/>
      <c r="G1139" s="32"/>
      <c r="H1139" s="31"/>
      <c r="I1139" s="33"/>
      <c r="J1139" s="31"/>
      <c r="K1139" s="31"/>
    </row>
    <row r="1140" spans="1:11" ht="14.4" x14ac:dyDescent="0.3">
      <c r="A1140" s="31"/>
      <c r="B1140" s="31"/>
      <c r="C1140" s="31"/>
      <c r="D1140" s="31"/>
      <c r="E1140" s="31"/>
      <c r="F1140" s="31"/>
      <c r="G1140" s="32"/>
      <c r="H1140" s="31"/>
      <c r="I1140" s="33"/>
      <c r="J1140" s="31"/>
      <c r="K1140" s="31"/>
    </row>
    <row r="1141" spans="1:11" ht="14.4" x14ac:dyDescent="0.3">
      <c r="A1141" s="31"/>
      <c r="B1141" s="31"/>
      <c r="C1141" s="31"/>
      <c r="D1141" s="31"/>
      <c r="E1141" s="31"/>
      <c r="F1141" s="31"/>
      <c r="G1141" s="32"/>
      <c r="H1141" s="31"/>
      <c r="I1141" s="33"/>
      <c r="J1141" s="31"/>
      <c r="K1141" s="31"/>
    </row>
    <row r="1142" spans="1:11" ht="14.4" x14ac:dyDescent="0.3">
      <c r="A1142" s="31"/>
      <c r="B1142" s="31"/>
      <c r="C1142" s="31"/>
      <c r="D1142" s="31"/>
      <c r="E1142" s="31"/>
      <c r="F1142" s="31"/>
      <c r="G1142" s="32"/>
      <c r="H1142" s="31"/>
      <c r="I1142" s="33"/>
      <c r="J1142" s="31"/>
      <c r="K1142" s="31"/>
    </row>
    <row r="1143" spans="1:11" ht="14.4" x14ac:dyDescent="0.3">
      <c r="A1143" s="31"/>
      <c r="B1143" s="31"/>
      <c r="C1143" s="31"/>
      <c r="D1143" s="31"/>
      <c r="E1143" s="31"/>
      <c r="F1143" s="31"/>
      <c r="G1143" s="32"/>
      <c r="H1143" s="31"/>
      <c r="I1143" s="33"/>
      <c r="J1143" s="31"/>
      <c r="K1143" s="31"/>
    </row>
    <row r="1144" spans="1:11" ht="14.4" x14ac:dyDescent="0.3">
      <c r="A1144" s="31"/>
      <c r="B1144" s="31"/>
      <c r="C1144" s="31"/>
      <c r="D1144" s="31"/>
      <c r="E1144" s="31"/>
      <c r="F1144" s="31"/>
      <c r="G1144" s="32"/>
      <c r="H1144" s="31"/>
      <c r="I1144" s="33"/>
      <c r="J1144" s="31"/>
      <c r="K1144" s="31"/>
    </row>
    <row r="1145" spans="1:11" ht="14.4" x14ac:dyDescent="0.3">
      <c r="A1145" s="31"/>
      <c r="B1145" s="31"/>
      <c r="C1145" s="31"/>
      <c r="D1145" s="31"/>
      <c r="E1145" s="31"/>
      <c r="F1145" s="31"/>
      <c r="G1145" s="32"/>
      <c r="H1145" s="31"/>
      <c r="I1145" s="33"/>
      <c r="J1145" s="31"/>
      <c r="K1145" s="31"/>
    </row>
    <row r="1146" spans="1:11" ht="14.4" x14ac:dyDescent="0.3">
      <c r="A1146" s="31"/>
      <c r="B1146" s="31"/>
      <c r="C1146" s="31"/>
      <c r="D1146" s="31"/>
      <c r="E1146" s="31"/>
      <c r="F1146" s="31"/>
      <c r="G1146" s="32"/>
      <c r="H1146" s="31"/>
      <c r="I1146" s="33"/>
      <c r="J1146" s="31"/>
      <c r="K1146" s="31"/>
    </row>
    <row r="1147" spans="1:11" ht="14.4" x14ac:dyDescent="0.3">
      <c r="A1147" s="31"/>
      <c r="B1147" s="31"/>
      <c r="C1147" s="31"/>
      <c r="D1147" s="31"/>
      <c r="E1147" s="31"/>
      <c r="F1147" s="31"/>
      <c r="G1147" s="32"/>
      <c r="H1147" s="31"/>
      <c r="I1147" s="33"/>
      <c r="J1147" s="31"/>
      <c r="K1147" s="31"/>
    </row>
    <row r="1148" spans="1:11" ht="14.4" x14ac:dyDescent="0.3">
      <c r="A1148" s="31"/>
      <c r="B1148" s="31"/>
      <c r="C1148" s="31"/>
      <c r="D1148" s="31"/>
      <c r="E1148" s="31"/>
      <c r="F1148" s="31"/>
      <c r="G1148" s="32"/>
      <c r="H1148" s="31"/>
      <c r="I1148" s="33"/>
      <c r="J1148" s="31"/>
      <c r="K1148" s="31"/>
    </row>
    <row r="1149" spans="1:11" ht="14.4" x14ac:dyDescent="0.3">
      <c r="A1149" s="31"/>
      <c r="B1149" s="31"/>
      <c r="C1149" s="31"/>
      <c r="D1149" s="31"/>
      <c r="E1149" s="31"/>
      <c r="F1149" s="31"/>
      <c r="G1149" s="32"/>
      <c r="H1149" s="31"/>
      <c r="I1149" s="33"/>
      <c r="J1149" s="31"/>
      <c r="K1149" s="31"/>
    </row>
    <row r="1150" spans="1:11" ht="14.4" x14ac:dyDescent="0.3">
      <c r="A1150" s="31"/>
      <c r="B1150" s="31"/>
      <c r="C1150" s="31"/>
      <c r="D1150" s="31"/>
      <c r="E1150" s="31"/>
      <c r="F1150" s="31"/>
      <c r="G1150" s="32"/>
      <c r="H1150" s="31"/>
      <c r="I1150" s="33"/>
      <c r="J1150" s="31"/>
      <c r="K1150" s="31"/>
    </row>
    <row r="1151" spans="1:11" ht="14.4" x14ac:dyDescent="0.3">
      <c r="A1151" s="31"/>
      <c r="B1151" s="31"/>
      <c r="C1151" s="31"/>
      <c r="D1151" s="31"/>
      <c r="E1151" s="31"/>
      <c r="F1151" s="31"/>
      <c r="G1151" s="32"/>
      <c r="H1151" s="31"/>
      <c r="I1151" s="33"/>
      <c r="J1151" s="31"/>
      <c r="K1151" s="31"/>
    </row>
    <row r="1152" spans="1:11" ht="14.4" x14ac:dyDescent="0.3">
      <c r="A1152" s="31"/>
      <c r="B1152" s="31"/>
      <c r="C1152" s="31"/>
      <c r="D1152" s="31"/>
      <c r="E1152" s="31"/>
      <c r="F1152" s="31"/>
      <c r="G1152" s="32"/>
      <c r="H1152" s="31"/>
      <c r="I1152" s="33"/>
      <c r="J1152" s="31"/>
      <c r="K1152" s="31"/>
    </row>
    <row r="1153" spans="1:11" ht="14.4" x14ac:dyDescent="0.3">
      <c r="A1153" s="31"/>
      <c r="B1153" s="31"/>
      <c r="C1153" s="31"/>
      <c r="D1153" s="31"/>
      <c r="E1153" s="31"/>
      <c r="F1153" s="31"/>
      <c r="G1153" s="32"/>
      <c r="H1153" s="31"/>
      <c r="I1153" s="33"/>
      <c r="J1153" s="31"/>
      <c r="K1153" s="31"/>
    </row>
    <row r="1154" spans="1:11" ht="14.4" x14ac:dyDescent="0.3">
      <c r="A1154" s="31"/>
      <c r="B1154" s="31"/>
      <c r="C1154" s="31"/>
      <c r="D1154" s="31"/>
      <c r="E1154" s="31"/>
      <c r="F1154" s="31"/>
      <c r="G1154" s="32"/>
      <c r="H1154" s="31"/>
      <c r="I1154" s="33"/>
      <c r="J1154" s="31"/>
      <c r="K1154" s="31"/>
    </row>
    <row r="1155" spans="1:11" ht="14.4" x14ac:dyDescent="0.3">
      <c r="A1155" s="31"/>
      <c r="B1155" s="31"/>
      <c r="C1155" s="31"/>
      <c r="D1155" s="31"/>
      <c r="E1155" s="31"/>
      <c r="F1155" s="31"/>
      <c r="G1155" s="32"/>
      <c r="H1155" s="31"/>
      <c r="I1155" s="33"/>
      <c r="J1155" s="31"/>
      <c r="K1155" s="31"/>
    </row>
    <row r="1156" spans="1:11" ht="14.4" x14ac:dyDescent="0.3">
      <c r="A1156" s="31"/>
      <c r="B1156" s="31"/>
      <c r="C1156" s="31"/>
      <c r="D1156" s="31"/>
      <c r="E1156" s="31"/>
      <c r="F1156" s="31"/>
      <c r="G1156" s="32"/>
      <c r="H1156" s="31"/>
      <c r="I1156" s="33"/>
      <c r="J1156" s="31"/>
      <c r="K1156" s="31"/>
    </row>
    <row r="1157" spans="1:11" ht="14.4" x14ac:dyDescent="0.3">
      <c r="A1157" s="31"/>
      <c r="B1157" s="31"/>
      <c r="C1157" s="31"/>
      <c r="D1157" s="31"/>
      <c r="E1157" s="31"/>
      <c r="F1157" s="31"/>
      <c r="G1157" s="32"/>
      <c r="H1157" s="31"/>
      <c r="I1157" s="33"/>
      <c r="J1157" s="31"/>
      <c r="K1157" s="31"/>
    </row>
    <row r="1158" spans="1:11" ht="14.4" x14ac:dyDescent="0.3">
      <c r="A1158" s="31"/>
      <c r="B1158" s="31"/>
      <c r="C1158" s="31"/>
      <c r="D1158" s="31"/>
      <c r="E1158" s="31"/>
      <c r="F1158" s="31"/>
      <c r="G1158" s="32"/>
      <c r="H1158" s="31"/>
      <c r="I1158" s="33"/>
      <c r="J1158" s="31"/>
      <c r="K1158" s="31"/>
    </row>
    <row r="1159" spans="1:11" ht="14.4" x14ac:dyDescent="0.3">
      <c r="A1159" s="31"/>
      <c r="B1159" s="31"/>
      <c r="C1159" s="31"/>
      <c r="D1159" s="31"/>
      <c r="E1159" s="31"/>
      <c r="F1159" s="31"/>
      <c r="G1159" s="32"/>
      <c r="H1159" s="31"/>
      <c r="I1159" s="33"/>
      <c r="J1159" s="31"/>
      <c r="K1159" s="31"/>
    </row>
    <row r="1160" spans="1:11" ht="14.4" x14ac:dyDescent="0.3">
      <c r="A1160" s="31"/>
      <c r="B1160" s="31"/>
      <c r="C1160" s="31"/>
      <c r="D1160" s="31"/>
      <c r="E1160" s="31"/>
      <c r="F1160" s="31"/>
      <c r="G1160" s="32"/>
      <c r="H1160" s="31"/>
      <c r="I1160" s="33"/>
      <c r="J1160" s="31"/>
      <c r="K1160" s="31"/>
    </row>
    <row r="1161" spans="1:11" ht="14.4" x14ac:dyDescent="0.3">
      <c r="A1161" s="31"/>
      <c r="B1161" s="31"/>
      <c r="C1161" s="31"/>
      <c r="D1161" s="31"/>
      <c r="E1161" s="31"/>
      <c r="F1161" s="31"/>
      <c r="G1161" s="32"/>
      <c r="H1161" s="31"/>
      <c r="I1161" s="33"/>
      <c r="J1161" s="31"/>
      <c r="K1161" s="31"/>
    </row>
    <row r="1162" spans="1:11" ht="14.4" x14ac:dyDescent="0.3">
      <c r="A1162" s="31"/>
      <c r="B1162" s="31"/>
      <c r="C1162" s="31"/>
      <c r="D1162" s="31"/>
      <c r="E1162" s="31"/>
      <c r="F1162" s="31"/>
      <c r="G1162" s="32"/>
      <c r="H1162" s="31"/>
      <c r="I1162" s="33"/>
      <c r="J1162" s="31"/>
      <c r="K1162" s="31"/>
    </row>
    <row r="1163" spans="1:11" ht="14.4" x14ac:dyDescent="0.3">
      <c r="A1163" s="31"/>
      <c r="B1163" s="31"/>
      <c r="C1163" s="31"/>
      <c r="D1163" s="31"/>
      <c r="E1163" s="31"/>
      <c r="F1163" s="31"/>
      <c r="G1163" s="32"/>
      <c r="H1163" s="31"/>
      <c r="I1163" s="33"/>
      <c r="J1163" s="31"/>
      <c r="K1163" s="31"/>
    </row>
    <row r="1164" spans="1:11" ht="14.4" x14ac:dyDescent="0.3">
      <c r="A1164" s="31"/>
      <c r="B1164" s="31"/>
      <c r="C1164" s="31"/>
      <c r="D1164" s="31"/>
      <c r="E1164" s="31"/>
      <c r="F1164" s="31"/>
      <c r="G1164" s="32"/>
      <c r="H1164" s="31"/>
      <c r="I1164" s="33"/>
      <c r="J1164" s="31"/>
      <c r="K1164" s="31"/>
    </row>
    <row r="1165" spans="1:11" ht="14.4" x14ac:dyDescent="0.3">
      <c r="A1165" s="31"/>
      <c r="B1165" s="31"/>
      <c r="C1165" s="31"/>
      <c r="D1165" s="31"/>
      <c r="E1165" s="31"/>
      <c r="F1165" s="31"/>
      <c r="G1165" s="32"/>
      <c r="H1165" s="31"/>
      <c r="I1165" s="33"/>
      <c r="J1165" s="31"/>
      <c r="K1165" s="31"/>
    </row>
    <row r="1166" spans="1:11" ht="14.4" x14ac:dyDescent="0.3">
      <c r="A1166" s="31"/>
      <c r="B1166" s="31"/>
      <c r="C1166" s="31"/>
      <c r="D1166" s="31"/>
      <c r="E1166" s="31"/>
      <c r="F1166" s="31"/>
      <c r="G1166" s="32"/>
      <c r="H1166" s="31"/>
      <c r="I1166" s="33"/>
      <c r="J1166" s="31"/>
      <c r="K1166" s="31"/>
    </row>
    <row r="1167" spans="1:11" ht="14.4" x14ac:dyDescent="0.3">
      <c r="A1167" s="31"/>
      <c r="B1167" s="31"/>
      <c r="C1167" s="31"/>
      <c r="D1167" s="31"/>
      <c r="E1167" s="31"/>
      <c r="F1167" s="31"/>
      <c r="G1167" s="32"/>
      <c r="H1167" s="31"/>
      <c r="I1167" s="33"/>
      <c r="J1167" s="31"/>
      <c r="K1167" s="31"/>
    </row>
    <row r="1168" spans="1:11" ht="14.4" x14ac:dyDescent="0.3">
      <c r="A1168" s="31"/>
      <c r="B1168" s="31"/>
      <c r="C1168" s="31"/>
      <c r="D1168" s="31"/>
      <c r="E1168" s="31"/>
      <c r="F1168" s="31"/>
      <c r="G1168" s="32"/>
      <c r="H1168" s="31"/>
      <c r="I1168" s="33"/>
      <c r="J1168" s="31"/>
      <c r="K1168" s="31"/>
    </row>
    <row r="1169" spans="1:11" ht="14.4" x14ac:dyDescent="0.3">
      <c r="A1169" s="31"/>
      <c r="B1169" s="31"/>
      <c r="C1169" s="31"/>
      <c r="D1169" s="31"/>
      <c r="E1169" s="31"/>
      <c r="F1169" s="31"/>
      <c r="G1169" s="32"/>
      <c r="H1169" s="31"/>
      <c r="I1169" s="33"/>
      <c r="J1169" s="31"/>
      <c r="K1169" s="31"/>
    </row>
    <row r="1170" spans="1:11" ht="14.4" x14ac:dyDescent="0.3">
      <c r="A1170" s="31"/>
      <c r="B1170" s="31"/>
      <c r="C1170" s="31"/>
      <c r="D1170" s="31"/>
      <c r="E1170" s="31"/>
      <c r="F1170" s="31"/>
      <c r="G1170" s="32"/>
      <c r="H1170" s="31"/>
      <c r="I1170" s="33"/>
      <c r="J1170" s="31"/>
      <c r="K1170" s="31"/>
    </row>
    <row r="1171" spans="1:11" ht="14.4" x14ac:dyDescent="0.3">
      <c r="A1171" s="31"/>
      <c r="B1171" s="31"/>
      <c r="C1171" s="31"/>
      <c r="D1171" s="31"/>
      <c r="E1171" s="31"/>
      <c r="F1171" s="31"/>
      <c r="G1171" s="32"/>
      <c r="H1171" s="31"/>
      <c r="I1171" s="33"/>
      <c r="J1171" s="31"/>
      <c r="K1171" s="31"/>
    </row>
    <row r="1172" spans="1:11" ht="14.4" x14ac:dyDescent="0.3">
      <c r="A1172" s="31"/>
      <c r="B1172" s="31"/>
      <c r="C1172" s="31"/>
      <c r="D1172" s="31"/>
      <c r="E1172" s="31"/>
      <c r="F1172" s="31"/>
      <c r="G1172" s="32"/>
      <c r="H1172" s="31"/>
      <c r="I1172" s="33"/>
      <c r="J1172" s="31"/>
      <c r="K1172" s="31"/>
    </row>
    <row r="1173" spans="1:11" ht="14.4" x14ac:dyDescent="0.3">
      <c r="A1173" s="31"/>
      <c r="B1173" s="31"/>
      <c r="C1173" s="31"/>
      <c r="D1173" s="31"/>
      <c r="E1173" s="31"/>
      <c r="F1173" s="31"/>
      <c r="G1173" s="32"/>
      <c r="H1173" s="31"/>
      <c r="I1173" s="33"/>
      <c r="J1173" s="31"/>
      <c r="K1173" s="31"/>
    </row>
    <row r="1174" spans="1:11" ht="14.4" x14ac:dyDescent="0.3">
      <c r="A1174" s="31"/>
      <c r="B1174" s="31"/>
      <c r="C1174" s="31"/>
      <c r="D1174" s="31"/>
      <c r="E1174" s="31"/>
      <c r="F1174" s="31"/>
      <c r="G1174" s="32"/>
      <c r="H1174" s="31"/>
      <c r="I1174" s="33"/>
      <c r="J1174" s="31"/>
      <c r="K1174" s="31"/>
    </row>
    <row r="1175" spans="1:11" ht="14.4" x14ac:dyDescent="0.3">
      <c r="A1175" s="31"/>
      <c r="B1175" s="31"/>
      <c r="C1175" s="31"/>
      <c r="D1175" s="31"/>
      <c r="E1175" s="31"/>
      <c r="F1175" s="31"/>
      <c r="G1175" s="32"/>
      <c r="H1175" s="31"/>
      <c r="I1175" s="33"/>
      <c r="J1175" s="31"/>
      <c r="K1175" s="31"/>
    </row>
    <row r="1176" spans="1:11" ht="14.4" x14ac:dyDescent="0.3">
      <c r="A1176" s="31"/>
      <c r="B1176" s="31"/>
      <c r="C1176" s="31"/>
      <c r="D1176" s="31"/>
      <c r="E1176" s="31"/>
      <c r="F1176" s="31"/>
      <c r="G1176" s="32"/>
      <c r="H1176" s="31"/>
      <c r="I1176" s="33"/>
      <c r="J1176" s="31"/>
      <c r="K1176" s="31"/>
    </row>
    <row r="1177" spans="1:11" ht="14.4" x14ac:dyDescent="0.3">
      <c r="A1177" s="31"/>
      <c r="B1177" s="31"/>
      <c r="C1177" s="31"/>
      <c r="D1177" s="31"/>
      <c r="E1177" s="31"/>
      <c r="F1177" s="31"/>
      <c r="G1177" s="32"/>
      <c r="H1177" s="31"/>
      <c r="I1177" s="33"/>
      <c r="J1177" s="31"/>
      <c r="K1177" s="31"/>
    </row>
    <row r="1178" spans="1:11" ht="14.4" x14ac:dyDescent="0.3">
      <c r="A1178" s="31"/>
      <c r="B1178" s="31"/>
      <c r="C1178" s="31"/>
      <c r="D1178" s="31"/>
      <c r="E1178" s="31"/>
      <c r="F1178" s="31"/>
      <c r="G1178" s="32"/>
      <c r="H1178" s="31"/>
      <c r="I1178" s="33"/>
      <c r="J1178" s="31"/>
      <c r="K1178" s="31"/>
    </row>
    <row r="1179" spans="1:11" ht="14.4" x14ac:dyDescent="0.3">
      <c r="A1179" s="31"/>
      <c r="B1179" s="31"/>
      <c r="C1179" s="31"/>
      <c r="D1179" s="31"/>
      <c r="E1179" s="31"/>
      <c r="F1179" s="31"/>
      <c r="G1179" s="32"/>
      <c r="H1179" s="31"/>
      <c r="I1179" s="33"/>
      <c r="J1179" s="31"/>
      <c r="K1179" s="31"/>
    </row>
    <row r="1180" spans="1:11" ht="14.4" x14ac:dyDescent="0.3">
      <c r="A1180" s="31"/>
      <c r="B1180" s="31"/>
      <c r="C1180" s="31"/>
      <c r="D1180" s="31"/>
      <c r="E1180" s="31"/>
      <c r="F1180" s="31"/>
      <c r="G1180" s="32"/>
      <c r="H1180" s="31"/>
      <c r="I1180" s="33"/>
      <c r="J1180" s="31"/>
      <c r="K1180" s="31"/>
    </row>
    <row r="1181" spans="1:11" ht="14.4" x14ac:dyDescent="0.3">
      <c r="A1181" s="31"/>
      <c r="B1181" s="31"/>
      <c r="C1181" s="31"/>
      <c r="D1181" s="31"/>
      <c r="E1181" s="31"/>
      <c r="F1181" s="31"/>
      <c r="G1181" s="32"/>
      <c r="H1181" s="31"/>
      <c r="I1181" s="33"/>
      <c r="J1181" s="31"/>
      <c r="K1181" s="31"/>
    </row>
    <row r="1182" spans="1:11" ht="14.4" x14ac:dyDescent="0.3">
      <c r="A1182" s="31"/>
      <c r="B1182" s="31"/>
      <c r="C1182" s="31"/>
      <c r="D1182" s="31"/>
      <c r="E1182" s="31"/>
      <c r="F1182" s="31"/>
      <c r="G1182" s="32"/>
      <c r="H1182" s="31"/>
      <c r="I1182" s="33"/>
      <c r="J1182" s="31"/>
      <c r="K1182" s="31"/>
    </row>
    <row r="1183" spans="1:11" ht="14.4" x14ac:dyDescent="0.3">
      <c r="A1183" s="31"/>
      <c r="B1183" s="31"/>
      <c r="C1183" s="31"/>
      <c r="D1183" s="31"/>
      <c r="E1183" s="31"/>
      <c r="F1183" s="31"/>
      <c r="G1183" s="32"/>
      <c r="H1183" s="31"/>
      <c r="I1183" s="33"/>
      <c r="J1183" s="31"/>
      <c r="K1183" s="31"/>
    </row>
    <row r="1184" spans="1:11" ht="14.4" x14ac:dyDescent="0.3">
      <c r="A1184" s="31"/>
      <c r="B1184" s="31"/>
      <c r="C1184" s="31"/>
      <c r="D1184" s="31"/>
      <c r="E1184" s="31"/>
      <c r="F1184" s="31"/>
      <c r="G1184" s="32"/>
      <c r="H1184" s="31"/>
      <c r="I1184" s="33"/>
      <c r="J1184" s="31"/>
      <c r="K1184" s="31"/>
    </row>
    <row r="1185" spans="1:11" ht="14.4" x14ac:dyDescent="0.3">
      <c r="A1185" s="31"/>
      <c r="B1185" s="31"/>
      <c r="C1185" s="31"/>
      <c r="D1185" s="31"/>
      <c r="E1185" s="31"/>
      <c r="F1185" s="31"/>
      <c r="G1185" s="32"/>
      <c r="H1185" s="31"/>
      <c r="I1185" s="33"/>
      <c r="J1185" s="31"/>
      <c r="K1185" s="31"/>
    </row>
    <row r="1186" spans="1:11" ht="14.4" x14ac:dyDescent="0.3">
      <c r="A1186" s="31"/>
      <c r="B1186" s="31"/>
      <c r="C1186" s="31"/>
      <c r="D1186" s="31"/>
      <c r="E1186" s="31"/>
      <c r="F1186" s="31"/>
      <c r="G1186" s="32"/>
      <c r="H1186" s="31"/>
      <c r="I1186" s="33"/>
      <c r="J1186" s="31"/>
      <c r="K1186" s="31"/>
    </row>
    <row r="1187" spans="1:11" ht="14.4" x14ac:dyDescent="0.3">
      <c r="A1187" s="31"/>
      <c r="B1187" s="31"/>
      <c r="C1187" s="31"/>
      <c r="D1187" s="31"/>
      <c r="E1187" s="31"/>
      <c r="F1187" s="31"/>
      <c r="G1187" s="32"/>
      <c r="H1187" s="31"/>
      <c r="I1187" s="33"/>
      <c r="J1187" s="31"/>
      <c r="K1187" s="31"/>
    </row>
    <row r="1188" spans="1:11" ht="14.4" x14ac:dyDescent="0.3">
      <c r="A1188" s="31"/>
      <c r="B1188" s="31"/>
      <c r="C1188" s="31"/>
      <c r="D1188" s="31"/>
      <c r="E1188" s="31"/>
      <c r="F1188" s="31"/>
      <c r="G1188" s="32"/>
      <c r="H1188" s="31"/>
      <c r="I1188" s="33"/>
      <c r="J1188" s="31"/>
      <c r="K1188" s="31"/>
    </row>
    <row r="1189" spans="1:11" ht="14.4" x14ac:dyDescent="0.3">
      <c r="A1189" s="31"/>
      <c r="B1189" s="31"/>
      <c r="C1189" s="31"/>
      <c r="D1189" s="31"/>
      <c r="E1189" s="31"/>
      <c r="F1189" s="31"/>
      <c r="G1189" s="32"/>
      <c r="H1189" s="31"/>
      <c r="I1189" s="33"/>
      <c r="J1189" s="31"/>
      <c r="K1189" s="31"/>
    </row>
    <row r="1190" spans="1:11" ht="14.4" x14ac:dyDescent="0.3">
      <c r="A1190" s="31"/>
      <c r="B1190" s="31"/>
      <c r="C1190" s="31"/>
      <c r="D1190" s="31"/>
      <c r="E1190" s="31"/>
      <c r="F1190" s="31"/>
      <c r="G1190" s="32"/>
      <c r="H1190" s="31"/>
      <c r="I1190" s="33"/>
      <c r="J1190" s="31"/>
      <c r="K1190" s="31"/>
    </row>
    <row r="1191" spans="1:11" ht="14.4" x14ac:dyDescent="0.3">
      <c r="A1191" s="31"/>
      <c r="B1191" s="31"/>
      <c r="C1191" s="31"/>
      <c r="D1191" s="31"/>
      <c r="E1191" s="31"/>
      <c r="F1191" s="31"/>
      <c r="G1191" s="32"/>
      <c r="H1191" s="31"/>
      <c r="I1191" s="33"/>
      <c r="J1191" s="31"/>
      <c r="K1191" s="31"/>
    </row>
    <row r="1192" spans="1:11" ht="14.4" x14ac:dyDescent="0.3">
      <c r="A1192" s="31"/>
      <c r="B1192" s="31"/>
      <c r="C1192" s="31"/>
      <c r="D1192" s="31"/>
      <c r="E1192" s="31"/>
      <c r="F1192" s="31"/>
      <c r="G1192" s="32"/>
      <c r="H1192" s="31"/>
      <c r="I1192" s="33"/>
      <c r="J1192" s="31"/>
      <c r="K1192" s="31"/>
    </row>
    <row r="1193" spans="1:11" ht="14.4" x14ac:dyDescent="0.3">
      <c r="A1193" s="31"/>
      <c r="B1193" s="31"/>
      <c r="C1193" s="31"/>
      <c r="D1193" s="31"/>
      <c r="E1193" s="31"/>
      <c r="F1193" s="31"/>
      <c r="G1193" s="32"/>
      <c r="H1193" s="31"/>
      <c r="I1193" s="33"/>
      <c r="J1193" s="31"/>
      <c r="K1193" s="31"/>
    </row>
    <row r="1194" spans="1:11" ht="14.4" x14ac:dyDescent="0.3">
      <c r="A1194" s="31"/>
      <c r="B1194" s="31"/>
      <c r="C1194" s="31"/>
      <c r="D1194" s="31"/>
      <c r="E1194" s="31"/>
      <c r="F1194" s="31"/>
      <c r="G1194" s="32"/>
      <c r="H1194" s="31"/>
      <c r="I1194" s="33"/>
      <c r="J1194" s="31"/>
      <c r="K1194" s="31"/>
    </row>
    <row r="1195" spans="1:11" ht="14.4" x14ac:dyDescent="0.3">
      <c r="A1195" s="31"/>
      <c r="B1195" s="31"/>
      <c r="C1195" s="31"/>
      <c r="D1195" s="31"/>
      <c r="E1195" s="31"/>
      <c r="F1195" s="31"/>
      <c r="G1195" s="32"/>
      <c r="H1195" s="31"/>
      <c r="I1195" s="33"/>
      <c r="J1195" s="31"/>
      <c r="K1195" s="31"/>
    </row>
    <row r="1196" spans="1:11" ht="14.4" x14ac:dyDescent="0.3">
      <c r="A1196" s="31"/>
      <c r="B1196" s="31"/>
      <c r="C1196" s="31"/>
      <c r="D1196" s="31"/>
      <c r="E1196" s="31"/>
      <c r="F1196" s="31"/>
      <c r="G1196" s="32"/>
      <c r="H1196" s="31"/>
      <c r="I1196" s="33"/>
      <c r="J1196" s="31"/>
      <c r="K1196" s="31"/>
    </row>
    <row r="1197" spans="1:11" ht="14.4" x14ac:dyDescent="0.3">
      <c r="A1197" s="31"/>
      <c r="B1197" s="31"/>
      <c r="C1197" s="31"/>
      <c r="D1197" s="31"/>
      <c r="E1197" s="31"/>
      <c r="F1197" s="31"/>
      <c r="G1197" s="32"/>
      <c r="H1197" s="31"/>
      <c r="I1197" s="33"/>
      <c r="J1197" s="31"/>
      <c r="K1197" s="31"/>
    </row>
    <row r="1198" spans="1:11" ht="14.4" x14ac:dyDescent="0.3">
      <c r="A1198" s="31"/>
      <c r="B1198" s="31"/>
      <c r="C1198" s="31"/>
      <c r="D1198" s="31"/>
      <c r="E1198" s="31"/>
      <c r="F1198" s="31"/>
      <c r="G1198" s="32"/>
      <c r="H1198" s="31"/>
      <c r="I1198" s="33"/>
      <c r="J1198" s="31"/>
      <c r="K1198" s="31"/>
    </row>
    <row r="1199" spans="1:11" ht="14.4" x14ac:dyDescent="0.3">
      <c r="A1199" s="31"/>
      <c r="B1199" s="31"/>
      <c r="C1199" s="31"/>
      <c r="D1199" s="31"/>
      <c r="E1199" s="31"/>
      <c r="F1199" s="31"/>
      <c r="G1199" s="32"/>
      <c r="H1199" s="31"/>
      <c r="I1199" s="33"/>
      <c r="J1199" s="31"/>
      <c r="K1199" s="31"/>
    </row>
    <row r="1200" spans="1:11" ht="14.4" x14ac:dyDescent="0.3">
      <c r="A1200" s="31"/>
      <c r="B1200" s="31"/>
      <c r="C1200" s="31"/>
      <c r="D1200" s="31"/>
      <c r="E1200" s="31"/>
      <c r="F1200" s="31"/>
      <c r="G1200" s="32"/>
      <c r="H1200" s="31"/>
      <c r="I1200" s="33"/>
      <c r="J1200" s="31"/>
      <c r="K1200" s="31"/>
    </row>
    <row r="1201" spans="1:11" ht="14.4" x14ac:dyDescent="0.3">
      <c r="A1201" s="31"/>
      <c r="B1201" s="31"/>
      <c r="C1201" s="31"/>
      <c r="D1201" s="31"/>
      <c r="E1201" s="31"/>
      <c r="F1201" s="31"/>
      <c r="G1201" s="32"/>
      <c r="H1201" s="31"/>
      <c r="I1201" s="33"/>
      <c r="J1201" s="31"/>
      <c r="K1201" s="31"/>
    </row>
    <row r="1202" spans="1:11" ht="14.4" x14ac:dyDescent="0.3">
      <c r="A1202" s="31"/>
      <c r="B1202" s="31"/>
      <c r="C1202" s="31"/>
      <c r="D1202" s="31"/>
      <c r="E1202" s="31"/>
      <c r="F1202" s="31"/>
      <c r="G1202" s="32"/>
      <c r="H1202" s="31"/>
      <c r="I1202" s="33"/>
      <c r="J1202" s="31"/>
      <c r="K1202" s="31"/>
    </row>
    <row r="1203" spans="1:11" ht="14.4" x14ac:dyDescent="0.3">
      <c r="A1203" s="31"/>
      <c r="B1203" s="31"/>
      <c r="C1203" s="31"/>
      <c r="D1203" s="31"/>
      <c r="E1203" s="31"/>
      <c r="F1203" s="31"/>
      <c r="G1203" s="32"/>
      <c r="H1203" s="31"/>
      <c r="I1203" s="33"/>
      <c r="J1203" s="31"/>
      <c r="K1203" s="31"/>
    </row>
    <row r="1204" spans="1:11" ht="14.4" x14ac:dyDescent="0.3">
      <c r="A1204" s="31"/>
      <c r="B1204" s="31"/>
      <c r="C1204" s="31"/>
      <c r="D1204" s="31"/>
      <c r="E1204" s="31"/>
      <c r="F1204" s="31"/>
      <c r="G1204" s="32"/>
      <c r="H1204" s="31"/>
      <c r="I1204" s="33"/>
      <c r="J1204" s="31"/>
      <c r="K1204" s="31"/>
    </row>
    <row r="1205" spans="1:11" ht="14.4" x14ac:dyDescent="0.3">
      <c r="A1205" s="31"/>
      <c r="B1205" s="31"/>
      <c r="C1205" s="31"/>
      <c r="D1205" s="31"/>
      <c r="E1205" s="31"/>
      <c r="F1205" s="31"/>
      <c r="G1205" s="32"/>
      <c r="H1205" s="31"/>
      <c r="I1205" s="33"/>
      <c r="J1205" s="31"/>
      <c r="K1205" s="31"/>
    </row>
    <row r="1206" spans="1:11" ht="14.4" x14ac:dyDescent="0.3">
      <c r="A1206" s="31"/>
      <c r="B1206" s="31"/>
      <c r="C1206" s="31"/>
      <c r="D1206" s="31"/>
      <c r="E1206" s="31"/>
      <c r="F1206" s="31"/>
      <c r="G1206" s="32"/>
      <c r="H1206" s="31"/>
      <c r="I1206" s="33"/>
      <c r="J1206" s="31"/>
      <c r="K1206" s="31"/>
    </row>
    <row r="1207" spans="1:11" ht="14.4" x14ac:dyDescent="0.3">
      <c r="A1207" s="31"/>
      <c r="B1207" s="31"/>
      <c r="C1207" s="31"/>
      <c r="D1207" s="31"/>
      <c r="E1207" s="31"/>
      <c r="F1207" s="31"/>
      <c r="G1207" s="32"/>
      <c r="H1207" s="31"/>
      <c r="I1207" s="33"/>
      <c r="J1207" s="31"/>
      <c r="K1207" s="31"/>
    </row>
    <row r="1208" spans="1:11" ht="14.4" x14ac:dyDescent="0.3">
      <c r="A1208" s="31"/>
      <c r="B1208" s="31"/>
      <c r="C1208" s="31"/>
      <c r="D1208" s="31"/>
      <c r="E1208" s="31"/>
      <c r="F1208" s="31"/>
      <c r="G1208" s="32"/>
      <c r="H1208" s="31"/>
      <c r="I1208" s="33"/>
      <c r="J1208" s="31"/>
      <c r="K1208" s="31"/>
    </row>
    <row r="1209" spans="1:11" ht="14.4" x14ac:dyDescent="0.3">
      <c r="A1209" s="31"/>
      <c r="B1209" s="31"/>
      <c r="C1209" s="31"/>
      <c r="D1209" s="31"/>
      <c r="E1209" s="31"/>
      <c r="F1209" s="31"/>
      <c r="G1209" s="32"/>
      <c r="H1209" s="31"/>
      <c r="I1209" s="33"/>
      <c r="J1209" s="31"/>
      <c r="K1209" s="31"/>
    </row>
    <row r="1210" spans="1:11" ht="14.4" x14ac:dyDescent="0.3">
      <c r="A1210" s="31"/>
      <c r="B1210" s="31"/>
      <c r="C1210" s="31"/>
      <c r="D1210" s="31"/>
      <c r="E1210" s="31"/>
      <c r="F1210" s="31"/>
      <c r="G1210" s="32"/>
      <c r="H1210" s="31"/>
      <c r="I1210" s="33"/>
      <c r="J1210" s="31"/>
      <c r="K1210" s="31"/>
    </row>
    <row r="1211" spans="1:11" ht="14.4" x14ac:dyDescent="0.3">
      <c r="A1211" s="31"/>
      <c r="B1211" s="31"/>
      <c r="C1211" s="31"/>
      <c r="D1211" s="31"/>
      <c r="E1211" s="31"/>
      <c r="F1211" s="31"/>
      <c r="G1211" s="32"/>
      <c r="H1211" s="31"/>
      <c r="I1211" s="33"/>
      <c r="J1211" s="31"/>
      <c r="K1211" s="31"/>
    </row>
    <row r="1212" spans="1:11" ht="14.4" x14ac:dyDescent="0.3">
      <c r="A1212" s="31"/>
      <c r="B1212" s="31"/>
      <c r="C1212" s="31"/>
      <c r="D1212" s="31"/>
      <c r="E1212" s="31"/>
      <c r="F1212" s="31"/>
      <c r="G1212" s="32"/>
      <c r="H1212" s="31"/>
      <c r="I1212" s="33"/>
      <c r="J1212" s="31"/>
      <c r="K1212" s="31"/>
    </row>
    <row r="1213" spans="1:11" ht="14.4" x14ac:dyDescent="0.3">
      <c r="A1213" s="31"/>
      <c r="B1213" s="31"/>
      <c r="C1213" s="31"/>
      <c r="D1213" s="31"/>
      <c r="E1213" s="31"/>
      <c r="F1213" s="31"/>
      <c r="G1213" s="32"/>
      <c r="H1213" s="31"/>
      <c r="I1213" s="33"/>
      <c r="J1213" s="31"/>
      <c r="K1213" s="31"/>
    </row>
    <row r="1214" spans="1:11" ht="14.4" x14ac:dyDescent="0.3">
      <c r="A1214" s="31"/>
      <c r="B1214" s="31"/>
      <c r="C1214" s="31"/>
      <c r="D1214" s="31"/>
      <c r="E1214" s="31"/>
      <c r="F1214" s="31"/>
      <c r="G1214" s="32"/>
      <c r="H1214" s="31"/>
      <c r="I1214" s="33"/>
      <c r="J1214" s="31"/>
      <c r="K1214" s="31"/>
    </row>
    <row r="1215" spans="1:11" ht="14.4" x14ac:dyDescent="0.3">
      <c r="A1215" s="31"/>
      <c r="B1215" s="31"/>
      <c r="C1215" s="31"/>
      <c r="D1215" s="31"/>
      <c r="E1215" s="31"/>
      <c r="F1215" s="31"/>
      <c r="G1215" s="32"/>
      <c r="H1215" s="31"/>
      <c r="I1215" s="33"/>
      <c r="J1215" s="31"/>
      <c r="K1215" s="31"/>
    </row>
    <row r="1216" spans="1:11" ht="14.4" x14ac:dyDescent="0.3">
      <c r="A1216" s="31"/>
      <c r="B1216" s="31"/>
      <c r="C1216" s="31"/>
      <c r="D1216" s="31"/>
      <c r="E1216" s="31"/>
      <c r="F1216" s="31"/>
      <c r="G1216" s="32"/>
      <c r="H1216" s="31"/>
      <c r="I1216" s="33"/>
      <c r="J1216" s="31"/>
      <c r="K1216" s="31"/>
    </row>
    <row r="1217" spans="1:11" ht="14.4" x14ac:dyDescent="0.3">
      <c r="A1217" s="31"/>
      <c r="B1217" s="31"/>
      <c r="C1217" s="31"/>
      <c r="D1217" s="31"/>
      <c r="E1217" s="31"/>
      <c r="F1217" s="31"/>
      <c r="G1217" s="32"/>
      <c r="H1217" s="31"/>
      <c r="I1217" s="33"/>
      <c r="J1217" s="31"/>
      <c r="K1217" s="31"/>
    </row>
    <row r="1218" spans="1:11" ht="14.4" x14ac:dyDescent="0.3">
      <c r="A1218" s="31"/>
      <c r="B1218" s="31"/>
      <c r="C1218" s="31"/>
      <c r="D1218" s="31"/>
      <c r="E1218" s="31"/>
      <c r="F1218" s="31"/>
      <c r="G1218" s="32"/>
      <c r="H1218" s="31"/>
      <c r="I1218" s="33"/>
      <c r="J1218" s="31"/>
      <c r="K1218" s="31"/>
    </row>
    <row r="1219" spans="1:11" ht="14.4" x14ac:dyDescent="0.3">
      <c r="A1219" s="31"/>
      <c r="B1219" s="31"/>
      <c r="C1219" s="31"/>
      <c r="D1219" s="31"/>
      <c r="E1219" s="31"/>
      <c r="F1219" s="31"/>
      <c r="G1219" s="32"/>
      <c r="H1219" s="31"/>
      <c r="I1219" s="33"/>
      <c r="J1219" s="31"/>
      <c r="K1219" s="31"/>
    </row>
    <row r="1220" spans="1:11" ht="14.4" x14ac:dyDescent="0.3">
      <c r="A1220" s="31"/>
      <c r="B1220" s="31"/>
      <c r="C1220" s="31"/>
      <c r="D1220" s="31"/>
      <c r="E1220" s="31"/>
      <c r="F1220" s="31"/>
      <c r="G1220" s="32"/>
      <c r="H1220" s="31"/>
      <c r="I1220" s="33"/>
      <c r="J1220" s="31"/>
      <c r="K1220" s="31"/>
    </row>
    <row r="1221" spans="1:11" ht="14.4" x14ac:dyDescent="0.3">
      <c r="A1221" s="31"/>
      <c r="B1221" s="31"/>
      <c r="C1221" s="31"/>
      <c r="D1221" s="31"/>
      <c r="E1221" s="31"/>
      <c r="F1221" s="31"/>
      <c r="G1221" s="32"/>
      <c r="H1221" s="31"/>
      <c r="I1221" s="33"/>
      <c r="J1221" s="31"/>
      <c r="K1221" s="31"/>
    </row>
    <row r="1222" spans="1:11" ht="14.4" x14ac:dyDescent="0.3">
      <c r="A1222" s="31"/>
      <c r="B1222" s="31"/>
      <c r="C1222" s="31"/>
      <c r="D1222" s="31"/>
      <c r="E1222" s="31"/>
      <c r="F1222" s="31"/>
      <c r="G1222" s="32"/>
      <c r="H1222" s="31"/>
      <c r="I1222" s="33"/>
      <c r="J1222" s="31"/>
      <c r="K1222" s="31"/>
    </row>
    <row r="1223" spans="1:11" ht="14.4" x14ac:dyDescent="0.3">
      <c r="A1223" s="31"/>
      <c r="B1223" s="31"/>
      <c r="C1223" s="31"/>
      <c r="D1223" s="31"/>
      <c r="E1223" s="31"/>
      <c r="F1223" s="31"/>
      <c r="G1223" s="32"/>
      <c r="H1223" s="31"/>
      <c r="I1223" s="33"/>
      <c r="J1223" s="31"/>
      <c r="K1223" s="31"/>
    </row>
    <row r="1224" spans="1:11" ht="14.4" x14ac:dyDescent="0.3">
      <c r="A1224" s="31"/>
      <c r="B1224" s="31"/>
      <c r="C1224" s="31"/>
      <c r="D1224" s="31"/>
      <c r="E1224" s="31"/>
      <c r="F1224" s="31"/>
      <c r="G1224" s="32"/>
      <c r="H1224" s="31"/>
      <c r="I1224" s="33"/>
      <c r="J1224" s="31"/>
      <c r="K1224" s="31"/>
    </row>
    <row r="1225" spans="1:11" ht="14.4" x14ac:dyDescent="0.3">
      <c r="A1225" s="31"/>
      <c r="B1225" s="31"/>
      <c r="C1225" s="31"/>
      <c r="D1225" s="31"/>
      <c r="E1225" s="31"/>
      <c r="F1225" s="31"/>
      <c r="G1225" s="32"/>
      <c r="H1225" s="31"/>
      <c r="I1225" s="33"/>
      <c r="J1225" s="31"/>
      <c r="K1225" s="31"/>
    </row>
    <row r="1226" spans="1:11" ht="14.4" x14ac:dyDescent="0.3">
      <c r="A1226" s="31"/>
      <c r="B1226" s="31"/>
      <c r="C1226" s="31"/>
      <c r="D1226" s="31"/>
      <c r="E1226" s="31"/>
      <c r="F1226" s="31"/>
      <c r="G1226" s="32"/>
      <c r="H1226" s="31"/>
      <c r="I1226" s="33"/>
      <c r="J1226" s="31"/>
      <c r="K1226" s="31"/>
    </row>
    <row r="1227" spans="1:11" ht="14.4" x14ac:dyDescent="0.3">
      <c r="A1227" s="31"/>
      <c r="B1227" s="31"/>
      <c r="C1227" s="31"/>
      <c r="D1227" s="31"/>
      <c r="E1227" s="31"/>
      <c r="F1227" s="31"/>
      <c r="G1227" s="32"/>
      <c r="H1227" s="31"/>
      <c r="I1227" s="33"/>
      <c r="J1227" s="31"/>
      <c r="K1227" s="31"/>
    </row>
    <row r="1228" spans="1:11" ht="14.4" x14ac:dyDescent="0.3">
      <c r="A1228" s="31"/>
      <c r="B1228" s="31"/>
      <c r="C1228" s="31"/>
      <c r="D1228" s="31"/>
      <c r="E1228" s="31"/>
      <c r="F1228" s="31"/>
      <c r="G1228" s="32"/>
      <c r="H1228" s="31"/>
      <c r="I1228" s="33"/>
      <c r="J1228" s="31"/>
      <c r="K1228" s="31"/>
    </row>
    <row r="1229" spans="1:11" ht="14.4" x14ac:dyDescent="0.3">
      <c r="A1229" s="31"/>
      <c r="B1229" s="31"/>
      <c r="C1229" s="31"/>
      <c r="D1229" s="31"/>
      <c r="E1229" s="31"/>
      <c r="F1229" s="31"/>
      <c r="G1229" s="32"/>
      <c r="H1229" s="31"/>
      <c r="I1229" s="33"/>
      <c r="J1229" s="31"/>
      <c r="K1229" s="31"/>
    </row>
    <row r="1230" spans="1:11" ht="14.4" x14ac:dyDescent="0.3">
      <c r="A1230" s="31"/>
      <c r="B1230" s="31"/>
      <c r="C1230" s="31"/>
      <c r="D1230" s="31"/>
      <c r="E1230" s="31"/>
      <c r="F1230" s="31"/>
      <c r="G1230" s="32"/>
      <c r="H1230" s="31"/>
      <c r="I1230" s="33"/>
      <c r="J1230" s="31"/>
      <c r="K1230" s="31"/>
    </row>
    <row r="1231" spans="1:11" ht="14.4" x14ac:dyDescent="0.3">
      <c r="A1231" s="31"/>
      <c r="B1231" s="31"/>
      <c r="C1231" s="31"/>
      <c r="D1231" s="31"/>
      <c r="E1231" s="31"/>
      <c r="F1231" s="31"/>
      <c r="G1231" s="32"/>
      <c r="H1231" s="31"/>
      <c r="I1231" s="33"/>
      <c r="J1231" s="31"/>
      <c r="K1231" s="31"/>
    </row>
    <row r="1232" spans="1:11" ht="14.4" x14ac:dyDescent="0.3">
      <c r="A1232" s="31"/>
      <c r="B1232" s="31"/>
      <c r="C1232" s="31"/>
      <c r="D1232" s="31"/>
      <c r="E1232" s="31"/>
      <c r="F1232" s="31"/>
      <c r="G1232" s="32"/>
      <c r="H1232" s="31"/>
      <c r="I1232" s="33"/>
      <c r="J1232" s="31"/>
      <c r="K1232" s="31"/>
    </row>
    <row r="1233" spans="1:11" ht="14.4" x14ac:dyDescent="0.3">
      <c r="A1233" s="31"/>
      <c r="B1233" s="31"/>
      <c r="C1233" s="31"/>
      <c r="D1233" s="31"/>
      <c r="E1233" s="31"/>
      <c r="F1233" s="31"/>
      <c r="G1233" s="32"/>
      <c r="H1233" s="31"/>
      <c r="I1233" s="33"/>
      <c r="J1233" s="31"/>
      <c r="K1233" s="31"/>
    </row>
    <row r="1234" spans="1:11" ht="14.4" x14ac:dyDescent="0.3">
      <c r="A1234" s="31"/>
      <c r="B1234" s="31"/>
      <c r="C1234" s="31"/>
      <c r="D1234" s="31"/>
      <c r="E1234" s="31"/>
      <c r="F1234" s="31"/>
      <c r="G1234" s="32"/>
      <c r="H1234" s="31"/>
      <c r="I1234" s="33"/>
      <c r="J1234" s="31"/>
      <c r="K1234" s="31"/>
    </row>
    <row r="1235" spans="1:11" ht="14.4" x14ac:dyDescent="0.3">
      <c r="A1235" s="31"/>
      <c r="B1235" s="31"/>
      <c r="C1235" s="31"/>
      <c r="D1235" s="31"/>
      <c r="E1235" s="31"/>
      <c r="F1235" s="31"/>
      <c r="G1235" s="32"/>
      <c r="H1235" s="31"/>
      <c r="I1235" s="33"/>
      <c r="J1235" s="31"/>
      <c r="K1235" s="31"/>
    </row>
    <row r="1236" spans="1:11" ht="14.4" x14ac:dyDescent="0.3">
      <c r="A1236" s="31"/>
      <c r="B1236" s="31"/>
      <c r="C1236" s="31"/>
      <c r="D1236" s="31"/>
      <c r="E1236" s="31"/>
      <c r="F1236" s="31"/>
      <c r="G1236" s="32"/>
      <c r="H1236" s="31"/>
      <c r="I1236" s="33"/>
      <c r="J1236" s="31"/>
      <c r="K1236" s="31"/>
    </row>
    <row r="1237" spans="1:11" ht="14.4" x14ac:dyDescent="0.3">
      <c r="A1237" s="31"/>
      <c r="B1237" s="31"/>
      <c r="C1237" s="31"/>
      <c r="D1237" s="31"/>
      <c r="E1237" s="31"/>
      <c r="F1237" s="31"/>
      <c r="G1237" s="32"/>
      <c r="H1237" s="31"/>
      <c r="I1237" s="33"/>
      <c r="J1237" s="31"/>
      <c r="K1237" s="31"/>
    </row>
    <row r="1238" spans="1:11" ht="14.4" x14ac:dyDescent="0.3">
      <c r="A1238" s="31"/>
      <c r="B1238" s="31"/>
      <c r="C1238" s="31"/>
      <c r="D1238" s="31"/>
      <c r="E1238" s="31"/>
      <c r="F1238" s="31"/>
      <c r="G1238" s="32"/>
      <c r="H1238" s="31"/>
      <c r="I1238" s="33"/>
      <c r="J1238" s="31"/>
      <c r="K1238" s="31"/>
    </row>
    <row r="1239" spans="1:11" ht="14.4" x14ac:dyDescent="0.3">
      <c r="A1239" s="31"/>
      <c r="B1239" s="31"/>
      <c r="C1239" s="31"/>
      <c r="D1239" s="31"/>
      <c r="E1239" s="31"/>
      <c r="F1239" s="31"/>
      <c r="G1239" s="32"/>
      <c r="H1239" s="31"/>
      <c r="I1239" s="33"/>
      <c r="J1239" s="31"/>
      <c r="K1239" s="31"/>
    </row>
    <row r="1240" spans="1:11" ht="14.4" x14ac:dyDescent="0.3">
      <c r="A1240" s="31"/>
      <c r="B1240" s="31"/>
      <c r="C1240" s="31"/>
      <c r="D1240" s="31"/>
      <c r="E1240" s="31"/>
      <c r="F1240" s="31"/>
      <c r="G1240" s="32"/>
      <c r="H1240" s="31"/>
      <c r="I1240" s="33"/>
      <c r="J1240" s="31"/>
      <c r="K1240" s="31"/>
    </row>
    <row r="1241" spans="1:11" ht="14.4" x14ac:dyDescent="0.3">
      <c r="A1241" s="31"/>
      <c r="B1241" s="31"/>
      <c r="C1241" s="31"/>
      <c r="D1241" s="31"/>
      <c r="E1241" s="31"/>
      <c r="F1241" s="31"/>
      <c r="G1241" s="32"/>
      <c r="H1241" s="31"/>
      <c r="I1241" s="33"/>
      <c r="J1241" s="31"/>
      <c r="K1241" s="31"/>
    </row>
    <row r="1242" spans="1:11" ht="14.4" x14ac:dyDescent="0.3">
      <c r="A1242" s="31"/>
      <c r="B1242" s="31"/>
      <c r="C1242" s="31"/>
      <c r="D1242" s="31"/>
      <c r="E1242" s="31"/>
      <c r="F1242" s="31"/>
      <c r="G1242" s="32"/>
      <c r="H1242" s="31"/>
      <c r="I1242" s="33"/>
      <c r="J1242" s="31"/>
      <c r="K1242" s="31"/>
    </row>
    <row r="1243" spans="1:11" ht="14.4" x14ac:dyDescent="0.3">
      <c r="A1243" s="31"/>
      <c r="B1243" s="31"/>
      <c r="C1243" s="31"/>
      <c r="D1243" s="31"/>
      <c r="E1243" s="31"/>
      <c r="F1243" s="31"/>
      <c r="G1243" s="32"/>
      <c r="H1243" s="31"/>
      <c r="I1243" s="33"/>
      <c r="J1243" s="31"/>
      <c r="K1243" s="31"/>
    </row>
    <row r="1244" spans="1:11" ht="14.4" x14ac:dyDescent="0.3">
      <c r="A1244" s="31"/>
      <c r="B1244" s="31"/>
      <c r="C1244" s="31"/>
      <c r="D1244" s="31"/>
      <c r="E1244" s="31"/>
      <c r="F1244" s="31"/>
      <c r="G1244" s="32"/>
      <c r="H1244" s="31"/>
      <c r="I1244" s="33"/>
      <c r="J1244" s="31"/>
      <c r="K1244" s="31"/>
    </row>
    <row r="1245" spans="1:11" ht="14.4" x14ac:dyDescent="0.3">
      <c r="A1245" s="31"/>
      <c r="B1245" s="31"/>
      <c r="C1245" s="31"/>
      <c r="D1245" s="31"/>
      <c r="E1245" s="31"/>
      <c r="F1245" s="31"/>
      <c r="G1245" s="32"/>
      <c r="H1245" s="31"/>
      <c r="I1245" s="33"/>
      <c r="J1245" s="31"/>
      <c r="K1245" s="31"/>
    </row>
    <row r="1246" spans="1:11" ht="14.4" x14ac:dyDescent="0.3">
      <c r="A1246" s="31"/>
      <c r="B1246" s="31"/>
      <c r="C1246" s="31"/>
      <c r="D1246" s="31"/>
      <c r="E1246" s="31"/>
      <c r="F1246" s="31"/>
      <c r="G1246" s="32"/>
      <c r="H1246" s="31"/>
      <c r="I1246" s="33"/>
      <c r="J1246" s="31"/>
      <c r="K1246" s="31"/>
    </row>
    <row r="1247" spans="1:11" ht="14.4" x14ac:dyDescent="0.3">
      <c r="A1247" s="31"/>
      <c r="B1247" s="31"/>
      <c r="C1247" s="31"/>
      <c r="D1247" s="31"/>
      <c r="E1247" s="31"/>
      <c r="F1247" s="31"/>
      <c r="G1247" s="32"/>
      <c r="H1247" s="31"/>
      <c r="I1247" s="33"/>
      <c r="J1247" s="31"/>
      <c r="K1247" s="31"/>
    </row>
    <row r="1248" spans="1:11" ht="14.4" x14ac:dyDescent="0.3">
      <c r="A1248" s="31"/>
      <c r="B1248" s="31"/>
      <c r="C1248" s="31"/>
      <c r="D1248" s="31"/>
      <c r="E1248" s="31"/>
      <c r="F1248" s="31"/>
      <c r="G1248" s="32"/>
      <c r="H1248" s="31"/>
      <c r="I1248" s="33"/>
      <c r="J1248" s="31"/>
      <c r="K1248" s="31"/>
    </row>
    <row r="1249" spans="1:11" ht="14.4" x14ac:dyDescent="0.3">
      <c r="A1249" s="31"/>
      <c r="B1249" s="31"/>
      <c r="C1249" s="31"/>
      <c r="D1249" s="31"/>
      <c r="E1249" s="31"/>
      <c r="F1249" s="31"/>
      <c r="G1249" s="32"/>
      <c r="H1249" s="31"/>
      <c r="I1249" s="33"/>
      <c r="J1249" s="31"/>
      <c r="K1249" s="31"/>
    </row>
    <row r="1250" spans="1:11" ht="14.4" x14ac:dyDescent="0.3">
      <c r="A1250" s="31"/>
      <c r="B1250" s="31"/>
      <c r="C1250" s="31"/>
      <c r="D1250" s="31"/>
      <c r="E1250" s="31"/>
      <c r="F1250" s="31"/>
      <c r="G1250" s="32"/>
      <c r="H1250" s="31"/>
      <c r="I1250" s="33"/>
      <c r="J1250" s="31"/>
      <c r="K1250" s="31"/>
    </row>
    <row r="1251" spans="1:11" ht="14.4" x14ac:dyDescent="0.3">
      <c r="A1251" s="31"/>
      <c r="B1251" s="31"/>
      <c r="C1251" s="31"/>
      <c r="D1251" s="31"/>
      <c r="E1251" s="31"/>
      <c r="F1251" s="31"/>
      <c r="G1251" s="32"/>
      <c r="H1251" s="31"/>
      <c r="I1251" s="33"/>
      <c r="J1251" s="31"/>
      <c r="K1251" s="31"/>
    </row>
    <row r="1252" spans="1:11" ht="14.4" x14ac:dyDescent="0.3">
      <c r="A1252" s="31"/>
      <c r="B1252" s="31"/>
      <c r="C1252" s="31"/>
      <c r="D1252" s="31"/>
      <c r="E1252" s="31"/>
      <c r="F1252" s="31"/>
      <c r="G1252" s="32"/>
      <c r="H1252" s="31"/>
      <c r="I1252" s="33"/>
      <c r="J1252" s="31"/>
      <c r="K1252" s="31"/>
    </row>
    <row r="1253" spans="1:11" ht="14.4" x14ac:dyDescent="0.3">
      <c r="A1253" s="31"/>
      <c r="B1253" s="31"/>
      <c r="C1253" s="31"/>
      <c r="D1253" s="31"/>
      <c r="E1253" s="31"/>
      <c r="F1253" s="31"/>
      <c r="G1253" s="32"/>
      <c r="H1253" s="31"/>
      <c r="I1253" s="33"/>
      <c r="J1253" s="31"/>
      <c r="K1253" s="31"/>
    </row>
    <row r="1254" spans="1:11" ht="14.4" x14ac:dyDescent="0.3">
      <c r="A1254" s="31"/>
      <c r="B1254" s="31"/>
      <c r="C1254" s="31"/>
      <c r="D1254" s="31"/>
      <c r="E1254" s="31"/>
      <c r="F1254" s="31"/>
      <c r="G1254" s="32"/>
      <c r="H1254" s="31"/>
      <c r="I1254" s="33"/>
      <c r="J1254" s="31"/>
      <c r="K1254" s="31"/>
    </row>
    <row r="1255" spans="1:11" ht="14.4" x14ac:dyDescent="0.3">
      <c r="A1255" s="31"/>
      <c r="B1255" s="31"/>
      <c r="C1255" s="31"/>
      <c r="D1255" s="31"/>
      <c r="E1255" s="31"/>
      <c r="F1255" s="31"/>
      <c r="G1255" s="32"/>
      <c r="H1255" s="31"/>
      <c r="I1255" s="33"/>
      <c r="J1255" s="31"/>
      <c r="K1255" s="31"/>
    </row>
    <row r="1256" spans="1:11" ht="14.4" x14ac:dyDescent="0.3">
      <c r="A1256" s="31"/>
      <c r="B1256" s="31"/>
      <c r="C1256" s="31"/>
      <c r="D1256" s="31"/>
      <c r="E1256" s="31"/>
      <c r="F1256" s="31"/>
      <c r="G1256" s="32"/>
      <c r="H1256" s="31"/>
      <c r="I1256" s="33"/>
      <c r="J1256" s="31"/>
      <c r="K1256" s="31"/>
    </row>
    <row r="1257" spans="1:11" ht="14.4" x14ac:dyDescent="0.3">
      <c r="A1257" s="31"/>
      <c r="B1257" s="31"/>
      <c r="C1257" s="31"/>
      <c r="D1257" s="31"/>
      <c r="E1257" s="31"/>
      <c r="F1257" s="31"/>
      <c r="G1257" s="32"/>
      <c r="H1257" s="31"/>
      <c r="I1257" s="33"/>
      <c r="J1257" s="31"/>
      <c r="K1257" s="31"/>
    </row>
    <row r="1258" spans="1:11" ht="14.4" x14ac:dyDescent="0.3">
      <c r="A1258" s="31"/>
      <c r="B1258" s="31"/>
      <c r="C1258" s="31"/>
      <c r="D1258" s="31"/>
      <c r="E1258" s="31"/>
      <c r="F1258" s="31"/>
      <c r="G1258" s="32"/>
      <c r="H1258" s="31"/>
      <c r="I1258" s="33"/>
      <c r="J1258" s="31"/>
      <c r="K1258" s="31"/>
    </row>
    <row r="1259" spans="1:11" ht="14.4" x14ac:dyDescent="0.3">
      <c r="A1259" s="31"/>
      <c r="B1259" s="31"/>
      <c r="C1259" s="31"/>
      <c r="D1259" s="31"/>
      <c r="E1259" s="31"/>
      <c r="F1259" s="31"/>
      <c r="G1259" s="32"/>
      <c r="H1259" s="31"/>
      <c r="I1259" s="33"/>
      <c r="J1259" s="31"/>
      <c r="K1259" s="31"/>
    </row>
    <row r="1260" spans="1:11" ht="14.4" x14ac:dyDescent="0.3">
      <c r="A1260" s="31"/>
      <c r="B1260" s="31"/>
      <c r="C1260" s="31"/>
      <c r="D1260" s="31"/>
      <c r="E1260" s="31"/>
      <c r="F1260" s="31"/>
      <c r="G1260" s="32"/>
      <c r="H1260" s="31"/>
      <c r="I1260" s="33"/>
      <c r="J1260" s="31"/>
      <c r="K1260" s="31"/>
    </row>
    <row r="1261" spans="1:11" ht="14.4" x14ac:dyDescent="0.3">
      <c r="A1261" s="31"/>
      <c r="B1261" s="31"/>
      <c r="C1261" s="31"/>
      <c r="D1261" s="31"/>
      <c r="E1261" s="31"/>
      <c r="F1261" s="31"/>
      <c r="G1261" s="32"/>
      <c r="H1261" s="31"/>
      <c r="I1261" s="33"/>
      <c r="J1261" s="31"/>
      <c r="K1261" s="31"/>
    </row>
    <row r="1262" spans="1:11" ht="14.4" x14ac:dyDescent="0.3">
      <c r="A1262" s="31"/>
      <c r="B1262" s="31"/>
      <c r="C1262" s="31"/>
      <c r="D1262" s="31"/>
      <c r="E1262" s="31"/>
      <c r="F1262" s="31"/>
      <c r="G1262" s="32"/>
      <c r="H1262" s="31"/>
      <c r="I1262" s="33"/>
      <c r="J1262" s="31"/>
      <c r="K1262" s="31"/>
    </row>
    <row r="1263" spans="1:11" ht="14.4" x14ac:dyDescent="0.3">
      <c r="A1263" s="31"/>
      <c r="B1263" s="31"/>
      <c r="C1263" s="31"/>
      <c r="D1263" s="31"/>
      <c r="E1263" s="31"/>
      <c r="F1263" s="31"/>
      <c r="G1263" s="32"/>
      <c r="H1263" s="31"/>
      <c r="I1263" s="33"/>
      <c r="J1263" s="31"/>
      <c r="K1263" s="31"/>
    </row>
    <row r="1264" spans="1:11" ht="14.4" x14ac:dyDescent="0.3">
      <c r="A1264" s="31"/>
      <c r="B1264" s="31"/>
      <c r="C1264" s="31"/>
      <c r="D1264" s="31"/>
      <c r="E1264" s="31"/>
      <c r="F1264" s="31"/>
      <c r="G1264" s="32"/>
      <c r="H1264" s="31"/>
      <c r="I1264" s="33"/>
      <c r="J1264" s="31"/>
      <c r="K1264" s="31"/>
    </row>
    <row r="1265" spans="1:11" ht="14.4" x14ac:dyDescent="0.3">
      <c r="A1265" s="31"/>
      <c r="B1265" s="31"/>
      <c r="C1265" s="31"/>
      <c r="D1265" s="31"/>
      <c r="E1265" s="31"/>
      <c r="F1265" s="31"/>
      <c r="G1265" s="32"/>
      <c r="H1265" s="31"/>
      <c r="I1265" s="33"/>
      <c r="J1265" s="31"/>
      <c r="K1265" s="31"/>
    </row>
    <row r="1266" spans="1:11" ht="14.4" x14ac:dyDescent="0.3">
      <c r="A1266" s="31"/>
      <c r="B1266" s="31"/>
      <c r="C1266" s="31"/>
      <c r="D1266" s="31"/>
      <c r="E1266" s="31"/>
      <c r="F1266" s="31"/>
      <c r="G1266" s="32"/>
      <c r="H1266" s="31"/>
      <c r="I1266" s="33"/>
      <c r="J1266" s="31"/>
      <c r="K1266" s="31"/>
    </row>
    <row r="1267" spans="1:11" ht="14.4" x14ac:dyDescent="0.3">
      <c r="A1267" s="31"/>
      <c r="B1267" s="31"/>
      <c r="C1267" s="31"/>
      <c r="D1267" s="31"/>
      <c r="E1267" s="31"/>
      <c r="F1267" s="31"/>
      <c r="G1267" s="32"/>
      <c r="H1267" s="31"/>
      <c r="I1267" s="33"/>
      <c r="J1267" s="31"/>
      <c r="K1267" s="31"/>
    </row>
    <row r="1268" spans="1:11" ht="14.4" x14ac:dyDescent="0.3">
      <c r="A1268" s="31"/>
      <c r="B1268" s="31"/>
      <c r="C1268" s="31"/>
      <c r="D1268" s="31"/>
      <c r="E1268" s="31"/>
      <c r="F1268" s="31"/>
      <c r="G1268" s="32"/>
      <c r="H1268" s="31"/>
      <c r="I1268" s="33"/>
      <c r="J1268" s="31"/>
      <c r="K1268" s="31"/>
    </row>
    <row r="1269" spans="1:11" ht="14.4" x14ac:dyDescent="0.3">
      <c r="A1269" s="31"/>
      <c r="B1269" s="31"/>
      <c r="C1269" s="31"/>
      <c r="D1269" s="31"/>
      <c r="E1269" s="31"/>
      <c r="F1269" s="31"/>
      <c r="G1269" s="32"/>
      <c r="H1269" s="31"/>
      <c r="I1269" s="33"/>
      <c r="J1269" s="31"/>
      <c r="K1269" s="31"/>
    </row>
    <row r="1270" spans="1:11" ht="14.4" x14ac:dyDescent="0.3">
      <c r="A1270" s="31"/>
      <c r="B1270" s="31"/>
      <c r="C1270" s="31"/>
      <c r="D1270" s="31"/>
      <c r="E1270" s="31"/>
      <c r="F1270" s="31"/>
      <c r="G1270" s="32"/>
      <c r="H1270" s="31"/>
      <c r="I1270" s="33"/>
      <c r="J1270" s="31"/>
      <c r="K1270" s="31"/>
    </row>
    <row r="1271" spans="1:11" ht="14.4" x14ac:dyDescent="0.3">
      <c r="A1271" s="31"/>
      <c r="B1271" s="31"/>
      <c r="C1271" s="31"/>
      <c r="D1271" s="31"/>
      <c r="E1271" s="31"/>
      <c r="F1271" s="31"/>
      <c r="G1271" s="32"/>
      <c r="H1271" s="31"/>
      <c r="I1271" s="33"/>
      <c r="J1271" s="31"/>
      <c r="K1271" s="31"/>
    </row>
    <row r="1272" spans="1:11" ht="14.4" x14ac:dyDescent="0.3">
      <c r="A1272" s="31"/>
      <c r="B1272" s="31"/>
      <c r="C1272" s="31"/>
      <c r="D1272" s="31"/>
      <c r="E1272" s="31"/>
      <c r="F1272" s="31"/>
      <c r="G1272" s="32"/>
      <c r="H1272" s="31"/>
      <c r="I1272" s="33"/>
      <c r="J1272" s="31"/>
      <c r="K1272" s="31"/>
    </row>
    <row r="1273" spans="1:11" ht="14.4" x14ac:dyDescent="0.3">
      <c r="A1273" s="31"/>
      <c r="B1273" s="31"/>
      <c r="C1273" s="31"/>
      <c r="D1273" s="31"/>
      <c r="E1273" s="31"/>
      <c r="F1273" s="31"/>
      <c r="G1273" s="32"/>
      <c r="H1273" s="31"/>
      <c r="I1273" s="33"/>
      <c r="J1273" s="31"/>
      <c r="K1273" s="31"/>
    </row>
    <row r="1274" spans="1:11" ht="14.4" x14ac:dyDescent="0.3">
      <c r="A1274" s="31"/>
      <c r="B1274" s="31"/>
      <c r="C1274" s="31"/>
      <c r="D1274" s="31"/>
      <c r="E1274" s="31"/>
      <c r="F1274" s="31"/>
      <c r="G1274" s="32"/>
      <c r="H1274" s="31"/>
      <c r="I1274" s="33"/>
      <c r="J1274" s="31"/>
      <c r="K1274" s="31"/>
    </row>
    <row r="1275" spans="1:11" ht="14.4" x14ac:dyDescent="0.3">
      <c r="A1275" s="31"/>
      <c r="B1275" s="31"/>
      <c r="C1275" s="31"/>
      <c r="D1275" s="31"/>
      <c r="E1275" s="31"/>
      <c r="F1275" s="31"/>
      <c r="G1275" s="32"/>
      <c r="H1275" s="31"/>
      <c r="I1275" s="33"/>
      <c r="J1275" s="31"/>
      <c r="K1275" s="31"/>
    </row>
  </sheetData>
  <autoFilter ref="A1:K424" xr:uid="{00000000-0001-0000-0000-000000000000}">
    <sortState xmlns:xlrd2="http://schemas.microsoft.com/office/spreadsheetml/2017/richdata2" ref="A2:K424">
      <sortCondition ref="K1:K424"/>
    </sortState>
  </autoFilter>
  <customSheetViews>
    <customSheetView guid="{497476D6-08CC-4D80-AD91-405B830372AF}" filter="1" showAutoFilter="1">
      <pageMargins left="0.7" right="0.7" top="0.75" bottom="0.75" header="0.3" footer="0.3"/>
      <autoFilter ref="A1:S126" xr:uid="{C9D4AC12-0C77-4EFD-948B-C6BF9ED41370}">
        <filterColumn colId="8">
          <filters>
            <filter val="ANA FIGUEROA RODRIGUEZ"/>
            <filter val="Asociación Cultural Bethel"/>
            <filter val="Asociacion Cultural Jireh Ayacucho"/>
            <filter val="Asociación Cultural y Moralizadora de Tarma"/>
            <filter val="Asociación de Radio y Televisión Riqchary"/>
            <filter val="Asociacion Horizonte del Valle"/>
            <filter val="Asociación Horizonte del Valle"/>
            <filter val="Asociacion Paramonga Visión con Futuro"/>
            <filter val="Asociación Paramonga Visión con Futuro"/>
            <filter val="Francisco Rojas Cordova"/>
            <filter val="Iglesia Fuente de Bendición"/>
            <filter val="Milciades Edgardo Narro Pretell"/>
            <filter val="Nelly Chasnamote Panduro"/>
            <filter val="PROCESO DE TRAMITE DE TRANSFERENCIA"/>
            <filter val="Victor Arispe Qwistgaard"/>
          </filters>
        </filterColumn>
      </autoFilter>
    </customSheetView>
  </customSheetViews>
  <conditionalFormatting sqref="H2:H1275 J2:K424 G131:G1275">
    <cfRule type="cellIs" dxfId="3" priority="1" operator="equal">
      <formula>"A.A"</formula>
    </cfRule>
  </conditionalFormatting>
  <conditionalFormatting sqref="H2:H1275 J2:K424 G131:G1275">
    <cfRule type="cellIs" dxfId="2" priority="2" operator="equal">
      <formula>"F.A"</formula>
    </cfRule>
  </conditionalFormatting>
  <conditionalFormatting sqref="H2:H1275 J2:K424 G131:G1275">
    <cfRule type="cellIs" dxfId="1" priority="3" operator="equal">
      <formula>"N.I"</formula>
    </cfRule>
  </conditionalFormatting>
  <pageMargins left="0.7" right="0.7" top="1.5374015748031495" bottom="0.75" header="0" footer="0"/>
  <pageSetup paperSize="9" scale="6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949"/>
  <sheetViews>
    <sheetView workbookViewId="0"/>
  </sheetViews>
  <sheetFormatPr baseColWidth="10" defaultColWidth="14.44140625" defaultRowHeight="15" customHeight="1" x14ac:dyDescent="0.3"/>
  <cols>
    <col min="1" max="1" width="5.6640625" customWidth="1"/>
    <col min="4" max="4" width="8.6640625" customWidth="1"/>
    <col min="5" max="6" width="8.5546875" customWidth="1"/>
    <col min="7" max="7" width="9.44140625" customWidth="1"/>
    <col min="8" max="8" width="20.5546875" customWidth="1"/>
    <col min="9" max="9" width="43.88671875" customWidth="1"/>
    <col min="10" max="10" width="38" customWidth="1"/>
    <col min="11" max="11" width="15.109375" customWidth="1"/>
    <col min="12" max="12" width="26.33203125" customWidth="1"/>
    <col min="19" max="19" width="12.6640625" customWidth="1"/>
    <col min="21" max="21" width="8.88671875" customWidth="1"/>
  </cols>
  <sheetData>
    <row r="1" spans="1:21" ht="17.25" customHeight="1" x14ac:dyDescent="0.3">
      <c r="A1" s="34" t="s">
        <v>522</v>
      </c>
      <c r="B1" s="35" t="s">
        <v>1</v>
      </c>
      <c r="C1" s="34" t="s">
        <v>523</v>
      </c>
      <c r="D1" s="34" t="s">
        <v>3</v>
      </c>
      <c r="E1" s="36" t="s">
        <v>4</v>
      </c>
      <c r="F1" s="34" t="s">
        <v>524</v>
      </c>
      <c r="G1" s="37" t="s">
        <v>525</v>
      </c>
      <c r="H1" s="34" t="s">
        <v>526</v>
      </c>
      <c r="I1" s="38" t="s">
        <v>527</v>
      </c>
      <c r="J1" s="38" t="s">
        <v>528</v>
      </c>
      <c r="K1" s="39" t="s">
        <v>529</v>
      </c>
      <c r="L1" s="40" t="s">
        <v>530</v>
      </c>
      <c r="M1" s="40" t="s">
        <v>531</v>
      </c>
      <c r="N1" s="41" t="s">
        <v>532</v>
      </c>
      <c r="O1" s="41" t="s">
        <v>533</v>
      </c>
      <c r="P1" s="42" t="s">
        <v>534</v>
      </c>
      <c r="Q1" s="42" t="s">
        <v>535</v>
      </c>
      <c r="R1" s="42" t="s">
        <v>536</v>
      </c>
      <c r="S1" s="43" t="s">
        <v>529</v>
      </c>
      <c r="T1" s="42"/>
      <c r="U1" s="44"/>
    </row>
    <row r="2" spans="1:21" ht="17.25" customHeight="1" x14ac:dyDescent="0.3">
      <c r="A2" s="45">
        <v>1</v>
      </c>
      <c r="B2" s="46" t="e">
        <f t="array" ref="B2">INDEX('informe de Gestión 2021-2025'!C:C, MATCH(S2,#REF!, 0), )</f>
        <v>#REF!</v>
      </c>
      <c r="C2" s="47" t="e">
        <f t="array" ref="C2">INDEX('informe de Gestión 2021-2025'!D:D, MATCH(S2,#REF!, 0), )</f>
        <v>#REF!</v>
      </c>
      <c r="D2" s="47" t="e">
        <f t="array" ref="D2">INDEX('informe de Gestión 2021-2025'!I:I, MATCH(S2,#REF!, 0), )</f>
        <v>#REF!</v>
      </c>
      <c r="E2" s="47" t="e">
        <f t="array" ref="E2">INDEX('informe de Gestión 2021-2025'!K:K, MATCH(S2,#REF!, 0), )</f>
        <v>#REF!</v>
      </c>
      <c r="F2" s="47" t="e">
        <f t="shared" ref="F2:F130" si="0">INDEX(#REF!, MATCH(S2,#REF!, 0), )</f>
        <v>#REF!</v>
      </c>
      <c r="G2" s="45" t="e">
        <f t="array" ref="G2">INDEX('informe de Gestión 2021-2025'!#REF!, MATCH(S2,#REF!, 0), )</f>
        <v>#REF!</v>
      </c>
      <c r="H2" s="48" t="e">
        <f t="shared" ref="H2:H130" si="1">INDEX(#REF!, MATCH(S2,#REF!, 0), )</f>
        <v>#REF!</v>
      </c>
      <c r="I2" s="49" t="e">
        <f t="shared" ref="I2:I130" si="2">INDEX(#REF!, MATCH(S2,#REF!, 0), )</f>
        <v>#REF!</v>
      </c>
      <c r="J2" s="47" t="e">
        <f t="shared" ref="J2:J130" si="3">INDEX(#REF!, MATCH(S2,#REF!, 0), )</f>
        <v>#REF!</v>
      </c>
      <c r="K2" s="47" t="e">
        <f t="shared" ref="K2:K130" si="4">INDEX(#REF!, MATCH(S2,#REF!, 0), )</f>
        <v>#REF!</v>
      </c>
      <c r="L2" s="50" t="e">
        <f t="shared" ref="L2:L130" si="5">INDEX(#REF!, MATCH(S2,#REF!, 0), )</f>
        <v>#REF!</v>
      </c>
      <c r="M2" s="50" t="e">
        <f t="shared" ref="M2:M130" si="6">INDEX(#REF!, MATCH(S2,#REF!, 0), )</f>
        <v>#REF!</v>
      </c>
      <c r="N2" s="47" t="e">
        <f t="shared" ref="N2:N130" si="7">INDEX(#REF!, MATCH(S2,#REF!, 0), )</f>
        <v>#REF!</v>
      </c>
      <c r="O2" s="47" t="e">
        <f t="shared" ref="O2:O130" si="8">INDEX(#REF!, MATCH(S2,#REF!, 0), )</f>
        <v>#REF!</v>
      </c>
      <c r="P2" s="45">
        <v>-9.781163888888889</v>
      </c>
      <c r="Q2" s="45">
        <v>-77.619747222222216</v>
      </c>
      <c r="R2" s="45" t="s">
        <v>537</v>
      </c>
      <c r="S2" s="51" t="s">
        <v>538</v>
      </c>
      <c r="U2" s="52"/>
    </row>
    <row r="3" spans="1:21" ht="17.25" customHeight="1" x14ac:dyDescent="0.3">
      <c r="A3" s="45">
        <v>2</v>
      </c>
      <c r="B3" s="46" t="e">
        <f t="array" ref="B3">INDEX('informe de Gestión 2021-2025'!C:C, MATCH(S3,#REF!, 0), )</f>
        <v>#REF!</v>
      </c>
      <c r="C3" s="47" t="e">
        <f t="array" ref="C3">INDEX('informe de Gestión 2021-2025'!D:D, MATCH(S3,#REF!, 0), )</f>
        <v>#REF!</v>
      </c>
      <c r="D3" s="47" t="e">
        <f t="array" ref="D3">INDEX('informe de Gestión 2021-2025'!I:I, MATCH(S3,#REF!, 0), )</f>
        <v>#REF!</v>
      </c>
      <c r="E3" s="47" t="e">
        <f t="array" ref="E3">INDEX('informe de Gestión 2021-2025'!K:K, MATCH(S3,#REF!, 0), )</f>
        <v>#REF!</v>
      </c>
      <c r="F3" s="47" t="e">
        <f t="shared" si="0"/>
        <v>#REF!</v>
      </c>
      <c r="G3" s="45" t="e">
        <f t="array" ref="G3">INDEX('informe de Gestión 2021-2025'!#REF!, MATCH(S3,#REF!, 0), )</f>
        <v>#REF!</v>
      </c>
      <c r="H3" s="48" t="e">
        <f t="shared" si="1"/>
        <v>#REF!</v>
      </c>
      <c r="I3" s="49" t="e">
        <f t="shared" si="2"/>
        <v>#REF!</v>
      </c>
      <c r="J3" s="47" t="e">
        <f t="shared" si="3"/>
        <v>#REF!</v>
      </c>
      <c r="K3" s="47" t="e">
        <f t="shared" si="4"/>
        <v>#REF!</v>
      </c>
      <c r="L3" s="50" t="e">
        <f t="shared" si="5"/>
        <v>#REF!</v>
      </c>
      <c r="M3" s="50" t="e">
        <f t="shared" si="6"/>
        <v>#REF!</v>
      </c>
      <c r="N3" s="47" t="e">
        <f t="shared" si="7"/>
        <v>#REF!</v>
      </c>
      <c r="O3" s="47" t="e">
        <f t="shared" si="8"/>
        <v>#REF!</v>
      </c>
      <c r="P3" s="45">
        <v>-9.781163888888889</v>
      </c>
      <c r="Q3" s="45">
        <v>-77.619747222222216</v>
      </c>
      <c r="R3" s="45" t="s">
        <v>537</v>
      </c>
      <c r="S3" s="51" t="s">
        <v>539</v>
      </c>
      <c r="U3" s="52"/>
    </row>
    <row r="4" spans="1:21" ht="17.25" customHeight="1" x14ac:dyDescent="0.3">
      <c r="A4" s="45">
        <v>3</v>
      </c>
      <c r="B4" s="46" t="e">
        <f t="array" ref="B4">INDEX('informe de Gestión 2021-2025'!C:C, MATCH(S4,#REF!, 0), )</f>
        <v>#REF!</v>
      </c>
      <c r="C4" s="47" t="e">
        <f t="array" ref="C4">INDEX('informe de Gestión 2021-2025'!D:D, MATCH(S4,#REF!, 0), )</f>
        <v>#REF!</v>
      </c>
      <c r="D4" s="47" t="e">
        <f t="array" ref="D4">INDEX('informe de Gestión 2021-2025'!I:I, MATCH(S4,#REF!, 0), )</f>
        <v>#REF!</v>
      </c>
      <c r="E4" s="47" t="e">
        <f t="array" ref="E4">INDEX('informe de Gestión 2021-2025'!K:K, MATCH(S4,#REF!, 0), )</f>
        <v>#REF!</v>
      </c>
      <c r="F4" s="47" t="e">
        <f t="shared" si="0"/>
        <v>#REF!</v>
      </c>
      <c r="G4" s="45" t="e">
        <f t="array" ref="G4">INDEX('informe de Gestión 2021-2025'!#REF!, MATCH(S4,#REF!, 0), )</f>
        <v>#REF!</v>
      </c>
      <c r="H4" s="48" t="e">
        <f t="shared" si="1"/>
        <v>#REF!</v>
      </c>
      <c r="I4" s="49" t="e">
        <f t="shared" si="2"/>
        <v>#REF!</v>
      </c>
      <c r="J4" s="47" t="e">
        <f t="shared" si="3"/>
        <v>#REF!</v>
      </c>
      <c r="K4" s="47" t="e">
        <f t="shared" si="4"/>
        <v>#REF!</v>
      </c>
      <c r="L4" s="50" t="e">
        <f t="shared" si="5"/>
        <v>#REF!</v>
      </c>
      <c r="M4" s="50" t="e">
        <f t="shared" si="6"/>
        <v>#REF!</v>
      </c>
      <c r="N4" s="47" t="e">
        <f t="shared" si="7"/>
        <v>#REF!</v>
      </c>
      <c r="O4" s="47" t="e">
        <f t="shared" si="8"/>
        <v>#REF!</v>
      </c>
      <c r="P4" s="45">
        <v>-4.9072500000000003</v>
      </c>
      <c r="Q4" s="45">
        <v>-81.053669444444438</v>
      </c>
      <c r="R4" s="45" t="s">
        <v>540</v>
      </c>
      <c r="S4" s="51" t="s">
        <v>541</v>
      </c>
      <c r="U4" s="52"/>
    </row>
    <row r="5" spans="1:21" ht="17.25" customHeight="1" x14ac:dyDescent="0.3">
      <c r="A5" s="45">
        <v>4</v>
      </c>
      <c r="B5" s="46" t="e">
        <f t="array" ref="B5">INDEX('informe de Gestión 2021-2025'!C:C, MATCH(S5,#REF!, 0), )</f>
        <v>#REF!</v>
      </c>
      <c r="C5" s="47" t="e">
        <f t="array" ref="C5">INDEX('informe de Gestión 2021-2025'!D:D, MATCH(S5,#REF!, 0), )</f>
        <v>#REF!</v>
      </c>
      <c r="D5" s="47" t="e">
        <f t="array" ref="D5">INDEX('informe de Gestión 2021-2025'!I:I, MATCH(S5,#REF!, 0), )</f>
        <v>#REF!</v>
      </c>
      <c r="E5" s="47" t="e">
        <f t="array" ref="E5">INDEX('informe de Gestión 2021-2025'!K:K, MATCH(S5,#REF!, 0), )</f>
        <v>#REF!</v>
      </c>
      <c r="F5" s="47" t="e">
        <f t="shared" si="0"/>
        <v>#REF!</v>
      </c>
      <c r="G5" s="45" t="e">
        <f t="array" ref="G5">INDEX('informe de Gestión 2021-2025'!#REF!, MATCH(S5,#REF!, 0), )</f>
        <v>#REF!</v>
      </c>
      <c r="H5" s="48" t="e">
        <f t="shared" si="1"/>
        <v>#REF!</v>
      </c>
      <c r="I5" s="49" t="e">
        <f t="shared" si="2"/>
        <v>#REF!</v>
      </c>
      <c r="J5" s="47" t="e">
        <f t="shared" si="3"/>
        <v>#REF!</v>
      </c>
      <c r="K5" s="47" t="e">
        <f t="shared" si="4"/>
        <v>#REF!</v>
      </c>
      <c r="L5" s="50" t="e">
        <f t="shared" si="5"/>
        <v>#REF!</v>
      </c>
      <c r="M5" s="50" t="e">
        <f t="shared" si="6"/>
        <v>#REF!</v>
      </c>
      <c r="N5" s="47" t="e">
        <f t="shared" si="7"/>
        <v>#REF!</v>
      </c>
      <c r="O5" s="47" t="e">
        <f t="shared" si="8"/>
        <v>#REF!</v>
      </c>
      <c r="P5" s="45">
        <v>-4.6357222222222214</v>
      </c>
      <c r="Q5" s="45">
        <v>-79.717861111111119</v>
      </c>
      <c r="R5" s="45" t="s">
        <v>542</v>
      </c>
      <c r="S5" s="51" t="s">
        <v>543</v>
      </c>
      <c r="U5" s="52"/>
    </row>
    <row r="6" spans="1:21" ht="17.25" customHeight="1" x14ac:dyDescent="0.3">
      <c r="A6" s="45">
        <v>5</v>
      </c>
      <c r="B6" s="46" t="e">
        <f t="array" ref="B6">INDEX('informe de Gestión 2021-2025'!C:C, MATCH(S6,#REF!, 0), )</f>
        <v>#REF!</v>
      </c>
      <c r="C6" s="47" t="e">
        <f t="array" ref="C6">INDEX('informe de Gestión 2021-2025'!D:D, MATCH(S6,#REF!, 0), )</f>
        <v>#REF!</v>
      </c>
      <c r="D6" s="47" t="e">
        <f t="array" ref="D6">INDEX('informe de Gestión 2021-2025'!I:I, MATCH(S6,#REF!, 0), )</f>
        <v>#REF!</v>
      </c>
      <c r="E6" s="47" t="e">
        <f t="array" ref="E6">INDEX('informe de Gestión 2021-2025'!K:K, MATCH(S6,#REF!, 0), )</f>
        <v>#REF!</v>
      </c>
      <c r="F6" s="47" t="e">
        <f t="shared" si="0"/>
        <v>#REF!</v>
      </c>
      <c r="G6" s="45" t="e">
        <f t="array" ref="G6">INDEX('informe de Gestión 2021-2025'!#REF!, MATCH(S6,#REF!, 0), )</f>
        <v>#REF!</v>
      </c>
      <c r="H6" s="48" t="e">
        <f t="shared" si="1"/>
        <v>#REF!</v>
      </c>
      <c r="I6" s="49" t="e">
        <f t="shared" si="2"/>
        <v>#REF!</v>
      </c>
      <c r="J6" s="47" t="e">
        <f t="shared" si="3"/>
        <v>#REF!</v>
      </c>
      <c r="K6" s="47" t="e">
        <f t="shared" si="4"/>
        <v>#REF!</v>
      </c>
      <c r="L6" s="50" t="e">
        <f t="shared" si="5"/>
        <v>#REF!</v>
      </c>
      <c r="M6" s="50" t="e">
        <f t="shared" si="6"/>
        <v>#REF!</v>
      </c>
      <c r="N6" s="47" t="e">
        <f t="shared" si="7"/>
        <v>#REF!</v>
      </c>
      <c r="O6" s="47" t="e">
        <f t="shared" si="8"/>
        <v>#REF!</v>
      </c>
      <c r="P6" s="45">
        <v>-4.6357222222222214</v>
      </c>
      <c r="Q6" s="45">
        <v>-79.717861111111119</v>
      </c>
      <c r="R6" s="45" t="s">
        <v>542</v>
      </c>
      <c r="S6" s="51" t="s">
        <v>544</v>
      </c>
      <c r="U6" s="52"/>
    </row>
    <row r="7" spans="1:21" ht="17.25" customHeight="1" x14ac:dyDescent="0.3">
      <c r="A7" s="45">
        <v>6</v>
      </c>
      <c r="B7" s="46" t="e">
        <f t="array" ref="B7">INDEX('informe de Gestión 2021-2025'!C:C, MATCH(S7,#REF!, 0), )</f>
        <v>#REF!</v>
      </c>
      <c r="C7" s="47" t="e">
        <f t="array" ref="C7">INDEX('informe de Gestión 2021-2025'!D:D, MATCH(S7,#REF!, 0), )</f>
        <v>#REF!</v>
      </c>
      <c r="D7" s="47" t="e">
        <f t="array" ref="D7">INDEX('informe de Gestión 2021-2025'!I:I, MATCH(S7,#REF!, 0), )</f>
        <v>#REF!</v>
      </c>
      <c r="E7" s="47" t="e">
        <f t="array" ref="E7">INDEX('informe de Gestión 2021-2025'!K:K, MATCH(S7,#REF!, 0), )</f>
        <v>#REF!</v>
      </c>
      <c r="F7" s="47" t="e">
        <f t="shared" si="0"/>
        <v>#REF!</v>
      </c>
      <c r="G7" s="45" t="e">
        <f t="array" ref="G7">INDEX('informe de Gestión 2021-2025'!#REF!, MATCH(S7,#REF!, 0), )</f>
        <v>#REF!</v>
      </c>
      <c r="H7" s="48" t="e">
        <f t="shared" si="1"/>
        <v>#REF!</v>
      </c>
      <c r="I7" s="49" t="e">
        <f t="shared" si="2"/>
        <v>#REF!</v>
      </c>
      <c r="J7" s="47" t="e">
        <f t="shared" si="3"/>
        <v>#REF!</v>
      </c>
      <c r="K7" s="47" t="e">
        <f t="shared" si="4"/>
        <v>#REF!</v>
      </c>
      <c r="L7" s="50" t="e">
        <f t="shared" si="5"/>
        <v>#REF!</v>
      </c>
      <c r="M7" s="50" t="e">
        <f t="shared" si="6"/>
        <v>#REF!</v>
      </c>
      <c r="N7" s="47" t="e">
        <f t="shared" si="7"/>
        <v>#REF!</v>
      </c>
      <c r="O7" s="47" t="e">
        <f t="shared" si="8"/>
        <v>#REF!</v>
      </c>
      <c r="P7" s="45">
        <v>-5.636388888888888</v>
      </c>
      <c r="Q7" s="45">
        <v>-78.508055555555558</v>
      </c>
      <c r="R7" s="45" t="s">
        <v>545</v>
      </c>
      <c r="S7" s="51" t="s">
        <v>546</v>
      </c>
      <c r="U7" s="52"/>
    </row>
    <row r="8" spans="1:21" ht="17.25" customHeight="1" x14ac:dyDescent="0.3">
      <c r="A8" s="45">
        <v>7</v>
      </c>
      <c r="B8" s="46" t="e">
        <f t="array" ref="B8">INDEX('informe de Gestión 2021-2025'!C:C, MATCH(S8,#REF!, 0), )</f>
        <v>#REF!</v>
      </c>
      <c r="C8" s="47" t="e">
        <f t="array" ref="C8">INDEX('informe de Gestión 2021-2025'!D:D, MATCH(S8,#REF!, 0), )</f>
        <v>#REF!</v>
      </c>
      <c r="D8" s="47" t="e">
        <f t="array" ref="D8">INDEX('informe de Gestión 2021-2025'!I:I, MATCH(S8,#REF!, 0), )</f>
        <v>#REF!</v>
      </c>
      <c r="E8" s="47" t="e">
        <f t="array" ref="E8">INDEX('informe de Gestión 2021-2025'!K:K, MATCH(S8,#REF!, 0), )</f>
        <v>#REF!</v>
      </c>
      <c r="F8" s="47" t="e">
        <f t="shared" si="0"/>
        <v>#REF!</v>
      </c>
      <c r="G8" s="45" t="e">
        <f t="array" ref="G8">INDEX('informe de Gestión 2021-2025'!#REF!, MATCH(S8,#REF!, 0), )</f>
        <v>#REF!</v>
      </c>
      <c r="H8" s="48" t="e">
        <f t="shared" si="1"/>
        <v>#REF!</v>
      </c>
      <c r="I8" s="49" t="e">
        <f t="shared" si="2"/>
        <v>#REF!</v>
      </c>
      <c r="J8" s="47" t="e">
        <f t="shared" si="3"/>
        <v>#REF!</v>
      </c>
      <c r="K8" s="47" t="e">
        <f t="shared" si="4"/>
        <v>#REF!</v>
      </c>
      <c r="L8" s="50" t="e">
        <f t="shared" si="5"/>
        <v>#REF!</v>
      </c>
      <c r="M8" s="50" t="e">
        <f t="shared" si="6"/>
        <v>#REF!</v>
      </c>
      <c r="N8" s="47" t="e">
        <f t="shared" si="7"/>
        <v>#REF!</v>
      </c>
      <c r="O8" s="47" t="e">
        <f t="shared" si="8"/>
        <v>#REF!</v>
      </c>
      <c r="P8" s="45">
        <v>-5.6359722222222217</v>
      </c>
      <c r="Q8" s="45">
        <v>-78.50866666666667</v>
      </c>
      <c r="R8" s="45" t="s">
        <v>547</v>
      </c>
      <c r="S8" s="51" t="s">
        <v>548</v>
      </c>
      <c r="U8" s="52"/>
    </row>
    <row r="9" spans="1:21" ht="17.25" customHeight="1" x14ac:dyDescent="0.3">
      <c r="A9" s="45">
        <v>8</v>
      </c>
      <c r="B9" s="46" t="e">
        <f t="array" ref="B9">INDEX('informe de Gestión 2021-2025'!C:C, MATCH(S9,#REF!, 0), )</f>
        <v>#REF!</v>
      </c>
      <c r="C9" s="47" t="e">
        <f t="array" ref="C9">INDEX('informe de Gestión 2021-2025'!D:D, MATCH(S9,#REF!, 0), )</f>
        <v>#REF!</v>
      </c>
      <c r="D9" s="47" t="e">
        <f t="array" ref="D9">INDEX('informe de Gestión 2021-2025'!I:I, MATCH(S9,#REF!, 0), )</f>
        <v>#REF!</v>
      </c>
      <c r="E9" s="47" t="e">
        <f t="array" ref="E9">INDEX('informe de Gestión 2021-2025'!K:K, MATCH(S9,#REF!, 0), )</f>
        <v>#REF!</v>
      </c>
      <c r="F9" s="47" t="e">
        <f t="shared" si="0"/>
        <v>#REF!</v>
      </c>
      <c r="G9" s="45" t="e">
        <f t="array" ref="G9">INDEX('informe de Gestión 2021-2025'!#REF!, MATCH(S9,#REF!, 0), )</f>
        <v>#REF!</v>
      </c>
      <c r="H9" s="48" t="e">
        <f t="shared" si="1"/>
        <v>#REF!</v>
      </c>
      <c r="I9" s="49" t="e">
        <f t="shared" si="2"/>
        <v>#REF!</v>
      </c>
      <c r="J9" s="47" t="e">
        <f t="shared" si="3"/>
        <v>#REF!</v>
      </c>
      <c r="K9" s="47" t="e">
        <f t="shared" si="4"/>
        <v>#REF!</v>
      </c>
      <c r="L9" s="50" t="e">
        <f t="shared" si="5"/>
        <v>#REF!</v>
      </c>
      <c r="M9" s="50" t="e">
        <f t="shared" si="6"/>
        <v>#REF!</v>
      </c>
      <c r="N9" s="47" t="e">
        <f t="shared" si="7"/>
        <v>#REF!</v>
      </c>
      <c r="O9" s="47" t="e">
        <f t="shared" si="8"/>
        <v>#REF!</v>
      </c>
      <c r="P9" s="45">
        <v>-5.7631388888888893</v>
      </c>
      <c r="Q9" s="45">
        <v>-78.439000000000007</v>
      </c>
      <c r="R9" s="45" t="s">
        <v>549</v>
      </c>
      <c r="S9" s="51" t="s">
        <v>550</v>
      </c>
      <c r="U9" s="52"/>
    </row>
    <row r="10" spans="1:21" ht="17.25" customHeight="1" x14ac:dyDescent="0.3">
      <c r="A10" s="45">
        <v>9</v>
      </c>
      <c r="B10" s="46" t="e">
        <f t="array" ref="B10">INDEX('informe de Gestión 2021-2025'!C:C, MATCH(S10,#REF!, 0), )</f>
        <v>#REF!</v>
      </c>
      <c r="C10" s="47" t="e">
        <f t="array" ref="C10">INDEX('informe de Gestión 2021-2025'!D:D, MATCH(S10,#REF!, 0), )</f>
        <v>#REF!</v>
      </c>
      <c r="D10" s="47" t="e">
        <f t="array" ref="D10">INDEX('informe de Gestión 2021-2025'!I:I, MATCH(S10,#REF!, 0), )</f>
        <v>#REF!</v>
      </c>
      <c r="E10" s="47" t="e">
        <f t="array" ref="E10">INDEX('informe de Gestión 2021-2025'!K:K, MATCH(S10,#REF!, 0), )</f>
        <v>#REF!</v>
      </c>
      <c r="F10" s="47" t="e">
        <f t="shared" si="0"/>
        <v>#REF!</v>
      </c>
      <c r="G10" s="45" t="e">
        <f t="array" ref="G10">INDEX('informe de Gestión 2021-2025'!#REF!, MATCH(S10,#REF!, 0), )</f>
        <v>#REF!</v>
      </c>
      <c r="H10" s="48" t="e">
        <f t="shared" si="1"/>
        <v>#REF!</v>
      </c>
      <c r="I10" s="49" t="e">
        <f t="shared" si="2"/>
        <v>#REF!</v>
      </c>
      <c r="J10" s="47" t="e">
        <f t="shared" si="3"/>
        <v>#REF!</v>
      </c>
      <c r="K10" s="47" t="e">
        <f t="shared" si="4"/>
        <v>#REF!</v>
      </c>
      <c r="L10" s="50" t="e">
        <f t="shared" si="5"/>
        <v>#REF!</v>
      </c>
      <c r="M10" s="50" t="e">
        <f t="shared" si="6"/>
        <v>#REF!</v>
      </c>
      <c r="N10" s="47" t="e">
        <f t="shared" si="7"/>
        <v>#REF!</v>
      </c>
      <c r="O10" s="47" t="e">
        <f t="shared" si="8"/>
        <v>#REF!</v>
      </c>
      <c r="P10" s="45">
        <v>-6.6993666666666671</v>
      </c>
      <c r="Q10" s="45">
        <v>-78.508638888888882</v>
      </c>
      <c r="R10" s="45" t="s">
        <v>551</v>
      </c>
      <c r="S10" s="51" t="s">
        <v>552</v>
      </c>
      <c r="U10" s="52"/>
    </row>
    <row r="11" spans="1:21" ht="17.25" customHeight="1" x14ac:dyDescent="0.3">
      <c r="A11" s="45">
        <v>10</v>
      </c>
      <c r="B11" s="46" t="e">
        <f t="array" ref="B11">INDEX('informe de Gestión 2021-2025'!C:C, MATCH(S11,#REF!, 0), )</f>
        <v>#REF!</v>
      </c>
      <c r="C11" s="47" t="e">
        <f t="array" ref="C11">INDEX('informe de Gestión 2021-2025'!D:D, MATCH(S11,#REF!, 0), )</f>
        <v>#REF!</v>
      </c>
      <c r="D11" s="47" t="e">
        <f t="array" ref="D11">INDEX('informe de Gestión 2021-2025'!I:I, MATCH(S11,#REF!, 0), )</f>
        <v>#REF!</v>
      </c>
      <c r="E11" s="47" t="e">
        <f t="array" ref="E11">INDEX('informe de Gestión 2021-2025'!K:K, MATCH(S11,#REF!, 0), )</f>
        <v>#REF!</v>
      </c>
      <c r="F11" s="47" t="e">
        <f t="shared" si="0"/>
        <v>#REF!</v>
      </c>
      <c r="G11" s="45" t="e">
        <f t="array" ref="G11">INDEX('informe de Gestión 2021-2025'!#REF!, MATCH(S11,#REF!, 0), )</f>
        <v>#REF!</v>
      </c>
      <c r="H11" s="48" t="e">
        <f t="shared" si="1"/>
        <v>#REF!</v>
      </c>
      <c r="I11" s="49" t="e">
        <f t="shared" si="2"/>
        <v>#REF!</v>
      </c>
      <c r="J11" s="47" t="e">
        <f t="shared" si="3"/>
        <v>#REF!</v>
      </c>
      <c r="K11" s="47" t="e">
        <f t="shared" si="4"/>
        <v>#REF!</v>
      </c>
      <c r="L11" s="50" t="e">
        <f t="shared" si="5"/>
        <v>#REF!</v>
      </c>
      <c r="M11" s="50" t="e">
        <f t="shared" si="6"/>
        <v>#REF!</v>
      </c>
      <c r="N11" s="47" t="e">
        <f t="shared" si="7"/>
        <v>#REF!</v>
      </c>
      <c r="O11" s="47" t="e">
        <f t="shared" si="8"/>
        <v>#REF!</v>
      </c>
      <c r="P11" s="45">
        <v>-8.3932500000000001</v>
      </c>
      <c r="Q11" s="45">
        <v>-78.007194444444451</v>
      </c>
      <c r="R11" s="45" t="s">
        <v>553</v>
      </c>
      <c r="S11" s="51" t="s">
        <v>554</v>
      </c>
      <c r="U11" s="52"/>
    </row>
    <row r="12" spans="1:21" ht="17.25" customHeight="1" x14ac:dyDescent="0.3">
      <c r="A12" s="45">
        <v>11</v>
      </c>
      <c r="B12" s="46" t="e">
        <f t="array" ref="B12">INDEX('informe de Gestión 2021-2025'!C:C, MATCH(S12,#REF!, 0), )</f>
        <v>#REF!</v>
      </c>
      <c r="C12" s="47" t="e">
        <f t="array" ref="C12">INDEX('informe de Gestión 2021-2025'!D:D, MATCH(S12,#REF!, 0), )</f>
        <v>#REF!</v>
      </c>
      <c r="D12" s="47" t="e">
        <f t="array" ref="D12">INDEX('informe de Gestión 2021-2025'!I:I, MATCH(S12,#REF!, 0), )</f>
        <v>#REF!</v>
      </c>
      <c r="E12" s="47" t="e">
        <f t="array" ref="E12">INDEX('informe de Gestión 2021-2025'!K:K, MATCH(S12,#REF!, 0), )</f>
        <v>#REF!</v>
      </c>
      <c r="F12" s="47" t="e">
        <f t="shared" si="0"/>
        <v>#REF!</v>
      </c>
      <c r="G12" s="45" t="e">
        <f t="array" ref="G12">INDEX('informe de Gestión 2021-2025'!#REF!, MATCH(S12,#REF!, 0), )</f>
        <v>#REF!</v>
      </c>
      <c r="H12" s="48" t="e">
        <f t="shared" si="1"/>
        <v>#REF!</v>
      </c>
      <c r="I12" s="49" t="e">
        <f t="shared" si="2"/>
        <v>#REF!</v>
      </c>
      <c r="J12" s="47" t="e">
        <f t="shared" si="3"/>
        <v>#REF!</v>
      </c>
      <c r="K12" s="47" t="e">
        <f t="shared" si="4"/>
        <v>#REF!</v>
      </c>
      <c r="L12" s="50" t="e">
        <f t="shared" si="5"/>
        <v>#REF!</v>
      </c>
      <c r="M12" s="50" t="e">
        <f t="shared" si="6"/>
        <v>#REF!</v>
      </c>
      <c r="N12" s="47" t="e">
        <f t="shared" si="7"/>
        <v>#REF!</v>
      </c>
      <c r="O12" s="47" t="e">
        <f t="shared" si="8"/>
        <v>#REF!</v>
      </c>
      <c r="P12" s="45">
        <v>-8.3932500000000001</v>
      </c>
      <c r="Q12" s="45">
        <v>-78.007194444444451</v>
      </c>
      <c r="R12" s="45" t="s">
        <v>553</v>
      </c>
      <c r="S12" s="51" t="s">
        <v>555</v>
      </c>
      <c r="U12" s="52"/>
    </row>
    <row r="13" spans="1:21" ht="17.25" customHeight="1" x14ac:dyDescent="0.3">
      <c r="A13" s="45">
        <v>12</v>
      </c>
      <c r="B13" s="46" t="e">
        <f t="array" ref="B13">INDEX('informe de Gestión 2021-2025'!C:C, MATCH(S13,#REF!, 0), )</f>
        <v>#REF!</v>
      </c>
      <c r="C13" s="47" t="e">
        <f t="array" ref="C13">INDEX('informe de Gestión 2021-2025'!D:D, MATCH(S13,#REF!, 0), )</f>
        <v>#REF!</v>
      </c>
      <c r="D13" s="47" t="e">
        <f t="array" ref="D13">INDEX('informe de Gestión 2021-2025'!I:I, MATCH(S13,#REF!, 0), )</f>
        <v>#REF!</v>
      </c>
      <c r="E13" s="47" t="e">
        <f t="array" ref="E13">INDEX('informe de Gestión 2021-2025'!K:K, MATCH(S13,#REF!, 0), )</f>
        <v>#REF!</v>
      </c>
      <c r="F13" s="47" t="e">
        <f t="shared" si="0"/>
        <v>#REF!</v>
      </c>
      <c r="G13" s="45" t="e">
        <f t="array" ref="G13">INDEX('informe de Gestión 2021-2025'!#REF!, MATCH(S13,#REF!, 0), )</f>
        <v>#REF!</v>
      </c>
      <c r="H13" s="48" t="e">
        <f t="shared" si="1"/>
        <v>#REF!</v>
      </c>
      <c r="I13" s="49" t="e">
        <f t="shared" si="2"/>
        <v>#REF!</v>
      </c>
      <c r="J13" s="47" t="e">
        <f t="shared" si="3"/>
        <v>#REF!</v>
      </c>
      <c r="K13" s="47" t="e">
        <f t="shared" si="4"/>
        <v>#REF!</v>
      </c>
      <c r="L13" s="50" t="e">
        <f t="shared" si="5"/>
        <v>#REF!</v>
      </c>
      <c r="M13" s="50" t="e">
        <f t="shared" si="6"/>
        <v>#REF!</v>
      </c>
      <c r="N13" s="47" t="e">
        <f t="shared" si="7"/>
        <v>#REF!</v>
      </c>
      <c r="O13" s="47" t="e">
        <f t="shared" si="8"/>
        <v>#REF!</v>
      </c>
      <c r="P13" s="45">
        <v>-7.6234722222222224</v>
      </c>
      <c r="Q13" s="45">
        <v>-78.039416666666668</v>
      </c>
      <c r="R13" s="45" t="s">
        <v>556</v>
      </c>
      <c r="S13" s="51" t="s">
        <v>557</v>
      </c>
      <c r="U13" s="52"/>
    </row>
    <row r="14" spans="1:21" ht="17.25" customHeight="1" x14ac:dyDescent="0.3">
      <c r="A14" s="45">
        <v>13</v>
      </c>
      <c r="B14" s="46" t="e">
        <f t="array" ref="B14">INDEX('informe de Gestión 2021-2025'!C:C, MATCH(S14,#REF!, 0), )</f>
        <v>#REF!</v>
      </c>
      <c r="C14" s="47" t="e">
        <f t="array" ref="C14">INDEX('informe de Gestión 2021-2025'!D:D, MATCH(S14,#REF!, 0), )</f>
        <v>#REF!</v>
      </c>
      <c r="D14" s="47" t="e">
        <f t="array" ref="D14">INDEX('informe de Gestión 2021-2025'!I:I, MATCH(S14,#REF!, 0), )</f>
        <v>#REF!</v>
      </c>
      <c r="E14" s="47" t="e">
        <f t="array" ref="E14">INDEX('informe de Gestión 2021-2025'!K:K, MATCH(S14,#REF!, 0), )</f>
        <v>#REF!</v>
      </c>
      <c r="F14" s="47" t="e">
        <f t="shared" si="0"/>
        <v>#REF!</v>
      </c>
      <c r="G14" s="45" t="e">
        <f t="array" ref="G14">INDEX('informe de Gestión 2021-2025'!#REF!, MATCH(S14,#REF!, 0), )</f>
        <v>#REF!</v>
      </c>
      <c r="H14" s="48" t="e">
        <f t="shared" si="1"/>
        <v>#REF!</v>
      </c>
      <c r="I14" s="49" t="e">
        <f t="shared" si="2"/>
        <v>#REF!</v>
      </c>
      <c r="J14" s="47" t="e">
        <f t="shared" si="3"/>
        <v>#REF!</v>
      </c>
      <c r="K14" s="47" t="e">
        <f t="shared" si="4"/>
        <v>#REF!</v>
      </c>
      <c r="L14" s="50" t="e">
        <f t="shared" si="5"/>
        <v>#REF!</v>
      </c>
      <c r="M14" s="50" t="e">
        <f t="shared" si="6"/>
        <v>#REF!</v>
      </c>
      <c r="N14" s="47" t="e">
        <f t="shared" si="7"/>
        <v>#REF!</v>
      </c>
      <c r="O14" s="47" t="e">
        <f t="shared" si="8"/>
        <v>#REF!</v>
      </c>
      <c r="P14" s="45">
        <v>-7.1469722222222227</v>
      </c>
      <c r="Q14" s="45">
        <v>-78.53113888888889</v>
      </c>
      <c r="R14" s="45" t="s">
        <v>558</v>
      </c>
      <c r="S14" s="51" t="s">
        <v>559</v>
      </c>
      <c r="U14" s="52"/>
    </row>
    <row r="15" spans="1:21" ht="17.25" customHeight="1" x14ac:dyDescent="0.3">
      <c r="A15" s="45">
        <v>14</v>
      </c>
      <c r="B15" s="46" t="e">
        <f t="array" ref="B15">INDEX('informe de Gestión 2021-2025'!C:C, MATCH(S15,#REF!, 0), )</f>
        <v>#REF!</v>
      </c>
      <c r="C15" s="47" t="e">
        <f t="array" ref="C15">INDEX('informe de Gestión 2021-2025'!D:D, MATCH(S15,#REF!, 0), )</f>
        <v>#REF!</v>
      </c>
      <c r="D15" s="47" t="e">
        <f t="array" ref="D15">INDEX('informe de Gestión 2021-2025'!I:I, MATCH(S15,#REF!, 0), )</f>
        <v>#REF!</v>
      </c>
      <c r="E15" s="47" t="e">
        <f t="array" ref="E15">INDEX('informe de Gestión 2021-2025'!K:K, MATCH(S15,#REF!, 0), )</f>
        <v>#REF!</v>
      </c>
      <c r="F15" s="47" t="e">
        <f t="shared" si="0"/>
        <v>#REF!</v>
      </c>
      <c r="G15" s="45" t="e">
        <f t="array" ref="G15">INDEX('informe de Gestión 2021-2025'!#REF!, MATCH(S15,#REF!, 0), )</f>
        <v>#REF!</v>
      </c>
      <c r="H15" s="48" t="e">
        <f t="shared" si="1"/>
        <v>#REF!</v>
      </c>
      <c r="I15" s="49" t="e">
        <f t="shared" si="2"/>
        <v>#REF!</v>
      </c>
      <c r="J15" s="47" t="e">
        <f t="shared" si="3"/>
        <v>#REF!</v>
      </c>
      <c r="K15" s="47" t="e">
        <f t="shared" si="4"/>
        <v>#REF!</v>
      </c>
      <c r="L15" s="50" t="e">
        <f t="shared" si="5"/>
        <v>#REF!</v>
      </c>
      <c r="M15" s="50" t="e">
        <f t="shared" si="6"/>
        <v>#REF!</v>
      </c>
      <c r="N15" s="47" t="e">
        <f t="shared" si="7"/>
        <v>#REF!</v>
      </c>
      <c r="O15" s="47" t="e">
        <f t="shared" si="8"/>
        <v>#REF!</v>
      </c>
      <c r="P15" s="45">
        <v>-7.1469722222222227</v>
      </c>
      <c r="Q15" s="45">
        <v>-78.53113888888889</v>
      </c>
      <c r="R15" s="45" t="s">
        <v>558</v>
      </c>
      <c r="S15" s="51" t="s">
        <v>560</v>
      </c>
      <c r="U15" s="52"/>
    </row>
    <row r="16" spans="1:21" ht="17.25" customHeight="1" x14ac:dyDescent="0.3">
      <c r="A16" s="45">
        <v>15</v>
      </c>
      <c r="B16" s="46" t="e">
        <f t="array" ref="B16">INDEX('informe de Gestión 2021-2025'!C:C, MATCH(S16,#REF!, 0), )</f>
        <v>#REF!</v>
      </c>
      <c r="C16" s="47" t="e">
        <f t="array" ref="C16">INDEX('informe de Gestión 2021-2025'!D:D, MATCH(S16,#REF!, 0), )</f>
        <v>#REF!</v>
      </c>
      <c r="D16" s="47" t="e">
        <f t="array" ref="D16">INDEX('informe de Gestión 2021-2025'!I:I, MATCH(S16,#REF!, 0), )</f>
        <v>#REF!</v>
      </c>
      <c r="E16" s="47" t="e">
        <f t="array" ref="E16">INDEX('informe de Gestión 2021-2025'!K:K, MATCH(S16,#REF!, 0), )</f>
        <v>#REF!</v>
      </c>
      <c r="F16" s="47" t="e">
        <f t="shared" si="0"/>
        <v>#REF!</v>
      </c>
      <c r="G16" s="45" t="e">
        <f t="array" ref="G16">INDEX('informe de Gestión 2021-2025'!#REF!, MATCH(S16,#REF!, 0), )</f>
        <v>#REF!</v>
      </c>
      <c r="H16" s="48" t="e">
        <f t="shared" si="1"/>
        <v>#REF!</v>
      </c>
      <c r="I16" s="49" t="e">
        <f t="shared" si="2"/>
        <v>#REF!</v>
      </c>
      <c r="J16" s="47" t="e">
        <f t="shared" si="3"/>
        <v>#REF!</v>
      </c>
      <c r="K16" s="47" t="e">
        <f t="shared" si="4"/>
        <v>#REF!</v>
      </c>
      <c r="L16" s="50" t="e">
        <f t="shared" si="5"/>
        <v>#REF!</v>
      </c>
      <c r="M16" s="50" t="e">
        <f t="shared" si="6"/>
        <v>#REF!</v>
      </c>
      <c r="N16" s="47" t="e">
        <f t="shared" si="7"/>
        <v>#REF!</v>
      </c>
      <c r="O16" s="47" t="e">
        <f t="shared" si="8"/>
        <v>#REF!</v>
      </c>
      <c r="P16" s="45">
        <v>-6.1868055555555559</v>
      </c>
      <c r="Q16" s="45">
        <v>-78.907916666666679</v>
      </c>
      <c r="R16" s="45" t="s">
        <v>561</v>
      </c>
      <c r="S16" s="51" t="s">
        <v>562</v>
      </c>
      <c r="U16" s="52"/>
    </row>
    <row r="17" spans="1:21" ht="17.25" customHeight="1" x14ac:dyDescent="0.3">
      <c r="A17" s="45">
        <v>16</v>
      </c>
      <c r="B17" s="46" t="e">
        <f t="array" ref="B17">INDEX('informe de Gestión 2021-2025'!C:C, MATCH(S17,#REF!, 0), )</f>
        <v>#REF!</v>
      </c>
      <c r="C17" s="47" t="e">
        <f t="array" ref="C17">INDEX('informe de Gestión 2021-2025'!D:D, MATCH(S17,#REF!, 0), )</f>
        <v>#REF!</v>
      </c>
      <c r="D17" s="47" t="e">
        <f t="array" ref="D17">INDEX('informe de Gestión 2021-2025'!I:I, MATCH(S17,#REF!, 0), )</f>
        <v>#REF!</v>
      </c>
      <c r="E17" s="47" t="e">
        <f t="array" ref="E17">INDEX('informe de Gestión 2021-2025'!K:K, MATCH(S17,#REF!, 0), )</f>
        <v>#REF!</v>
      </c>
      <c r="F17" s="47" t="e">
        <f t="shared" si="0"/>
        <v>#REF!</v>
      </c>
      <c r="G17" s="45" t="e">
        <f t="array" ref="G17">INDEX('informe de Gestión 2021-2025'!#REF!, MATCH(S17,#REF!, 0), )</f>
        <v>#REF!</v>
      </c>
      <c r="H17" s="48" t="e">
        <f t="shared" si="1"/>
        <v>#REF!</v>
      </c>
      <c r="I17" s="49" t="e">
        <f t="shared" si="2"/>
        <v>#REF!</v>
      </c>
      <c r="J17" s="47" t="e">
        <f t="shared" si="3"/>
        <v>#REF!</v>
      </c>
      <c r="K17" s="47" t="e">
        <f t="shared" si="4"/>
        <v>#REF!</v>
      </c>
      <c r="L17" s="50" t="e">
        <f t="shared" si="5"/>
        <v>#REF!</v>
      </c>
      <c r="M17" s="50" t="e">
        <f t="shared" si="6"/>
        <v>#REF!</v>
      </c>
      <c r="N17" s="47" t="e">
        <f t="shared" si="7"/>
        <v>#REF!</v>
      </c>
      <c r="O17" s="47" t="e">
        <f t="shared" si="8"/>
        <v>#REF!</v>
      </c>
      <c r="P17" s="45">
        <v>-7.4905833333333334</v>
      </c>
      <c r="Q17" s="45">
        <v>-76.650583333333344</v>
      </c>
      <c r="R17" s="45" t="s">
        <v>563</v>
      </c>
      <c r="S17" s="51" t="s">
        <v>564</v>
      </c>
      <c r="U17" s="52"/>
    </row>
    <row r="18" spans="1:21" ht="17.25" customHeight="1" x14ac:dyDescent="0.3">
      <c r="A18" s="45">
        <v>17</v>
      </c>
      <c r="B18" s="46" t="e">
        <f t="array" ref="B18">INDEX('informe de Gestión 2021-2025'!C:C, MATCH(S18,#REF!, 0), )</f>
        <v>#REF!</v>
      </c>
      <c r="C18" s="47" t="e">
        <f t="array" ref="C18">INDEX('informe de Gestión 2021-2025'!D:D, MATCH(S18,#REF!, 0), )</f>
        <v>#REF!</v>
      </c>
      <c r="D18" s="47" t="e">
        <f t="array" ref="D18">INDEX('informe de Gestión 2021-2025'!I:I, MATCH(S18,#REF!, 0), )</f>
        <v>#REF!</v>
      </c>
      <c r="E18" s="47" t="e">
        <f t="array" ref="E18">INDEX('informe de Gestión 2021-2025'!K:K, MATCH(S18,#REF!, 0), )</f>
        <v>#REF!</v>
      </c>
      <c r="F18" s="47" t="e">
        <f t="shared" si="0"/>
        <v>#REF!</v>
      </c>
      <c r="G18" s="45" t="e">
        <f t="array" ref="G18">INDEX('informe de Gestión 2021-2025'!#REF!, MATCH(S18,#REF!, 0), )</f>
        <v>#REF!</v>
      </c>
      <c r="H18" s="48" t="e">
        <f t="shared" si="1"/>
        <v>#REF!</v>
      </c>
      <c r="I18" s="49" t="e">
        <f t="shared" si="2"/>
        <v>#REF!</v>
      </c>
      <c r="J18" s="47" t="e">
        <f t="shared" si="3"/>
        <v>#REF!</v>
      </c>
      <c r="K18" s="47" t="e">
        <f t="shared" si="4"/>
        <v>#REF!</v>
      </c>
      <c r="L18" s="50" t="e">
        <f t="shared" si="5"/>
        <v>#REF!</v>
      </c>
      <c r="M18" s="50" t="e">
        <f t="shared" si="6"/>
        <v>#REF!</v>
      </c>
      <c r="N18" s="47" t="e">
        <f t="shared" si="7"/>
        <v>#REF!</v>
      </c>
      <c r="O18" s="47" t="e">
        <f t="shared" si="8"/>
        <v>#REF!</v>
      </c>
      <c r="P18" s="45">
        <v>-9.0431666666666661</v>
      </c>
      <c r="Q18" s="45">
        <v>-77.788861111111103</v>
      </c>
      <c r="R18" s="45" t="s">
        <v>565</v>
      </c>
      <c r="S18" s="51" t="s">
        <v>566</v>
      </c>
      <c r="U18" s="52"/>
    </row>
    <row r="19" spans="1:21" ht="17.25" customHeight="1" x14ac:dyDescent="0.3">
      <c r="A19" s="45">
        <v>18</v>
      </c>
      <c r="B19" s="46" t="e">
        <f t="array" ref="B19">INDEX('informe de Gestión 2021-2025'!C:C, MATCH(S19,#REF!, 0), )</f>
        <v>#REF!</v>
      </c>
      <c r="C19" s="47" t="e">
        <f t="array" ref="C19">INDEX('informe de Gestión 2021-2025'!D:D, MATCH(S19,#REF!, 0), )</f>
        <v>#REF!</v>
      </c>
      <c r="D19" s="47" t="e">
        <f t="array" ref="D19">INDEX('informe de Gestión 2021-2025'!I:I, MATCH(S19,#REF!, 0), )</f>
        <v>#REF!</v>
      </c>
      <c r="E19" s="47" t="e">
        <f t="array" ref="E19">INDEX('informe de Gestión 2021-2025'!K:K, MATCH(S19,#REF!, 0), )</f>
        <v>#REF!</v>
      </c>
      <c r="F19" s="47" t="e">
        <f t="shared" si="0"/>
        <v>#REF!</v>
      </c>
      <c r="G19" s="45" t="e">
        <f t="array" ref="G19">INDEX('informe de Gestión 2021-2025'!#REF!, MATCH(S19,#REF!, 0), )</f>
        <v>#REF!</v>
      </c>
      <c r="H19" s="48" t="e">
        <f t="shared" si="1"/>
        <v>#REF!</v>
      </c>
      <c r="I19" s="49" t="e">
        <f t="shared" si="2"/>
        <v>#REF!</v>
      </c>
      <c r="J19" s="47" t="e">
        <f t="shared" si="3"/>
        <v>#REF!</v>
      </c>
      <c r="K19" s="47" t="e">
        <f t="shared" si="4"/>
        <v>#REF!</v>
      </c>
      <c r="L19" s="50" t="e">
        <f t="shared" si="5"/>
        <v>#REF!</v>
      </c>
      <c r="M19" s="50" t="e">
        <f t="shared" si="6"/>
        <v>#REF!</v>
      </c>
      <c r="N19" s="47" t="e">
        <f t="shared" si="7"/>
        <v>#REF!</v>
      </c>
      <c r="O19" s="47" t="e">
        <f t="shared" si="8"/>
        <v>#REF!</v>
      </c>
      <c r="P19" s="45">
        <v>-9.0431944444444436</v>
      </c>
      <c r="Q19" s="45">
        <v>-77.788888888888891</v>
      </c>
      <c r="R19" s="45" t="s">
        <v>567</v>
      </c>
      <c r="S19" s="51" t="s">
        <v>568</v>
      </c>
      <c r="U19" s="52"/>
    </row>
    <row r="20" spans="1:21" ht="17.25" customHeight="1" x14ac:dyDescent="0.3">
      <c r="A20" s="45">
        <v>19</v>
      </c>
      <c r="B20" s="46" t="e">
        <f t="array" ref="B20">INDEX('informe de Gestión 2021-2025'!C:C, MATCH(S20,#REF!, 0), )</f>
        <v>#REF!</v>
      </c>
      <c r="C20" s="47" t="e">
        <f t="array" ref="C20">INDEX('informe de Gestión 2021-2025'!D:D, MATCH(S20,#REF!, 0), )</f>
        <v>#REF!</v>
      </c>
      <c r="D20" s="47" t="e">
        <f t="array" ref="D20">INDEX('informe de Gestión 2021-2025'!I:I, MATCH(S20,#REF!, 0), )</f>
        <v>#REF!</v>
      </c>
      <c r="E20" s="47" t="e">
        <f t="array" ref="E20">INDEX('informe de Gestión 2021-2025'!K:K, MATCH(S20,#REF!, 0), )</f>
        <v>#REF!</v>
      </c>
      <c r="F20" s="47" t="e">
        <f t="shared" si="0"/>
        <v>#REF!</v>
      </c>
      <c r="G20" s="45" t="e">
        <f t="array" ref="G20">INDEX('informe de Gestión 2021-2025'!#REF!, MATCH(S20,#REF!, 0), )</f>
        <v>#REF!</v>
      </c>
      <c r="H20" s="48" t="e">
        <f t="shared" si="1"/>
        <v>#REF!</v>
      </c>
      <c r="I20" s="49" t="e">
        <f t="shared" si="2"/>
        <v>#REF!</v>
      </c>
      <c r="J20" s="47" t="e">
        <f t="shared" si="3"/>
        <v>#REF!</v>
      </c>
      <c r="K20" s="47" t="e">
        <f t="shared" si="4"/>
        <v>#REF!</v>
      </c>
      <c r="L20" s="50" t="e">
        <f t="shared" si="5"/>
        <v>#REF!</v>
      </c>
      <c r="M20" s="50" t="e">
        <f t="shared" si="6"/>
        <v>#REF!</v>
      </c>
      <c r="N20" s="47" t="e">
        <f t="shared" si="7"/>
        <v>#REF!</v>
      </c>
      <c r="O20" s="47" t="e">
        <f t="shared" si="8"/>
        <v>#REF!</v>
      </c>
      <c r="P20" s="45">
        <v>-7.7404722222222224</v>
      </c>
      <c r="Q20" s="45">
        <v>-79.192638888888894</v>
      </c>
      <c r="R20" s="45" t="s">
        <v>569</v>
      </c>
      <c r="S20" s="51" t="s">
        <v>570</v>
      </c>
      <c r="U20" s="52"/>
    </row>
    <row r="21" spans="1:21" ht="17.25" customHeight="1" x14ac:dyDescent="0.3">
      <c r="A21" s="45">
        <v>20</v>
      </c>
      <c r="B21" s="46" t="e">
        <f t="array" ref="B21">INDEX('informe de Gestión 2021-2025'!C:C, MATCH(S21,#REF!, 0), )</f>
        <v>#REF!</v>
      </c>
      <c r="C21" s="47" t="e">
        <f t="array" ref="C21">INDEX('informe de Gestión 2021-2025'!D:D, MATCH(S21,#REF!, 0), )</f>
        <v>#REF!</v>
      </c>
      <c r="D21" s="47" t="e">
        <f t="array" ref="D21">INDEX('informe de Gestión 2021-2025'!I:I, MATCH(S21,#REF!, 0), )</f>
        <v>#REF!</v>
      </c>
      <c r="E21" s="47" t="e">
        <f t="array" ref="E21">INDEX('informe de Gestión 2021-2025'!K:K, MATCH(S21,#REF!, 0), )</f>
        <v>#REF!</v>
      </c>
      <c r="F21" s="47" t="e">
        <f t="shared" si="0"/>
        <v>#REF!</v>
      </c>
      <c r="G21" s="45" t="e">
        <f t="array" ref="G21">INDEX('informe de Gestión 2021-2025'!#REF!, MATCH(S21,#REF!, 0), )</f>
        <v>#REF!</v>
      </c>
      <c r="H21" s="48" t="e">
        <f t="shared" si="1"/>
        <v>#REF!</v>
      </c>
      <c r="I21" s="49" t="e">
        <f t="shared" si="2"/>
        <v>#REF!</v>
      </c>
      <c r="J21" s="47" t="e">
        <f t="shared" si="3"/>
        <v>#REF!</v>
      </c>
      <c r="K21" s="47" t="e">
        <f t="shared" si="4"/>
        <v>#REF!</v>
      </c>
      <c r="L21" s="50" t="e">
        <f t="shared" si="5"/>
        <v>#REF!</v>
      </c>
      <c r="M21" s="50" t="e">
        <f t="shared" si="6"/>
        <v>#REF!</v>
      </c>
      <c r="N21" s="47" t="e">
        <f t="shared" si="7"/>
        <v>#REF!</v>
      </c>
      <c r="O21" s="47" t="e">
        <f t="shared" si="8"/>
        <v>#REF!</v>
      </c>
      <c r="P21" s="45">
        <v>-9.4802499999999998</v>
      </c>
      <c r="Q21" s="45">
        <v>-78.303222222222217</v>
      </c>
      <c r="R21" s="45" t="s">
        <v>571</v>
      </c>
      <c r="S21" s="51" t="s">
        <v>572</v>
      </c>
      <c r="U21" s="52"/>
    </row>
    <row r="22" spans="1:21" ht="17.25" customHeight="1" x14ac:dyDescent="0.3">
      <c r="A22" s="45">
        <v>21</v>
      </c>
      <c r="B22" s="46" t="e">
        <f t="array" ref="B22">INDEX('informe de Gestión 2021-2025'!C:C, MATCH(S22,#REF!, 0), )</f>
        <v>#REF!</v>
      </c>
      <c r="C22" s="47" t="e">
        <f t="array" ref="C22">INDEX('informe de Gestión 2021-2025'!D:D, MATCH(S22,#REF!, 0), )</f>
        <v>#REF!</v>
      </c>
      <c r="D22" s="47" t="e">
        <f t="array" ref="D22">INDEX('informe de Gestión 2021-2025'!I:I, MATCH(S22,#REF!, 0), )</f>
        <v>#REF!</v>
      </c>
      <c r="E22" s="47" t="e">
        <f t="array" ref="E22">INDEX('informe de Gestión 2021-2025'!K:K, MATCH(S22,#REF!, 0), )</f>
        <v>#REF!</v>
      </c>
      <c r="F22" s="47" t="e">
        <f t="shared" si="0"/>
        <v>#REF!</v>
      </c>
      <c r="G22" s="45" t="e">
        <f t="array" ref="G22">INDEX('informe de Gestión 2021-2025'!#REF!, MATCH(S22,#REF!, 0), )</f>
        <v>#REF!</v>
      </c>
      <c r="H22" s="48" t="e">
        <f t="shared" si="1"/>
        <v>#REF!</v>
      </c>
      <c r="I22" s="49" t="e">
        <f t="shared" si="2"/>
        <v>#REF!</v>
      </c>
      <c r="J22" s="47" t="e">
        <f t="shared" si="3"/>
        <v>#REF!</v>
      </c>
      <c r="K22" s="47" t="e">
        <f t="shared" si="4"/>
        <v>#REF!</v>
      </c>
      <c r="L22" s="50" t="e">
        <f t="shared" si="5"/>
        <v>#REF!</v>
      </c>
      <c r="M22" s="50" t="e">
        <f t="shared" si="6"/>
        <v>#REF!</v>
      </c>
      <c r="N22" s="47" t="e">
        <f t="shared" si="7"/>
        <v>#REF!</v>
      </c>
      <c r="O22" s="47" t="e">
        <f t="shared" si="8"/>
        <v>#REF!</v>
      </c>
      <c r="P22" s="45">
        <v>-6.8811944444444446</v>
      </c>
      <c r="Q22" s="45">
        <v>-78.111194444444436</v>
      </c>
      <c r="R22" s="45" t="s">
        <v>573</v>
      </c>
      <c r="S22" s="51" t="s">
        <v>574</v>
      </c>
      <c r="U22" s="52"/>
    </row>
    <row r="23" spans="1:21" ht="17.25" customHeight="1" x14ac:dyDescent="0.3">
      <c r="A23" s="45">
        <v>22</v>
      </c>
      <c r="B23" s="46" t="e">
        <f t="array" ref="B23">INDEX('informe de Gestión 2021-2025'!C:C, MATCH(S23,#REF!, 0), )</f>
        <v>#REF!</v>
      </c>
      <c r="C23" s="47" t="e">
        <f t="array" ref="C23">INDEX('informe de Gestión 2021-2025'!D:D, MATCH(S23,#REF!, 0), )</f>
        <v>#REF!</v>
      </c>
      <c r="D23" s="47" t="e">
        <f t="array" ref="D23">INDEX('informe de Gestión 2021-2025'!I:I, MATCH(S23,#REF!, 0), )</f>
        <v>#REF!</v>
      </c>
      <c r="E23" s="47" t="e">
        <f t="array" ref="E23">INDEX('informe de Gestión 2021-2025'!K:K, MATCH(S23,#REF!, 0), )</f>
        <v>#REF!</v>
      </c>
      <c r="F23" s="47" t="e">
        <f t="shared" si="0"/>
        <v>#REF!</v>
      </c>
      <c r="G23" s="45" t="e">
        <f t="array" ref="G23">INDEX('informe de Gestión 2021-2025'!#REF!, MATCH(S23,#REF!, 0), )</f>
        <v>#REF!</v>
      </c>
      <c r="H23" s="48" t="e">
        <f t="shared" si="1"/>
        <v>#REF!</v>
      </c>
      <c r="I23" s="49" t="e">
        <f t="shared" si="2"/>
        <v>#REF!</v>
      </c>
      <c r="J23" s="47" t="e">
        <f t="shared" si="3"/>
        <v>#REF!</v>
      </c>
      <c r="K23" s="47" t="e">
        <f t="shared" si="4"/>
        <v>#REF!</v>
      </c>
      <c r="L23" s="50" t="e">
        <f t="shared" si="5"/>
        <v>#REF!</v>
      </c>
      <c r="M23" s="50" t="e">
        <f t="shared" si="6"/>
        <v>#REF!</v>
      </c>
      <c r="N23" s="47" t="e">
        <f t="shared" si="7"/>
        <v>#REF!</v>
      </c>
      <c r="O23" s="47" t="e">
        <f t="shared" si="8"/>
        <v>#REF!</v>
      </c>
      <c r="P23" s="45">
        <v>-6.8833888888888888</v>
      </c>
      <c r="Q23" s="45">
        <v>-78.115027777777769</v>
      </c>
      <c r="R23" s="45" t="s">
        <v>575</v>
      </c>
      <c r="S23" s="51" t="s">
        <v>576</v>
      </c>
      <c r="U23" s="52"/>
    </row>
    <row r="24" spans="1:21" ht="17.25" customHeight="1" x14ac:dyDescent="0.3">
      <c r="A24" s="45">
        <v>23</v>
      </c>
      <c r="B24" s="46" t="e">
        <f t="array" ref="B24">INDEX('informe de Gestión 2021-2025'!C:C, MATCH(S24,#REF!, 0), )</f>
        <v>#REF!</v>
      </c>
      <c r="C24" s="47" t="e">
        <f t="array" ref="C24">INDEX('informe de Gestión 2021-2025'!D:D, MATCH(S24,#REF!, 0), )</f>
        <v>#REF!</v>
      </c>
      <c r="D24" s="47" t="e">
        <f t="array" ref="D24">INDEX('informe de Gestión 2021-2025'!I:I, MATCH(S24,#REF!, 0), )</f>
        <v>#REF!</v>
      </c>
      <c r="E24" s="47" t="e">
        <f t="array" ref="E24">INDEX('informe de Gestión 2021-2025'!K:K, MATCH(S24,#REF!, 0), )</f>
        <v>#REF!</v>
      </c>
      <c r="F24" s="47" t="e">
        <f t="shared" si="0"/>
        <v>#REF!</v>
      </c>
      <c r="G24" s="45" t="e">
        <f t="array" ref="G24">INDEX('informe de Gestión 2021-2025'!#REF!, MATCH(S24,#REF!, 0), )</f>
        <v>#REF!</v>
      </c>
      <c r="H24" s="48" t="e">
        <f t="shared" si="1"/>
        <v>#REF!</v>
      </c>
      <c r="I24" s="49" t="e">
        <f t="shared" si="2"/>
        <v>#REF!</v>
      </c>
      <c r="J24" s="47" t="e">
        <f t="shared" si="3"/>
        <v>#REF!</v>
      </c>
      <c r="K24" s="47" t="e">
        <f t="shared" si="4"/>
        <v>#REF!</v>
      </c>
      <c r="L24" s="50" t="e">
        <f t="shared" si="5"/>
        <v>#REF!</v>
      </c>
      <c r="M24" s="50" t="e">
        <f t="shared" si="6"/>
        <v>#REF!</v>
      </c>
      <c r="N24" s="47" t="e">
        <f t="shared" si="7"/>
        <v>#REF!</v>
      </c>
      <c r="O24" s="47" t="e">
        <f t="shared" si="8"/>
        <v>#REF!</v>
      </c>
      <c r="P24" s="45">
        <v>-9.1629722222222227</v>
      </c>
      <c r="Q24" s="45">
        <v>-77.380277777777778</v>
      </c>
      <c r="R24" s="45" t="s">
        <v>577</v>
      </c>
      <c r="S24" s="51" t="s">
        <v>578</v>
      </c>
      <c r="U24" s="52"/>
    </row>
    <row r="25" spans="1:21" ht="17.25" customHeight="1" x14ac:dyDescent="0.3">
      <c r="A25" s="45">
        <v>24</v>
      </c>
      <c r="B25" s="46" t="e">
        <f t="array" ref="B25">INDEX('informe de Gestión 2021-2025'!C:C, MATCH(S25,#REF!, 0), )</f>
        <v>#REF!</v>
      </c>
      <c r="C25" s="47" t="e">
        <f t="array" ref="C25">INDEX('informe de Gestión 2021-2025'!D:D, MATCH(S25,#REF!, 0), )</f>
        <v>#REF!</v>
      </c>
      <c r="D25" s="47" t="e">
        <f t="array" ref="D25">INDEX('informe de Gestión 2021-2025'!I:I, MATCH(S25,#REF!, 0), )</f>
        <v>#REF!</v>
      </c>
      <c r="E25" s="47" t="e">
        <f t="array" ref="E25">INDEX('informe de Gestión 2021-2025'!K:K, MATCH(S25,#REF!, 0), )</f>
        <v>#REF!</v>
      </c>
      <c r="F25" s="47" t="e">
        <f t="shared" si="0"/>
        <v>#REF!</v>
      </c>
      <c r="G25" s="45" t="e">
        <f t="array" ref="G25">INDEX('informe de Gestión 2021-2025'!#REF!, MATCH(S25,#REF!, 0), )</f>
        <v>#REF!</v>
      </c>
      <c r="H25" s="48" t="e">
        <f t="shared" si="1"/>
        <v>#REF!</v>
      </c>
      <c r="I25" s="49" t="e">
        <f t="shared" si="2"/>
        <v>#REF!</v>
      </c>
      <c r="J25" s="47" t="e">
        <f t="shared" si="3"/>
        <v>#REF!</v>
      </c>
      <c r="K25" s="47" t="e">
        <f t="shared" si="4"/>
        <v>#REF!</v>
      </c>
      <c r="L25" s="50" t="e">
        <f t="shared" si="5"/>
        <v>#REF!</v>
      </c>
      <c r="M25" s="50" t="e">
        <f t="shared" si="6"/>
        <v>#REF!</v>
      </c>
      <c r="N25" s="47" t="e">
        <f t="shared" si="7"/>
        <v>#REF!</v>
      </c>
      <c r="O25" s="47" t="e">
        <f t="shared" si="8"/>
        <v>#REF!</v>
      </c>
      <c r="P25" s="45">
        <v>-6.2102222222222228</v>
      </c>
      <c r="Q25" s="45">
        <v>-77.872722222222222</v>
      </c>
      <c r="R25" s="45" t="s">
        <v>579</v>
      </c>
      <c r="S25" s="51" t="s">
        <v>580</v>
      </c>
      <c r="U25" s="52"/>
    </row>
    <row r="26" spans="1:21" ht="17.25" customHeight="1" x14ac:dyDescent="0.3">
      <c r="A26" s="45">
        <v>25</v>
      </c>
      <c r="B26" s="46" t="e">
        <f t="array" ref="B26">INDEX('informe de Gestión 2021-2025'!C:C, MATCH(S26,#REF!, 0), )</f>
        <v>#REF!</v>
      </c>
      <c r="C26" s="47" t="e">
        <f t="array" ref="C26">INDEX('informe de Gestión 2021-2025'!D:D, MATCH(S26,#REF!, 0), )</f>
        <v>#REF!</v>
      </c>
      <c r="D26" s="47" t="e">
        <f t="array" ref="D26">INDEX('informe de Gestión 2021-2025'!I:I, MATCH(S26,#REF!, 0), )</f>
        <v>#REF!</v>
      </c>
      <c r="E26" s="47" t="e">
        <f t="array" ref="E26">INDEX('informe de Gestión 2021-2025'!K:K, MATCH(S26,#REF!, 0), )</f>
        <v>#REF!</v>
      </c>
      <c r="F26" s="47" t="e">
        <f t="shared" si="0"/>
        <v>#REF!</v>
      </c>
      <c r="G26" s="45" t="e">
        <f t="array" ref="G26">INDEX('informe de Gestión 2021-2025'!#REF!, MATCH(S26,#REF!, 0), )</f>
        <v>#REF!</v>
      </c>
      <c r="H26" s="48" t="e">
        <f t="shared" si="1"/>
        <v>#REF!</v>
      </c>
      <c r="I26" s="49" t="e">
        <f t="shared" si="2"/>
        <v>#REF!</v>
      </c>
      <c r="J26" s="47" t="e">
        <f t="shared" si="3"/>
        <v>#REF!</v>
      </c>
      <c r="K26" s="47" t="e">
        <f t="shared" si="4"/>
        <v>#REF!</v>
      </c>
      <c r="L26" s="50" t="e">
        <f t="shared" si="5"/>
        <v>#REF!</v>
      </c>
      <c r="M26" s="50" t="e">
        <f t="shared" si="6"/>
        <v>#REF!</v>
      </c>
      <c r="N26" s="47" t="e">
        <f t="shared" si="7"/>
        <v>#REF!</v>
      </c>
      <c r="O26" s="47" t="e">
        <f t="shared" si="8"/>
        <v>#REF!</v>
      </c>
      <c r="P26" s="45">
        <v>-5.0392916666666663</v>
      </c>
      <c r="Q26" s="45">
        <v>-79.79258055555556</v>
      </c>
      <c r="R26" s="45" t="s">
        <v>581</v>
      </c>
      <c r="S26" s="51" t="s">
        <v>582</v>
      </c>
      <c r="U26" s="52"/>
    </row>
    <row r="27" spans="1:21" ht="17.25" customHeight="1" x14ac:dyDescent="0.3">
      <c r="A27" s="45">
        <v>26</v>
      </c>
      <c r="B27" s="46" t="e">
        <f t="array" ref="B27">INDEX('informe de Gestión 2021-2025'!C:C, MATCH(S27,#REF!, 0), )</f>
        <v>#REF!</v>
      </c>
      <c r="C27" s="47" t="e">
        <f t="array" ref="C27">INDEX('informe de Gestión 2021-2025'!D:D, MATCH(S27,#REF!, 0), )</f>
        <v>#REF!</v>
      </c>
      <c r="D27" s="47" t="e">
        <f t="array" ref="D27">INDEX('informe de Gestión 2021-2025'!I:I, MATCH(S27,#REF!, 0), )</f>
        <v>#REF!</v>
      </c>
      <c r="E27" s="47" t="e">
        <f t="array" ref="E27">INDEX('informe de Gestión 2021-2025'!K:K, MATCH(S27,#REF!, 0), )</f>
        <v>#REF!</v>
      </c>
      <c r="F27" s="47" t="e">
        <f t="shared" si="0"/>
        <v>#REF!</v>
      </c>
      <c r="G27" s="45" t="e">
        <f t="array" ref="G27">INDEX('informe de Gestión 2021-2025'!#REF!, MATCH(S27,#REF!, 0), )</f>
        <v>#REF!</v>
      </c>
      <c r="H27" s="48" t="e">
        <f t="shared" si="1"/>
        <v>#REF!</v>
      </c>
      <c r="I27" s="49" t="e">
        <f t="shared" si="2"/>
        <v>#REF!</v>
      </c>
      <c r="J27" s="47" t="e">
        <f t="shared" si="3"/>
        <v>#REF!</v>
      </c>
      <c r="K27" s="47" t="e">
        <f t="shared" si="4"/>
        <v>#REF!</v>
      </c>
      <c r="L27" s="50" t="e">
        <f t="shared" si="5"/>
        <v>#REF!</v>
      </c>
      <c r="M27" s="50" t="e">
        <f t="shared" si="6"/>
        <v>#REF!</v>
      </c>
      <c r="N27" s="47" t="e">
        <f t="shared" si="7"/>
        <v>#REF!</v>
      </c>
      <c r="O27" s="47" t="e">
        <f t="shared" si="8"/>
        <v>#REF!</v>
      </c>
      <c r="P27" s="45">
        <v>-9.5719444444444441</v>
      </c>
      <c r="Q27" s="45">
        <v>-77.179944444444445</v>
      </c>
      <c r="R27" s="45" t="s">
        <v>583</v>
      </c>
      <c r="S27" s="51" t="s">
        <v>584</v>
      </c>
      <c r="U27" s="52"/>
    </row>
    <row r="28" spans="1:21" ht="17.25" customHeight="1" x14ac:dyDescent="0.3">
      <c r="A28" s="45">
        <v>27</v>
      </c>
      <c r="B28" s="46" t="e">
        <f t="array" ref="B28">INDEX('informe de Gestión 2021-2025'!C:C, MATCH(S28,#REF!, 0), )</f>
        <v>#REF!</v>
      </c>
      <c r="C28" s="47" t="e">
        <f t="array" ref="C28">INDEX('informe de Gestión 2021-2025'!D:D, MATCH(S28,#REF!, 0), )</f>
        <v>#REF!</v>
      </c>
      <c r="D28" s="47" t="e">
        <f t="array" ref="D28">INDEX('informe de Gestión 2021-2025'!I:I, MATCH(S28,#REF!, 0), )</f>
        <v>#REF!</v>
      </c>
      <c r="E28" s="47" t="e">
        <f t="array" ref="E28">INDEX('informe de Gestión 2021-2025'!K:K, MATCH(S28,#REF!, 0), )</f>
        <v>#REF!</v>
      </c>
      <c r="F28" s="47" t="e">
        <f t="shared" si="0"/>
        <v>#REF!</v>
      </c>
      <c r="G28" s="45" t="e">
        <f t="array" ref="G28">INDEX('informe de Gestión 2021-2025'!#REF!, MATCH(S28,#REF!, 0), )</f>
        <v>#REF!</v>
      </c>
      <c r="H28" s="48" t="e">
        <f t="shared" si="1"/>
        <v>#REF!</v>
      </c>
      <c r="I28" s="49" t="e">
        <f t="shared" si="2"/>
        <v>#REF!</v>
      </c>
      <c r="J28" s="47" t="e">
        <f t="shared" si="3"/>
        <v>#REF!</v>
      </c>
      <c r="K28" s="47" t="e">
        <f t="shared" si="4"/>
        <v>#REF!</v>
      </c>
      <c r="L28" s="50" t="e">
        <f t="shared" si="5"/>
        <v>#REF!</v>
      </c>
      <c r="M28" s="50" t="e">
        <f t="shared" si="6"/>
        <v>#REF!</v>
      </c>
      <c r="N28" s="47" t="e">
        <f t="shared" si="7"/>
        <v>#REF!</v>
      </c>
      <c r="O28" s="47" t="e">
        <f t="shared" si="8"/>
        <v>#REF!</v>
      </c>
      <c r="P28" s="45">
        <v>-6.5759499999999997</v>
      </c>
      <c r="Q28" s="45">
        <v>-76.139866666666677</v>
      </c>
      <c r="R28" s="45" t="s">
        <v>585</v>
      </c>
      <c r="S28" s="51" t="s">
        <v>586</v>
      </c>
      <c r="U28" s="52"/>
    </row>
    <row r="29" spans="1:21" ht="17.25" customHeight="1" x14ac:dyDescent="0.3">
      <c r="A29" s="45">
        <v>28</v>
      </c>
      <c r="B29" s="46" t="e">
        <f t="array" ref="B29">INDEX('informe de Gestión 2021-2025'!C:C, MATCH(S29,#REF!, 0), )</f>
        <v>#REF!</v>
      </c>
      <c r="C29" s="47" t="e">
        <f t="array" ref="C29">INDEX('informe de Gestión 2021-2025'!D:D, MATCH(S29,#REF!, 0), )</f>
        <v>#REF!</v>
      </c>
      <c r="D29" s="47" t="e">
        <f t="array" ref="D29">INDEX('informe de Gestión 2021-2025'!I:I, MATCH(S29,#REF!, 0), )</f>
        <v>#REF!</v>
      </c>
      <c r="E29" s="47" t="e">
        <f t="array" ref="E29">INDEX('informe de Gestión 2021-2025'!K:K, MATCH(S29,#REF!, 0), )</f>
        <v>#REF!</v>
      </c>
      <c r="F29" s="47" t="e">
        <f t="shared" si="0"/>
        <v>#REF!</v>
      </c>
      <c r="G29" s="45" t="e">
        <f t="array" ref="G29">INDEX('informe de Gestión 2021-2025'!#REF!, MATCH(S29,#REF!, 0), )</f>
        <v>#REF!</v>
      </c>
      <c r="H29" s="48" t="e">
        <f t="shared" si="1"/>
        <v>#REF!</v>
      </c>
      <c r="I29" s="49" t="e">
        <f t="shared" si="2"/>
        <v>#REF!</v>
      </c>
      <c r="J29" s="47" t="e">
        <f t="shared" si="3"/>
        <v>#REF!</v>
      </c>
      <c r="K29" s="47" t="e">
        <f t="shared" si="4"/>
        <v>#REF!</v>
      </c>
      <c r="L29" s="50" t="e">
        <f t="shared" si="5"/>
        <v>#REF!</v>
      </c>
      <c r="M29" s="50" t="e">
        <f t="shared" si="6"/>
        <v>#REF!</v>
      </c>
      <c r="N29" s="47" t="e">
        <f t="shared" si="7"/>
        <v>#REF!</v>
      </c>
      <c r="O29" s="47" t="e">
        <f t="shared" si="8"/>
        <v>#REF!</v>
      </c>
      <c r="P29" s="45">
        <v>-7.2334111111111108</v>
      </c>
      <c r="Q29" s="45">
        <v>-79.468836111111116</v>
      </c>
      <c r="R29" s="45" t="s">
        <v>587</v>
      </c>
      <c r="S29" s="51" t="s">
        <v>588</v>
      </c>
      <c r="U29" s="52"/>
    </row>
    <row r="30" spans="1:21" ht="17.25" customHeight="1" x14ac:dyDescent="0.3">
      <c r="A30" s="45">
        <v>29</v>
      </c>
      <c r="B30" s="46" t="e">
        <f t="array" ref="B30">INDEX('informe de Gestión 2021-2025'!C:C, MATCH(S30,#REF!, 0), )</f>
        <v>#REF!</v>
      </c>
      <c r="C30" s="47" t="e">
        <f t="array" ref="C30">INDEX('informe de Gestión 2021-2025'!D:D, MATCH(S30,#REF!, 0), )</f>
        <v>#REF!</v>
      </c>
      <c r="D30" s="47" t="e">
        <f t="array" ref="D30">INDEX('informe de Gestión 2021-2025'!I:I, MATCH(S30,#REF!, 0), )</f>
        <v>#REF!</v>
      </c>
      <c r="E30" s="47" t="e">
        <f t="array" ref="E30">INDEX('informe de Gestión 2021-2025'!K:K, MATCH(S30,#REF!, 0), )</f>
        <v>#REF!</v>
      </c>
      <c r="F30" s="47" t="e">
        <f t="shared" si="0"/>
        <v>#REF!</v>
      </c>
      <c r="G30" s="45" t="e">
        <f t="array" ref="G30">INDEX('informe de Gestión 2021-2025'!#REF!, MATCH(S30,#REF!, 0), )</f>
        <v>#REF!</v>
      </c>
      <c r="H30" s="48" t="e">
        <f t="shared" si="1"/>
        <v>#REF!</v>
      </c>
      <c r="I30" s="49" t="e">
        <f t="shared" si="2"/>
        <v>#REF!</v>
      </c>
      <c r="J30" s="47" t="e">
        <f t="shared" si="3"/>
        <v>#REF!</v>
      </c>
      <c r="K30" s="47" t="e">
        <f t="shared" si="4"/>
        <v>#REF!</v>
      </c>
      <c r="L30" s="50" t="e">
        <f t="shared" si="5"/>
        <v>#REF!</v>
      </c>
      <c r="M30" s="50" t="e">
        <f t="shared" si="6"/>
        <v>#REF!</v>
      </c>
      <c r="N30" s="47" t="e">
        <f t="shared" si="7"/>
        <v>#REF!</v>
      </c>
      <c r="O30" s="47" t="e">
        <f t="shared" si="8"/>
        <v>#REF!</v>
      </c>
      <c r="P30" s="45">
        <v>-7.2334111111111108</v>
      </c>
      <c r="Q30" s="45">
        <v>-79.468836111111116</v>
      </c>
      <c r="R30" s="45" t="s">
        <v>587</v>
      </c>
      <c r="S30" s="51" t="s">
        <v>589</v>
      </c>
      <c r="U30" s="52"/>
    </row>
    <row r="31" spans="1:21" ht="17.25" customHeight="1" x14ac:dyDescent="0.3">
      <c r="A31" s="45">
        <v>30</v>
      </c>
      <c r="B31" s="46" t="e">
        <f t="array" ref="B31">INDEX('informe de Gestión 2021-2025'!C:C, MATCH(S31,#REF!, 0), )</f>
        <v>#REF!</v>
      </c>
      <c r="C31" s="47" t="e">
        <f t="array" ref="C31">INDEX('informe de Gestión 2021-2025'!D:D, MATCH(S31,#REF!, 0), )</f>
        <v>#REF!</v>
      </c>
      <c r="D31" s="47" t="e">
        <f t="array" ref="D31">INDEX('informe de Gestión 2021-2025'!I:I, MATCH(S31,#REF!, 0), )</f>
        <v>#REF!</v>
      </c>
      <c r="E31" s="47" t="e">
        <f t="array" ref="E31">INDEX('informe de Gestión 2021-2025'!K:K, MATCH(S31,#REF!, 0), )</f>
        <v>#REF!</v>
      </c>
      <c r="F31" s="47" t="e">
        <f t="shared" si="0"/>
        <v>#REF!</v>
      </c>
      <c r="G31" s="45" t="e">
        <f t="array" ref="G31">INDEX('informe de Gestión 2021-2025'!#REF!, MATCH(S31,#REF!, 0), )</f>
        <v>#REF!</v>
      </c>
      <c r="H31" s="48" t="e">
        <f t="shared" si="1"/>
        <v>#REF!</v>
      </c>
      <c r="I31" s="49" t="e">
        <f t="shared" si="2"/>
        <v>#REF!</v>
      </c>
      <c r="J31" s="47" t="e">
        <f t="shared" si="3"/>
        <v>#REF!</v>
      </c>
      <c r="K31" s="47" t="e">
        <f t="shared" si="4"/>
        <v>#REF!</v>
      </c>
      <c r="L31" s="50" t="e">
        <f t="shared" si="5"/>
        <v>#REF!</v>
      </c>
      <c r="M31" s="50" t="e">
        <f t="shared" si="6"/>
        <v>#REF!</v>
      </c>
      <c r="N31" s="47" t="e">
        <f t="shared" si="7"/>
        <v>#REF!</v>
      </c>
      <c r="O31" s="47" t="e">
        <f t="shared" si="8"/>
        <v>#REF!</v>
      </c>
      <c r="P31" s="45">
        <v>-6.7836388888888886</v>
      </c>
      <c r="Q31" s="45">
        <v>-79.872944444444443</v>
      </c>
      <c r="R31" s="45" t="s">
        <v>590</v>
      </c>
      <c r="S31" s="51" t="s">
        <v>591</v>
      </c>
      <c r="U31" s="52"/>
    </row>
    <row r="32" spans="1:21" ht="17.25" customHeight="1" x14ac:dyDescent="0.3">
      <c r="A32" s="45">
        <v>31</v>
      </c>
      <c r="B32" s="46" t="e">
        <f t="array" ref="B32">INDEX('informe de Gestión 2021-2025'!C:C, MATCH(S32,#REF!, 0), )</f>
        <v>#REF!</v>
      </c>
      <c r="C32" s="47" t="e">
        <f t="array" ref="C32">INDEX('informe de Gestión 2021-2025'!D:D, MATCH(S32,#REF!, 0), )</f>
        <v>#REF!</v>
      </c>
      <c r="D32" s="47" t="e">
        <f t="array" ref="D32">INDEX('informe de Gestión 2021-2025'!I:I, MATCH(S32,#REF!, 0), )</f>
        <v>#REF!</v>
      </c>
      <c r="E32" s="47" t="e">
        <f t="array" ref="E32">INDEX('informe de Gestión 2021-2025'!K:K, MATCH(S32,#REF!, 0), )</f>
        <v>#REF!</v>
      </c>
      <c r="F32" s="47" t="e">
        <f t="shared" si="0"/>
        <v>#REF!</v>
      </c>
      <c r="G32" s="45" t="e">
        <f t="array" ref="G32">INDEX('informe de Gestión 2021-2025'!#REF!, MATCH(S32,#REF!, 0), )</f>
        <v>#REF!</v>
      </c>
      <c r="H32" s="48" t="e">
        <f t="shared" si="1"/>
        <v>#REF!</v>
      </c>
      <c r="I32" s="49" t="e">
        <f t="shared" si="2"/>
        <v>#REF!</v>
      </c>
      <c r="J32" s="47" t="e">
        <f t="shared" si="3"/>
        <v>#REF!</v>
      </c>
      <c r="K32" s="47" t="e">
        <f t="shared" si="4"/>
        <v>#REF!</v>
      </c>
      <c r="L32" s="50" t="e">
        <f t="shared" si="5"/>
        <v>#REF!</v>
      </c>
      <c r="M32" s="50" t="e">
        <f t="shared" si="6"/>
        <v>#REF!</v>
      </c>
      <c r="N32" s="47" t="e">
        <f t="shared" si="7"/>
        <v>#REF!</v>
      </c>
      <c r="O32" s="47" t="e">
        <f t="shared" si="8"/>
        <v>#REF!</v>
      </c>
      <c r="P32" s="45">
        <v>-11.077888888888889</v>
      </c>
      <c r="Q32" s="45">
        <v>-75.321138888888882</v>
      </c>
      <c r="R32" s="45" t="s">
        <v>592</v>
      </c>
      <c r="S32" s="51" t="s">
        <v>593</v>
      </c>
      <c r="U32" s="52"/>
    </row>
    <row r="33" spans="1:21" ht="17.25" customHeight="1" x14ac:dyDescent="0.3">
      <c r="A33" s="45">
        <v>32</v>
      </c>
      <c r="B33" s="46" t="e">
        <f t="array" ref="B33">INDEX('informe de Gestión 2021-2025'!C:C, MATCH(S33,#REF!, 0), )</f>
        <v>#REF!</v>
      </c>
      <c r="C33" s="47" t="e">
        <f t="array" ref="C33">INDEX('informe de Gestión 2021-2025'!D:D, MATCH(S33,#REF!, 0), )</f>
        <v>#REF!</v>
      </c>
      <c r="D33" s="47" t="e">
        <f t="array" ref="D33">INDEX('informe de Gestión 2021-2025'!I:I, MATCH(S33,#REF!, 0), )</f>
        <v>#REF!</v>
      </c>
      <c r="E33" s="47" t="e">
        <f t="array" ref="E33">INDEX('informe de Gestión 2021-2025'!K:K, MATCH(S33,#REF!, 0), )</f>
        <v>#REF!</v>
      </c>
      <c r="F33" s="47" t="e">
        <f t="shared" si="0"/>
        <v>#REF!</v>
      </c>
      <c r="G33" s="45" t="e">
        <f t="array" ref="G33">INDEX('informe de Gestión 2021-2025'!#REF!, MATCH(S33,#REF!, 0), )</f>
        <v>#REF!</v>
      </c>
      <c r="H33" s="48" t="e">
        <f t="shared" si="1"/>
        <v>#REF!</v>
      </c>
      <c r="I33" s="49" t="e">
        <f t="shared" si="2"/>
        <v>#REF!</v>
      </c>
      <c r="J33" s="47" t="e">
        <f t="shared" si="3"/>
        <v>#REF!</v>
      </c>
      <c r="K33" s="47" t="e">
        <f t="shared" si="4"/>
        <v>#REF!</v>
      </c>
      <c r="L33" s="50" t="e">
        <f t="shared" si="5"/>
        <v>#REF!</v>
      </c>
      <c r="M33" s="50" t="e">
        <f t="shared" si="6"/>
        <v>#REF!</v>
      </c>
      <c r="N33" s="47" t="e">
        <f t="shared" si="7"/>
        <v>#REF!</v>
      </c>
      <c r="O33" s="47" t="e">
        <f t="shared" si="8"/>
        <v>#REF!</v>
      </c>
      <c r="P33" s="45">
        <v>-6.778083333333333</v>
      </c>
      <c r="Q33" s="45">
        <v>-79.909305555555562</v>
      </c>
      <c r="R33" s="45" t="s">
        <v>594</v>
      </c>
      <c r="S33" s="51" t="s">
        <v>595</v>
      </c>
      <c r="U33" s="52"/>
    </row>
    <row r="34" spans="1:21" ht="17.25" customHeight="1" x14ac:dyDescent="0.3">
      <c r="A34" s="45">
        <v>33</v>
      </c>
      <c r="B34" s="46" t="e">
        <f t="array" ref="B34">INDEX('informe de Gestión 2021-2025'!C:C, MATCH(S34,#REF!, 0), )</f>
        <v>#REF!</v>
      </c>
      <c r="C34" s="47" t="e">
        <f t="array" ref="C34">INDEX('informe de Gestión 2021-2025'!D:D, MATCH(S34,#REF!, 0), )</f>
        <v>#REF!</v>
      </c>
      <c r="D34" s="47" t="e">
        <f t="array" ref="D34">INDEX('informe de Gestión 2021-2025'!I:I, MATCH(S34,#REF!, 0), )</f>
        <v>#REF!</v>
      </c>
      <c r="E34" s="47" t="e">
        <f t="array" ref="E34">INDEX('informe de Gestión 2021-2025'!K:K, MATCH(S34,#REF!, 0), )</f>
        <v>#REF!</v>
      </c>
      <c r="F34" s="47" t="e">
        <f t="shared" si="0"/>
        <v>#REF!</v>
      </c>
      <c r="G34" s="45" t="e">
        <f t="array" ref="G34">INDEX('informe de Gestión 2021-2025'!#REF!, MATCH(S34,#REF!, 0), )</f>
        <v>#REF!</v>
      </c>
      <c r="H34" s="48" t="e">
        <f t="shared" si="1"/>
        <v>#REF!</v>
      </c>
      <c r="I34" s="49" t="e">
        <f t="shared" si="2"/>
        <v>#REF!</v>
      </c>
      <c r="J34" s="47" t="e">
        <f t="shared" si="3"/>
        <v>#REF!</v>
      </c>
      <c r="K34" s="47" t="e">
        <f t="shared" si="4"/>
        <v>#REF!</v>
      </c>
      <c r="L34" s="50" t="e">
        <f t="shared" si="5"/>
        <v>#REF!</v>
      </c>
      <c r="M34" s="50" t="e">
        <f t="shared" si="6"/>
        <v>#REF!</v>
      </c>
      <c r="N34" s="47" t="e">
        <f t="shared" si="7"/>
        <v>#REF!</v>
      </c>
      <c r="O34" s="47" t="e">
        <f t="shared" si="8"/>
        <v>#REF!</v>
      </c>
      <c r="P34" s="45">
        <v>-9.0775000000000006</v>
      </c>
      <c r="Q34" s="45">
        <v>-78.591277777777776</v>
      </c>
      <c r="R34" s="45" t="s">
        <v>596</v>
      </c>
      <c r="S34" s="51" t="s">
        <v>597</v>
      </c>
      <c r="U34" s="52"/>
    </row>
    <row r="35" spans="1:21" ht="17.25" customHeight="1" x14ac:dyDescent="0.3">
      <c r="A35" s="45">
        <v>34</v>
      </c>
      <c r="B35" s="46" t="e">
        <f t="array" ref="B35">INDEX('informe de Gestión 2021-2025'!C:C, MATCH(S35,#REF!, 0), )</f>
        <v>#REF!</v>
      </c>
      <c r="C35" s="47" t="e">
        <f t="array" ref="C35">INDEX('informe de Gestión 2021-2025'!D:D, MATCH(S35,#REF!, 0), )</f>
        <v>#REF!</v>
      </c>
      <c r="D35" s="47" t="e">
        <f t="array" ref="D35">INDEX('informe de Gestión 2021-2025'!I:I, MATCH(S35,#REF!, 0), )</f>
        <v>#REF!</v>
      </c>
      <c r="E35" s="47" t="e">
        <f t="array" ref="E35">INDEX('informe de Gestión 2021-2025'!K:K, MATCH(S35,#REF!, 0), )</f>
        <v>#REF!</v>
      </c>
      <c r="F35" s="47" t="e">
        <f t="shared" si="0"/>
        <v>#REF!</v>
      </c>
      <c r="G35" s="45" t="e">
        <f t="array" ref="G35">INDEX('informe de Gestión 2021-2025'!#REF!, MATCH(S35,#REF!, 0), )</f>
        <v>#REF!</v>
      </c>
      <c r="H35" s="48" t="e">
        <f t="shared" si="1"/>
        <v>#REF!</v>
      </c>
      <c r="I35" s="49" t="e">
        <f t="shared" si="2"/>
        <v>#REF!</v>
      </c>
      <c r="J35" s="47" t="e">
        <f t="shared" si="3"/>
        <v>#REF!</v>
      </c>
      <c r="K35" s="47" t="e">
        <f t="shared" si="4"/>
        <v>#REF!</v>
      </c>
      <c r="L35" s="50" t="e">
        <f t="shared" si="5"/>
        <v>#REF!</v>
      </c>
      <c r="M35" s="50" t="e">
        <f t="shared" si="6"/>
        <v>#REF!</v>
      </c>
      <c r="N35" s="47" t="e">
        <f t="shared" si="7"/>
        <v>#REF!</v>
      </c>
      <c r="O35" s="47" t="e">
        <f t="shared" si="8"/>
        <v>#REF!</v>
      </c>
      <c r="P35" s="45">
        <v>-9.0775555555555556</v>
      </c>
      <c r="Q35" s="45">
        <v>-78.591361111111112</v>
      </c>
      <c r="R35" s="45" t="s">
        <v>598</v>
      </c>
      <c r="S35" s="51" t="s">
        <v>599</v>
      </c>
      <c r="U35" s="52"/>
    </row>
    <row r="36" spans="1:21" ht="17.25" customHeight="1" x14ac:dyDescent="0.3">
      <c r="A36" s="45">
        <v>35</v>
      </c>
      <c r="B36" s="46" t="e">
        <f t="array" ref="B36">INDEX('informe de Gestión 2021-2025'!C:C, MATCH(S36,#REF!, 0), )</f>
        <v>#REF!</v>
      </c>
      <c r="C36" s="47" t="e">
        <f t="array" ref="C36">INDEX('informe de Gestión 2021-2025'!D:D, MATCH(S36,#REF!, 0), )</f>
        <v>#REF!</v>
      </c>
      <c r="D36" s="47" t="e">
        <f t="array" ref="D36">INDEX('informe de Gestión 2021-2025'!I:I, MATCH(S36,#REF!, 0), )</f>
        <v>#REF!</v>
      </c>
      <c r="E36" s="47" t="e">
        <f t="array" ref="E36">INDEX('informe de Gestión 2021-2025'!K:K, MATCH(S36,#REF!, 0), )</f>
        <v>#REF!</v>
      </c>
      <c r="F36" s="47" t="e">
        <f t="shared" si="0"/>
        <v>#REF!</v>
      </c>
      <c r="G36" s="45" t="e">
        <f t="array" ref="G36">INDEX('informe de Gestión 2021-2025'!#REF!, MATCH(S36,#REF!, 0), )</f>
        <v>#REF!</v>
      </c>
      <c r="H36" s="48" t="e">
        <f t="shared" si="1"/>
        <v>#REF!</v>
      </c>
      <c r="I36" s="49" t="e">
        <f t="shared" si="2"/>
        <v>#REF!</v>
      </c>
      <c r="J36" s="47" t="e">
        <f t="shared" si="3"/>
        <v>#REF!</v>
      </c>
      <c r="K36" s="47" t="e">
        <f t="shared" si="4"/>
        <v>#REF!</v>
      </c>
      <c r="L36" s="50" t="e">
        <f t="shared" si="5"/>
        <v>#REF!</v>
      </c>
      <c r="M36" s="50" t="e">
        <f t="shared" si="6"/>
        <v>#REF!</v>
      </c>
      <c r="N36" s="47" t="e">
        <f t="shared" si="7"/>
        <v>#REF!</v>
      </c>
      <c r="O36" s="47" t="e">
        <f t="shared" si="8"/>
        <v>#REF!</v>
      </c>
      <c r="P36" s="45">
        <v>-6.6387499999999999</v>
      </c>
      <c r="Q36" s="45">
        <v>-79.389611111111122</v>
      </c>
      <c r="R36" s="45" t="s">
        <v>600</v>
      </c>
      <c r="S36" s="51" t="s">
        <v>601</v>
      </c>
      <c r="U36" s="52"/>
    </row>
    <row r="37" spans="1:21" ht="17.25" customHeight="1" x14ac:dyDescent="0.3">
      <c r="A37" s="45">
        <v>36</v>
      </c>
      <c r="B37" s="46" t="e">
        <f t="array" ref="B37">INDEX('informe de Gestión 2021-2025'!C:C, MATCH(S37,#REF!, 0), )</f>
        <v>#REF!</v>
      </c>
      <c r="C37" s="47" t="e">
        <f t="array" ref="C37">INDEX('informe de Gestión 2021-2025'!D:D, MATCH(S37,#REF!, 0), )</f>
        <v>#REF!</v>
      </c>
      <c r="D37" s="47" t="e">
        <f t="array" ref="D37">INDEX('informe de Gestión 2021-2025'!I:I, MATCH(S37,#REF!, 0), )</f>
        <v>#REF!</v>
      </c>
      <c r="E37" s="47" t="e">
        <f t="array" ref="E37">INDEX('informe de Gestión 2021-2025'!K:K, MATCH(S37,#REF!, 0), )</f>
        <v>#REF!</v>
      </c>
      <c r="F37" s="47" t="e">
        <f t="shared" si="0"/>
        <v>#REF!</v>
      </c>
      <c r="G37" s="45" t="e">
        <f t="array" ref="G37">INDEX('informe de Gestión 2021-2025'!#REF!, MATCH(S37,#REF!, 0), )</f>
        <v>#REF!</v>
      </c>
      <c r="H37" s="48" t="e">
        <f t="shared" si="1"/>
        <v>#REF!</v>
      </c>
      <c r="I37" s="49" t="e">
        <f t="shared" si="2"/>
        <v>#REF!</v>
      </c>
      <c r="J37" s="47" t="e">
        <f t="shared" si="3"/>
        <v>#REF!</v>
      </c>
      <c r="K37" s="47" t="e">
        <f t="shared" si="4"/>
        <v>#REF!</v>
      </c>
      <c r="L37" s="50" t="e">
        <f t="shared" si="5"/>
        <v>#REF!</v>
      </c>
      <c r="M37" s="50" t="e">
        <f t="shared" si="6"/>
        <v>#REF!</v>
      </c>
      <c r="N37" s="47" t="e">
        <f t="shared" si="7"/>
        <v>#REF!</v>
      </c>
      <c r="O37" s="47" t="e">
        <f t="shared" si="8"/>
        <v>#REF!</v>
      </c>
      <c r="P37" s="45">
        <v>-6.5450166666666663</v>
      </c>
      <c r="Q37" s="45">
        <v>-78.653900000000007</v>
      </c>
      <c r="R37" s="45" t="s">
        <v>602</v>
      </c>
      <c r="S37" s="51" t="s">
        <v>603</v>
      </c>
      <c r="U37" s="52"/>
    </row>
    <row r="38" spans="1:21" ht="17.25" customHeight="1" x14ac:dyDescent="0.3">
      <c r="A38" s="45">
        <v>37</v>
      </c>
      <c r="B38" s="46" t="e">
        <f t="array" ref="B38">INDEX('informe de Gestión 2021-2025'!C:C, MATCH(S38,#REF!, 0), )</f>
        <v>#REF!</v>
      </c>
      <c r="C38" s="47" t="e">
        <f t="array" ref="C38">INDEX('informe de Gestión 2021-2025'!D:D, MATCH(S38,#REF!, 0), )</f>
        <v>#REF!</v>
      </c>
      <c r="D38" s="47" t="e">
        <f t="array" ref="D38">INDEX('informe de Gestión 2021-2025'!I:I, MATCH(S38,#REF!, 0), )</f>
        <v>#REF!</v>
      </c>
      <c r="E38" s="47" t="e">
        <f t="array" ref="E38">INDEX('informe de Gestión 2021-2025'!K:K, MATCH(S38,#REF!, 0), )</f>
        <v>#REF!</v>
      </c>
      <c r="F38" s="47" t="e">
        <f t="shared" si="0"/>
        <v>#REF!</v>
      </c>
      <c r="G38" s="45" t="e">
        <f t="array" ref="G38">INDEX('informe de Gestión 2021-2025'!#REF!, MATCH(S38,#REF!, 0), )</f>
        <v>#REF!</v>
      </c>
      <c r="H38" s="48" t="e">
        <f t="shared" si="1"/>
        <v>#REF!</v>
      </c>
      <c r="I38" s="49" t="e">
        <f t="shared" si="2"/>
        <v>#REF!</v>
      </c>
      <c r="J38" s="47" t="e">
        <f t="shared" si="3"/>
        <v>#REF!</v>
      </c>
      <c r="K38" s="47" t="e">
        <f t="shared" si="4"/>
        <v>#REF!</v>
      </c>
      <c r="L38" s="50" t="e">
        <f t="shared" si="5"/>
        <v>#REF!</v>
      </c>
      <c r="M38" s="50" t="e">
        <f t="shared" si="6"/>
        <v>#REF!</v>
      </c>
      <c r="N38" s="47" t="e">
        <f t="shared" si="7"/>
        <v>#REF!</v>
      </c>
      <c r="O38" s="47" t="e">
        <f t="shared" si="8"/>
        <v>#REF!</v>
      </c>
      <c r="P38" s="45">
        <v>-5.1218361111111106</v>
      </c>
      <c r="Q38" s="45">
        <v>-80.196988888888896</v>
      </c>
      <c r="R38" s="45" t="s">
        <v>604</v>
      </c>
      <c r="S38" s="51" t="s">
        <v>605</v>
      </c>
      <c r="U38" s="52"/>
    </row>
    <row r="39" spans="1:21" ht="17.25" customHeight="1" x14ac:dyDescent="0.3">
      <c r="A39" s="45">
        <v>38</v>
      </c>
      <c r="B39" s="46" t="e">
        <f t="array" ref="B39">INDEX('informe de Gestión 2021-2025'!C:C, MATCH(S39,#REF!, 0), )</f>
        <v>#REF!</v>
      </c>
      <c r="C39" s="47" t="e">
        <f t="array" ref="C39">INDEX('informe de Gestión 2021-2025'!D:D, MATCH(S39,#REF!, 0), )</f>
        <v>#REF!</v>
      </c>
      <c r="D39" s="47" t="e">
        <f t="array" ref="D39">INDEX('informe de Gestión 2021-2025'!I:I, MATCH(S39,#REF!, 0), )</f>
        <v>#REF!</v>
      </c>
      <c r="E39" s="47" t="e">
        <f t="array" ref="E39">INDEX('informe de Gestión 2021-2025'!K:K, MATCH(S39,#REF!, 0), )</f>
        <v>#REF!</v>
      </c>
      <c r="F39" s="47" t="e">
        <f t="shared" si="0"/>
        <v>#REF!</v>
      </c>
      <c r="G39" s="45" t="e">
        <f t="array" ref="G39">INDEX('informe de Gestión 2021-2025'!#REF!, MATCH(S39,#REF!, 0), )</f>
        <v>#REF!</v>
      </c>
      <c r="H39" s="48" t="e">
        <f t="shared" si="1"/>
        <v>#REF!</v>
      </c>
      <c r="I39" s="49" t="e">
        <f t="shared" si="2"/>
        <v>#REF!</v>
      </c>
      <c r="J39" s="47" t="e">
        <f t="shared" si="3"/>
        <v>#REF!</v>
      </c>
      <c r="K39" s="47" t="e">
        <f t="shared" si="4"/>
        <v>#REF!</v>
      </c>
      <c r="L39" s="50" t="e">
        <f t="shared" si="5"/>
        <v>#REF!</v>
      </c>
      <c r="M39" s="50" t="e">
        <f t="shared" si="6"/>
        <v>#REF!</v>
      </c>
      <c r="N39" s="47" t="e">
        <f t="shared" si="7"/>
        <v>#REF!</v>
      </c>
      <c r="O39" s="47" t="e">
        <f t="shared" si="8"/>
        <v>#REF!</v>
      </c>
      <c r="P39" s="45">
        <v>-8.2655111111111115</v>
      </c>
      <c r="Q39" s="45">
        <v>-77.850891666666655</v>
      </c>
      <c r="R39" s="45" t="s">
        <v>606</v>
      </c>
      <c r="S39" s="51" t="s">
        <v>607</v>
      </c>
      <c r="U39" s="52"/>
    </row>
    <row r="40" spans="1:21" ht="17.25" customHeight="1" x14ac:dyDescent="0.3">
      <c r="A40" s="45">
        <v>39</v>
      </c>
      <c r="B40" s="46" t="e">
        <f t="array" ref="B40">INDEX('informe de Gestión 2021-2025'!C:C, MATCH(S40,#REF!, 0), )</f>
        <v>#REF!</v>
      </c>
      <c r="C40" s="47" t="e">
        <f t="array" ref="C40">INDEX('informe de Gestión 2021-2025'!D:D, MATCH(S40,#REF!, 0), )</f>
        <v>#REF!</v>
      </c>
      <c r="D40" s="47" t="e">
        <f t="array" ref="D40">INDEX('informe de Gestión 2021-2025'!I:I, MATCH(S40,#REF!, 0), )</f>
        <v>#REF!</v>
      </c>
      <c r="E40" s="47" t="e">
        <f t="array" ref="E40">INDEX('informe de Gestión 2021-2025'!K:K, MATCH(S40,#REF!, 0), )</f>
        <v>#REF!</v>
      </c>
      <c r="F40" s="47" t="e">
        <f t="shared" si="0"/>
        <v>#REF!</v>
      </c>
      <c r="G40" s="45" t="e">
        <f t="array" ref="G40">INDEX('informe de Gestión 2021-2025'!#REF!, MATCH(S40,#REF!, 0), )</f>
        <v>#REF!</v>
      </c>
      <c r="H40" s="48" t="e">
        <f t="shared" si="1"/>
        <v>#REF!</v>
      </c>
      <c r="I40" s="49" t="e">
        <f t="shared" si="2"/>
        <v>#REF!</v>
      </c>
      <c r="J40" s="47" t="e">
        <f t="shared" si="3"/>
        <v>#REF!</v>
      </c>
      <c r="K40" s="47" t="e">
        <f t="shared" si="4"/>
        <v>#REF!</v>
      </c>
      <c r="L40" s="50" t="e">
        <f t="shared" si="5"/>
        <v>#REF!</v>
      </c>
      <c r="M40" s="50" t="e">
        <f t="shared" si="6"/>
        <v>#REF!</v>
      </c>
      <c r="N40" s="47" t="e">
        <f t="shared" si="7"/>
        <v>#REF!</v>
      </c>
      <c r="O40" s="47" t="e">
        <f t="shared" si="8"/>
        <v>#REF!</v>
      </c>
      <c r="R40" s="45"/>
      <c r="S40" s="51" t="s">
        <v>608</v>
      </c>
      <c r="U40" s="52"/>
    </row>
    <row r="41" spans="1:21" ht="17.25" customHeight="1" x14ac:dyDescent="0.3">
      <c r="A41" s="45">
        <v>40</v>
      </c>
      <c r="B41" s="46" t="e">
        <f t="array" ref="B41">INDEX('informe de Gestión 2021-2025'!C:C, MATCH(S41,#REF!, 0), )</f>
        <v>#REF!</v>
      </c>
      <c r="C41" s="47" t="e">
        <f t="array" ref="C41">INDEX('informe de Gestión 2021-2025'!D:D, MATCH(S41,#REF!, 0), )</f>
        <v>#REF!</v>
      </c>
      <c r="D41" s="47" t="e">
        <f t="array" ref="D41">INDEX('informe de Gestión 2021-2025'!I:I, MATCH(S41,#REF!, 0), )</f>
        <v>#REF!</v>
      </c>
      <c r="E41" s="47" t="e">
        <f t="array" ref="E41">INDEX('informe de Gestión 2021-2025'!K:K, MATCH(S41,#REF!, 0), )</f>
        <v>#REF!</v>
      </c>
      <c r="F41" s="47" t="e">
        <f t="shared" si="0"/>
        <v>#REF!</v>
      </c>
      <c r="G41" s="45" t="e">
        <f t="array" ref="G41">INDEX('informe de Gestión 2021-2025'!#REF!, MATCH(S41,#REF!, 0), )</f>
        <v>#REF!</v>
      </c>
      <c r="H41" s="48" t="e">
        <f t="shared" si="1"/>
        <v>#REF!</v>
      </c>
      <c r="I41" s="49" t="e">
        <f t="shared" si="2"/>
        <v>#REF!</v>
      </c>
      <c r="J41" s="47" t="e">
        <f t="shared" si="3"/>
        <v>#REF!</v>
      </c>
      <c r="K41" s="47" t="e">
        <f t="shared" si="4"/>
        <v>#REF!</v>
      </c>
      <c r="L41" s="50" t="e">
        <f t="shared" si="5"/>
        <v>#REF!</v>
      </c>
      <c r="M41" s="50" t="e">
        <f t="shared" si="6"/>
        <v>#REF!</v>
      </c>
      <c r="N41" s="47" t="e">
        <f t="shared" si="7"/>
        <v>#REF!</v>
      </c>
      <c r="O41" s="47" t="e">
        <f t="shared" si="8"/>
        <v>#REF!</v>
      </c>
      <c r="P41" s="45">
        <v>-5.9279444444444449</v>
      </c>
      <c r="Q41" s="45">
        <v>-77.941416666666669</v>
      </c>
      <c r="R41" s="45" t="s">
        <v>609</v>
      </c>
      <c r="S41" s="51" t="s">
        <v>610</v>
      </c>
      <c r="U41" s="52"/>
    </row>
    <row r="42" spans="1:21" ht="17.25" customHeight="1" x14ac:dyDescent="0.3">
      <c r="A42" s="45">
        <v>41</v>
      </c>
      <c r="B42" s="46" t="e">
        <f t="array" ref="B42">INDEX('informe de Gestión 2021-2025'!C:C, MATCH(S42,#REF!, 0), )</f>
        <v>#REF!</v>
      </c>
      <c r="C42" s="47" t="e">
        <f t="array" ref="C42">INDEX('informe de Gestión 2021-2025'!D:D, MATCH(S42,#REF!, 0), )</f>
        <v>#REF!</v>
      </c>
      <c r="D42" s="47" t="e">
        <f t="array" ref="D42">INDEX('informe de Gestión 2021-2025'!I:I, MATCH(S42,#REF!, 0), )</f>
        <v>#REF!</v>
      </c>
      <c r="E42" s="47" t="e">
        <f t="array" ref="E42">INDEX('informe de Gestión 2021-2025'!K:K, MATCH(S42,#REF!, 0), )</f>
        <v>#REF!</v>
      </c>
      <c r="F42" s="47" t="e">
        <f t="shared" si="0"/>
        <v>#REF!</v>
      </c>
      <c r="G42" s="45" t="e">
        <f t="array" ref="G42">INDEX('informe de Gestión 2021-2025'!#REF!, MATCH(S42,#REF!, 0), )</f>
        <v>#REF!</v>
      </c>
      <c r="H42" s="48" t="e">
        <f t="shared" si="1"/>
        <v>#REF!</v>
      </c>
      <c r="I42" s="49" t="e">
        <f t="shared" si="2"/>
        <v>#REF!</v>
      </c>
      <c r="J42" s="47" t="e">
        <f t="shared" si="3"/>
        <v>#REF!</v>
      </c>
      <c r="K42" s="47" t="e">
        <f t="shared" si="4"/>
        <v>#REF!</v>
      </c>
      <c r="L42" s="50" t="e">
        <f t="shared" si="5"/>
        <v>#REF!</v>
      </c>
      <c r="M42" s="50" t="e">
        <f t="shared" si="6"/>
        <v>#REF!</v>
      </c>
      <c r="N42" s="47" t="e">
        <f t="shared" si="7"/>
        <v>#REF!</v>
      </c>
      <c r="O42" s="47" t="e">
        <f t="shared" si="8"/>
        <v>#REF!</v>
      </c>
      <c r="P42" s="45">
        <v>-6.3729722222222218</v>
      </c>
      <c r="Q42" s="45">
        <v>-78.802472222222221</v>
      </c>
      <c r="R42" s="45" t="s">
        <v>611</v>
      </c>
      <c r="S42" s="51" t="s">
        <v>612</v>
      </c>
      <c r="U42" s="52"/>
    </row>
    <row r="43" spans="1:21" ht="17.25" customHeight="1" x14ac:dyDescent="0.3">
      <c r="A43" s="45">
        <v>42</v>
      </c>
      <c r="B43" s="46" t="e">
        <f t="array" ref="B43">INDEX('informe de Gestión 2021-2025'!C:C, MATCH(S43,#REF!, 0), )</f>
        <v>#REF!</v>
      </c>
      <c r="C43" s="47" t="e">
        <f t="array" ref="C43">INDEX('informe de Gestión 2021-2025'!D:D, MATCH(S43,#REF!, 0), )</f>
        <v>#REF!</v>
      </c>
      <c r="D43" s="47" t="e">
        <f t="array" ref="D43">INDEX('informe de Gestión 2021-2025'!I:I, MATCH(S43,#REF!, 0), )</f>
        <v>#REF!</v>
      </c>
      <c r="E43" s="47" t="e">
        <f t="array" ref="E43">INDEX('informe de Gestión 2021-2025'!K:K, MATCH(S43,#REF!, 0), )</f>
        <v>#REF!</v>
      </c>
      <c r="F43" s="47" t="e">
        <f t="shared" si="0"/>
        <v>#REF!</v>
      </c>
      <c r="G43" s="45" t="e">
        <f t="array" ref="G43">INDEX('informe de Gestión 2021-2025'!#REF!, MATCH(S43,#REF!, 0), )</f>
        <v>#REF!</v>
      </c>
      <c r="H43" s="48" t="e">
        <f t="shared" si="1"/>
        <v>#REF!</v>
      </c>
      <c r="I43" s="49" t="e">
        <f t="shared" si="2"/>
        <v>#REF!</v>
      </c>
      <c r="J43" s="47" t="e">
        <f t="shared" si="3"/>
        <v>#REF!</v>
      </c>
      <c r="K43" s="47" t="e">
        <f t="shared" si="4"/>
        <v>#REF!</v>
      </c>
      <c r="L43" s="50" t="e">
        <f t="shared" si="5"/>
        <v>#REF!</v>
      </c>
      <c r="M43" s="50" t="e">
        <f t="shared" si="6"/>
        <v>#REF!</v>
      </c>
      <c r="N43" s="47" t="e">
        <f t="shared" si="7"/>
        <v>#REF!</v>
      </c>
      <c r="O43" s="47" t="e">
        <f t="shared" si="8"/>
        <v>#REF!</v>
      </c>
      <c r="P43" s="45">
        <v>-8.6013055555555553</v>
      </c>
      <c r="Q43" s="45">
        <v>-77.139888888888891</v>
      </c>
      <c r="R43" s="45" t="s">
        <v>613</v>
      </c>
      <c r="S43" s="51" t="s">
        <v>614</v>
      </c>
      <c r="U43" s="52"/>
    </row>
    <row r="44" spans="1:21" ht="17.25" customHeight="1" x14ac:dyDescent="0.3">
      <c r="A44" s="45">
        <v>43</v>
      </c>
      <c r="B44" s="46" t="e">
        <f t="array" ref="B44">INDEX('informe de Gestión 2021-2025'!C:C, MATCH(S44,#REF!, 0), )</f>
        <v>#REF!</v>
      </c>
      <c r="C44" s="47" t="e">
        <f t="array" ref="C44">INDEX('informe de Gestión 2021-2025'!D:D, MATCH(S44,#REF!, 0), )</f>
        <v>#REF!</v>
      </c>
      <c r="D44" s="47" t="e">
        <f t="array" ref="D44">INDEX('informe de Gestión 2021-2025'!I:I, MATCH(S44,#REF!, 0), )</f>
        <v>#REF!</v>
      </c>
      <c r="E44" s="47" t="e">
        <f t="array" ref="E44">INDEX('informe de Gestión 2021-2025'!K:K, MATCH(S44,#REF!, 0), )</f>
        <v>#REF!</v>
      </c>
      <c r="F44" s="47" t="e">
        <f t="shared" si="0"/>
        <v>#REF!</v>
      </c>
      <c r="G44" s="45" t="e">
        <f t="array" ref="G44">INDEX('informe de Gestión 2021-2025'!#REF!, MATCH(S44,#REF!, 0), )</f>
        <v>#REF!</v>
      </c>
      <c r="H44" s="48" t="e">
        <f t="shared" si="1"/>
        <v>#REF!</v>
      </c>
      <c r="I44" s="49" t="e">
        <f t="shared" si="2"/>
        <v>#REF!</v>
      </c>
      <c r="J44" s="47" t="e">
        <f t="shared" si="3"/>
        <v>#REF!</v>
      </c>
      <c r="K44" s="47" t="e">
        <f t="shared" si="4"/>
        <v>#REF!</v>
      </c>
      <c r="L44" s="50" t="e">
        <f t="shared" si="5"/>
        <v>#REF!</v>
      </c>
      <c r="M44" s="50" t="e">
        <f t="shared" si="6"/>
        <v>#REF!</v>
      </c>
      <c r="N44" s="47" t="e">
        <f t="shared" si="7"/>
        <v>#REF!</v>
      </c>
      <c r="O44" s="47" t="e">
        <f t="shared" si="8"/>
        <v>#REF!</v>
      </c>
      <c r="P44" s="45">
        <v>-7.8130555555555556</v>
      </c>
      <c r="Q44" s="45">
        <v>-78.049111111111102</v>
      </c>
      <c r="R44" s="45" t="s">
        <v>615</v>
      </c>
      <c r="S44" s="51" t="s">
        <v>616</v>
      </c>
      <c r="U44" s="52"/>
    </row>
    <row r="45" spans="1:21" ht="17.25" customHeight="1" x14ac:dyDescent="0.3">
      <c r="A45" s="45">
        <v>44</v>
      </c>
      <c r="B45" s="46" t="e">
        <f t="array" ref="B45">INDEX('informe de Gestión 2021-2025'!C:C, MATCH(S45,#REF!, 0), )</f>
        <v>#REF!</v>
      </c>
      <c r="C45" s="47" t="e">
        <f t="array" ref="C45">INDEX('informe de Gestión 2021-2025'!D:D, MATCH(S45,#REF!, 0), )</f>
        <v>#REF!</v>
      </c>
      <c r="D45" s="47" t="e">
        <f t="array" ref="D45">INDEX('informe de Gestión 2021-2025'!I:I, MATCH(S45,#REF!, 0), )</f>
        <v>#REF!</v>
      </c>
      <c r="E45" s="47" t="e">
        <f t="array" ref="E45">INDEX('informe de Gestión 2021-2025'!K:K, MATCH(S45,#REF!, 0), )</f>
        <v>#REF!</v>
      </c>
      <c r="F45" s="47" t="e">
        <f t="shared" si="0"/>
        <v>#REF!</v>
      </c>
      <c r="G45" s="45" t="e">
        <f t="array" ref="G45">INDEX('informe de Gestión 2021-2025'!#REF!, MATCH(S45,#REF!, 0), )</f>
        <v>#REF!</v>
      </c>
      <c r="H45" s="48" t="e">
        <f t="shared" si="1"/>
        <v>#REF!</v>
      </c>
      <c r="I45" s="49" t="e">
        <f t="shared" si="2"/>
        <v>#REF!</v>
      </c>
      <c r="J45" s="47" t="e">
        <f t="shared" si="3"/>
        <v>#REF!</v>
      </c>
      <c r="K45" s="47" t="e">
        <f t="shared" si="4"/>
        <v>#REF!</v>
      </c>
      <c r="L45" s="50" t="e">
        <f t="shared" si="5"/>
        <v>#REF!</v>
      </c>
      <c r="M45" s="50" t="e">
        <f t="shared" si="6"/>
        <v>#REF!</v>
      </c>
      <c r="N45" s="47" t="e">
        <f t="shared" si="7"/>
        <v>#REF!</v>
      </c>
      <c r="O45" s="47" t="e">
        <f t="shared" si="8"/>
        <v>#REF!</v>
      </c>
      <c r="P45" s="45">
        <v>-5.2429055555555557</v>
      </c>
      <c r="Q45" s="45">
        <v>-79.433769444444451</v>
      </c>
      <c r="R45" s="45" t="s">
        <v>617</v>
      </c>
      <c r="S45" s="51" t="s">
        <v>618</v>
      </c>
      <c r="U45" s="52"/>
    </row>
    <row r="46" spans="1:21" ht="17.25" customHeight="1" x14ac:dyDescent="0.3">
      <c r="A46" s="45">
        <v>45</v>
      </c>
      <c r="B46" s="46" t="e">
        <f t="array" ref="B46">INDEX('informe de Gestión 2021-2025'!C:C, MATCH(S46,#REF!, 0), )</f>
        <v>#REF!</v>
      </c>
      <c r="C46" s="47" t="e">
        <f t="array" ref="C46">INDEX('informe de Gestión 2021-2025'!D:D, MATCH(S46,#REF!, 0), )</f>
        <v>#REF!</v>
      </c>
      <c r="D46" s="47" t="e">
        <f t="array" ref="D46">INDEX('informe de Gestión 2021-2025'!I:I, MATCH(S46,#REF!, 0), )</f>
        <v>#REF!</v>
      </c>
      <c r="E46" s="47" t="e">
        <f t="array" ref="E46">INDEX('informe de Gestión 2021-2025'!K:K, MATCH(S46,#REF!, 0), )</f>
        <v>#REF!</v>
      </c>
      <c r="F46" s="47" t="e">
        <f t="shared" si="0"/>
        <v>#REF!</v>
      </c>
      <c r="G46" s="45" t="e">
        <f t="array" ref="G46">INDEX('informe de Gestión 2021-2025'!#REF!, MATCH(S46,#REF!, 0), )</f>
        <v>#REF!</v>
      </c>
      <c r="H46" s="48" t="e">
        <f t="shared" si="1"/>
        <v>#REF!</v>
      </c>
      <c r="I46" s="49" t="e">
        <f t="shared" si="2"/>
        <v>#REF!</v>
      </c>
      <c r="J46" s="47" t="e">
        <f t="shared" si="3"/>
        <v>#REF!</v>
      </c>
      <c r="K46" s="47" t="e">
        <f t="shared" si="4"/>
        <v>#REF!</v>
      </c>
      <c r="L46" s="50" t="e">
        <f t="shared" si="5"/>
        <v>#REF!</v>
      </c>
      <c r="M46" s="50" t="e">
        <f t="shared" si="6"/>
        <v>#REF!</v>
      </c>
      <c r="N46" s="47" t="e">
        <f t="shared" si="7"/>
        <v>#REF!</v>
      </c>
      <c r="O46" s="47" t="e">
        <f t="shared" si="8"/>
        <v>#REF!</v>
      </c>
      <c r="P46" s="45">
        <v>-5.2429055555555557</v>
      </c>
      <c r="Q46" s="45">
        <v>-79.433769444444451</v>
      </c>
      <c r="R46" s="45" t="s">
        <v>617</v>
      </c>
      <c r="S46" s="51" t="s">
        <v>619</v>
      </c>
      <c r="U46" s="52"/>
    </row>
    <row r="47" spans="1:21" ht="17.25" customHeight="1" x14ac:dyDescent="0.3">
      <c r="A47" s="45">
        <v>46</v>
      </c>
      <c r="B47" s="46" t="e">
        <f t="array" ref="B47">INDEX('informe de Gestión 2021-2025'!C:C, MATCH(S47,#REF!, 0), )</f>
        <v>#REF!</v>
      </c>
      <c r="C47" s="47" t="e">
        <f t="array" ref="C47">INDEX('informe de Gestión 2021-2025'!D:D, MATCH(S47,#REF!, 0), )</f>
        <v>#REF!</v>
      </c>
      <c r="D47" s="47" t="e">
        <f t="array" ref="D47">INDEX('informe de Gestión 2021-2025'!I:I, MATCH(S47,#REF!, 0), )</f>
        <v>#REF!</v>
      </c>
      <c r="E47" s="47" t="e">
        <f t="array" ref="E47">INDEX('informe de Gestión 2021-2025'!K:K, MATCH(S47,#REF!, 0), )</f>
        <v>#REF!</v>
      </c>
      <c r="F47" s="47" t="e">
        <f t="shared" si="0"/>
        <v>#REF!</v>
      </c>
      <c r="G47" s="45" t="e">
        <f t="array" ref="G47">INDEX('informe de Gestión 2021-2025'!#REF!, MATCH(S47,#REF!, 0), )</f>
        <v>#REF!</v>
      </c>
      <c r="H47" s="48" t="e">
        <f t="shared" si="1"/>
        <v>#REF!</v>
      </c>
      <c r="I47" s="49" t="e">
        <f t="shared" si="2"/>
        <v>#REF!</v>
      </c>
      <c r="J47" s="47" t="e">
        <f t="shared" si="3"/>
        <v>#REF!</v>
      </c>
      <c r="K47" s="47" t="e">
        <f t="shared" si="4"/>
        <v>#REF!</v>
      </c>
      <c r="L47" s="50" t="e">
        <f t="shared" si="5"/>
        <v>#REF!</v>
      </c>
      <c r="M47" s="50" t="e">
        <f t="shared" si="6"/>
        <v>#REF!</v>
      </c>
      <c r="N47" s="47" t="e">
        <f t="shared" si="7"/>
        <v>#REF!</v>
      </c>
      <c r="O47" s="47" t="e">
        <f t="shared" si="8"/>
        <v>#REF!</v>
      </c>
      <c r="P47" s="45">
        <v>-9.7226388888888895</v>
      </c>
      <c r="Q47" s="45">
        <v>-77.816194444444449</v>
      </c>
      <c r="R47" s="45" t="s">
        <v>620</v>
      </c>
      <c r="S47" s="51" t="s">
        <v>621</v>
      </c>
      <c r="U47" s="52"/>
    </row>
    <row r="48" spans="1:21" ht="17.25" customHeight="1" x14ac:dyDescent="0.3">
      <c r="A48" s="45">
        <v>47</v>
      </c>
      <c r="B48" s="46" t="e">
        <f t="array" ref="B48">INDEX('informe de Gestión 2021-2025'!C:C, MATCH(S48,#REF!, 0), )</f>
        <v>#REF!</v>
      </c>
      <c r="C48" s="47" t="e">
        <f t="array" ref="C48">INDEX('informe de Gestión 2021-2025'!D:D, MATCH(S48,#REF!, 0), )</f>
        <v>#REF!</v>
      </c>
      <c r="D48" s="47" t="e">
        <f t="array" ref="D48">INDEX('informe de Gestión 2021-2025'!I:I, MATCH(S48,#REF!, 0), )</f>
        <v>#REF!</v>
      </c>
      <c r="E48" s="47" t="e">
        <f t="array" ref="E48">INDEX('informe de Gestión 2021-2025'!K:K, MATCH(S48,#REF!, 0), )</f>
        <v>#REF!</v>
      </c>
      <c r="F48" s="47" t="e">
        <f t="shared" si="0"/>
        <v>#REF!</v>
      </c>
      <c r="G48" s="45" t="e">
        <f t="array" ref="G48">INDEX('informe de Gestión 2021-2025'!#REF!, MATCH(S48,#REF!, 0), )</f>
        <v>#REF!</v>
      </c>
      <c r="H48" s="48" t="e">
        <f t="shared" si="1"/>
        <v>#REF!</v>
      </c>
      <c r="I48" s="49" t="e">
        <f t="shared" si="2"/>
        <v>#REF!</v>
      </c>
      <c r="J48" s="47" t="e">
        <f t="shared" si="3"/>
        <v>#REF!</v>
      </c>
      <c r="K48" s="47" t="e">
        <f t="shared" si="4"/>
        <v>#REF!</v>
      </c>
      <c r="L48" s="50" t="e">
        <f t="shared" si="5"/>
        <v>#REF!</v>
      </c>
      <c r="M48" s="50" t="e">
        <f t="shared" si="6"/>
        <v>#REF!</v>
      </c>
      <c r="N48" s="47" t="e">
        <f t="shared" si="7"/>
        <v>#REF!</v>
      </c>
      <c r="O48" s="47" t="e">
        <f t="shared" si="8"/>
        <v>#REF!</v>
      </c>
      <c r="P48" s="45">
        <v>-9.519861111111112</v>
      </c>
      <c r="Q48" s="45">
        <v>-77.516611111111118</v>
      </c>
      <c r="R48" s="45" t="s">
        <v>622</v>
      </c>
      <c r="S48" s="51" t="s">
        <v>623</v>
      </c>
      <c r="U48" s="52"/>
    </row>
    <row r="49" spans="1:21" ht="17.25" customHeight="1" x14ac:dyDescent="0.3">
      <c r="A49" s="45">
        <v>48</v>
      </c>
      <c r="B49" s="46" t="e">
        <f t="array" ref="B49">INDEX('informe de Gestión 2021-2025'!C:C, MATCH(S49,#REF!, 0), )</f>
        <v>#REF!</v>
      </c>
      <c r="C49" s="47" t="e">
        <f t="array" ref="C49">INDEX('informe de Gestión 2021-2025'!D:D, MATCH(S49,#REF!, 0), )</f>
        <v>#REF!</v>
      </c>
      <c r="D49" s="47" t="e">
        <f t="array" ref="D49">INDEX('informe de Gestión 2021-2025'!I:I, MATCH(S49,#REF!, 0), )</f>
        <v>#REF!</v>
      </c>
      <c r="E49" s="47" t="e">
        <f t="array" ref="E49">INDEX('informe de Gestión 2021-2025'!K:K, MATCH(S49,#REF!, 0), )</f>
        <v>#REF!</v>
      </c>
      <c r="F49" s="47" t="e">
        <f t="shared" si="0"/>
        <v>#REF!</v>
      </c>
      <c r="G49" s="45" t="e">
        <f t="array" ref="G49">INDEX('informe de Gestión 2021-2025'!#REF!, MATCH(S49,#REF!, 0), )</f>
        <v>#REF!</v>
      </c>
      <c r="H49" s="48" t="e">
        <f t="shared" si="1"/>
        <v>#REF!</v>
      </c>
      <c r="I49" s="49" t="e">
        <f t="shared" si="2"/>
        <v>#REF!</v>
      </c>
      <c r="J49" s="47" t="e">
        <f t="shared" si="3"/>
        <v>#REF!</v>
      </c>
      <c r="K49" s="47" t="e">
        <f t="shared" si="4"/>
        <v>#REF!</v>
      </c>
      <c r="L49" s="50" t="e">
        <f t="shared" si="5"/>
        <v>#REF!</v>
      </c>
      <c r="M49" s="50" t="e">
        <f t="shared" si="6"/>
        <v>#REF!</v>
      </c>
      <c r="N49" s="47" t="e">
        <f t="shared" si="7"/>
        <v>#REF!</v>
      </c>
      <c r="O49" s="47" t="e">
        <f t="shared" si="8"/>
        <v>#REF!</v>
      </c>
      <c r="P49" s="45">
        <v>-9.519805555555557</v>
      </c>
      <c r="Q49" s="45">
        <v>-77.516611111111118</v>
      </c>
      <c r="R49" s="45" t="s">
        <v>624</v>
      </c>
      <c r="S49" s="51" t="s">
        <v>625</v>
      </c>
      <c r="U49" s="52"/>
    </row>
    <row r="50" spans="1:21" ht="17.25" customHeight="1" x14ac:dyDescent="0.3">
      <c r="A50" s="45">
        <v>49</v>
      </c>
      <c r="B50" s="46" t="e">
        <f t="array" ref="B50">INDEX('informe de Gestión 2021-2025'!C:C, MATCH(S50,#REF!, 0), )</f>
        <v>#REF!</v>
      </c>
      <c r="C50" s="47" t="e">
        <f t="array" ref="C50">INDEX('informe de Gestión 2021-2025'!D:D, MATCH(S50,#REF!, 0), )</f>
        <v>#REF!</v>
      </c>
      <c r="D50" s="47" t="e">
        <f t="array" ref="D50">INDEX('informe de Gestión 2021-2025'!I:I, MATCH(S50,#REF!, 0), )</f>
        <v>#REF!</v>
      </c>
      <c r="E50" s="47" t="e">
        <f t="array" ref="E50">INDEX('informe de Gestión 2021-2025'!K:K, MATCH(S50,#REF!, 0), )</f>
        <v>#REF!</v>
      </c>
      <c r="F50" s="47" t="e">
        <f t="shared" si="0"/>
        <v>#REF!</v>
      </c>
      <c r="G50" s="45" t="e">
        <f t="array" ref="G50">INDEX('informe de Gestión 2021-2025'!#REF!, MATCH(S50,#REF!, 0), )</f>
        <v>#REF!</v>
      </c>
      <c r="H50" s="48" t="e">
        <f t="shared" si="1"/>
        <v>#REF!</v>
      </c>
      <c r="I50" s="49" t="e">
        <f t="shared" si="2"/>
        <v>#REF!</v>
      </c>
      <c r="J50" s="47" t="e">
        <f t="shared" si="3"/>
        <v>#REF!</v>
      </c>
      <c r="K50" s="47" t="e">
        <f t="shared" si="4"/>
        <v>#REF!</v>
      </c>
      <c r="L50" s="50" t="e">
        <f t="shared" si="5"/>
        <v>#REF!</v>
      </c>
      <c r="M50" s="50" t="e">
        <f t="shared" si="6"/>
        <v>#REF!</v>
      </c>
      <c r="N50" s="47" t="e">
        <f t="shared" si="7"/>
        <v>#REF!</v>
      </c>
      <c r="O50" s="47" t="e">
        <f t="shared" si="8"/>
        <v>#REF!</v>
      </c>
      <c r="P50" s="45">
        <v>-9.3481111111111126</v>
      </c>
      <c r="Q50" s="45">
        <v>-77.17625000000001</v>
      </c>
      <c r="R50" s="45" t="s">
        <v>626</v>
      </c>
      <c r="S50" s="51" t="s">
        <v>627</v>
      </c>
      <c r="U50" s="52"/>
    </row>
    <row r="51" spans="1:21" ht="17.25" customHeight="1" x14ac:dyDescent="0.3">
      <c r="A51" s="45">
        <v>50</v>
      </c>
      <c r="B51" s="46" t="e">
        <f t="array" ref="B51">INDEX('informe de Gestión 2021-2025'!C:C, MATCH(S51,#REF!, 0), )</f>
        <v>#REF!</v>
      </c>
      <c r="C51" s="47" t="e">
        <f t="array" ref="C51">INDEX('informe de Gestión 2021-2025'!D:D, MATCH(S51,#REF!, 0), )</f>
        <v>#REF!</v>
      </c>
      <c r="D51" s="47" t="e">
        <f t="array" ref="D51">INDEX('informe de Gestión 2021-2025'!I:I, MATCH(S51,#REF!, 0), )</f>
        <v>#REF!</v>
      </c>
      <c r="E51" s="47" t="e">
        <f t="array" ref="E51">INDEX('informe de Gestión 2021-2025'!K:K, MATCH(S51,#REF!, 0), )</f>
        <v>#REF!</v>
      </c>
      <c r="F51" s="47" t="e">
        <f t="shared" si="0"/>
        <v>#REF!</v>
      </c>
      <c r="G51" s="45" t="e">
        <f t="array" ref="G51">INDEX('informe de Gestión 2021-2025'!#REF!, MATCH(S51,#REF!, 0), )</f>
        <v>#REF!</v>
      </c>
      <c r="H51" s="48" t="e">
        <f t="shared" si="1"/>
        <v>#REF!</v>
      </c>
      <c r="I51" s="49" t="e">
        <f t="shared" si="2"/>
        <v>#REF!</v>
      </c>
      <c r="J51" s="47" t="e">
        <f t="shared" si="3"/>
        <v>#REF!</v>
      </c>
      <c r="K51" s="47" t="e">
        <f t="shared" si="4"/>
        <v>#REF!</v>
      </c>
      <c r="L51" s="50" t="e">
        <f t="shared" si="5"/>
        <v>#REF!</v>
      </c>
      <c r="M51" s="50" t="e">
        <f t="shared" si="6"/>
        <v>#REF!</v>
      </c>
      <c r="N51" s="47" t="e">
        <f t="shared" si="7"/>
        <v>#REF!</v>
      </c>
      <c r="O51" s="47" t="e">
        <f t="shared" si="8"/>
        <v>#REF!</v>
      </c>
      <c r="P51" s="45">
        <v>-10.074138888888889</v>
      </c>
      <c r="Q51" s="45">
        <v>-78.150333333333336</v>
      </c>
      <c r="R51" s="45" t="s">
        <v>628</v>
      </c>
      <c r="S51" s="51" t="s">
        <v>629</v>
      </c>
      <c r="U51" s="52"/>
    </row>
    <row r="52" spans="1:21" ht="17.25" customHeight="1" x14ac:dyDescent="0.3">
      <c r="A52" s="45">
        <v>51</v>
      </c>
      <c r="B52" s="46" t="e">
        <f t="array" ref="B52">INDEX('informe de Gestión 2021-2025'!C:C, MATCH(S52,#REF!, 0), )</f>
        <v>#REF!</v>
      </c>
      <c r="C52" s="47" t="e">
        <f t="array" ref="C52">INDEX('informe de Gestión 2021-2025'!D:D, MATCH(S52,#REF!, 0), )</f>
        <v>#REF!</v>
      </c>
      <c r="D52" s="47" t="e">
        <f t="array" ref="D52">INDEX('informe de Gestión 2021-2025'!I:I, MATCH(S52,#REF!, 0), )</f>
        <v>#REF!</v>
      </c>
      <c r="E52" s="47" t="e">
        <f t="array" ref="E52">INDEX('informe de Gestión 2021-2025'!K:K, MATCH(S52,#REF!, 0), )</f>
        <v>#REF!</v>
      </c>
      <c r="F52" s="47" t="e">
        <f t="shared" si="0"/>
        <v>#REF!</v>
      </c>
      <c r="G52" s="45" t="e">
        <f t="array" ref="G52">INDEX('informe de Gestión 2021-2025'!#REF!, MATCH(S52,#REF!, 0), )</f>
        <v>#REF!</v>
      </c>
      <c r="H52" s="48" t="e">
        <f t="shared" si="1"/>
        <v>#REF!</v>
      </c>
      <c r="I52" s="49" t="e">
        <f t="shared" si="2"/>
        <v>#REF!</v>
      </c>
      <c r="J52" s="47" t="e">
        <f t="shared" si="3"/>
        <v>#REF!</v>
      </c>
      <c r="K52" s="47" t="e">
        <f t="shared" si="4"/>
        <v>#REF!</v>
      </c>
      <c r="L52" s="50" t="e">
        <f t="shared" si="5"/>
        <v>#REF!</v>
      </c>
      <c r="M52" s="50" t="e">
        <f t="shared" si="6"/>
        <v>#REF!</v>
      </c>
      <c r="N52" s="47" t="e">
        <f t="shared" si="7"/>
        <v>#REF!</v>
      </c>
      <c r="O52" s="47" t="e">
        <f t="shared" si="8"/>
        <v>#REF!</v>
      </c>
      <c r="P52" s="45">
        <v>-10.074138888888889</v>
      </c>
      <c r="Q52" s="45">
        <v>-78.150333333333336</v>
      </c>
      <c r="R52" s="45" t="s">
        <v>628</v>
      </c>
      <c r="S52" s="51" t="s">
        <v>630</v>
      </c>
      <c r="U52" s="52"/>
    </row>
    <row r="53" spans="1:21" ht="17.25" customHeight="1" x14ac:dyDescent="0.3">
      <c r="A53" s="45">
        <v>52</v>
      </c>
      <c r="B53" s="46" t="e">
        <f t="array" ref="B53">INDEX('informe de Gestión 2021-2025'!C:C, MATCH(S53,#REF!, 0), )</f>
        <v>#REF!</v>
      </c>
      <c r="C53" s="47" t="e">
        <f t="array" ref="C53">INDEX('informe de Gestión 2021-2025'!D:D, MATCH(S53,#REF!, 0), )</f>
        <v>#REF!</v>
      </c>
      <c r="D53" s="47" t="e">
        <f t="array" ref="D53">INDEX('informe de Gestión 2021-2025'!I:I, MATCH(S53,#REF!, 0), )</f>
        <v>#REF!</v>
      </c>
      <c r="E53" s="47" t="e">
        <f t="array" ref="E53">INDEX('informe de Gestión 2021-2025'!K:K, MATCH(S53,#REF!, 0), )</f>
        <v>#REF!</v>
      </c>
      <c r="F53" s="47" t="e">
        <f t="shared" si="0"/>
        <v>#REF!</v>
      </c>
      <c r="G53" s="45" t="e">
        <f t="array" ref="G53">INDEX('informe de Gestión 2021-2025'!#REF!, MATCH(S53,#REF!, 0), )</f>
        <v>#REF!</v>
      </c>
      <c r="H53" s="48" t="e">
        <f t="shared" si="1"/>
        <v>#REF!</v>
      </c>
      <c r="I53" s="49" t="e">
        <f t="shared" si="2"/>
        <v>#REF!</v>
      </c>
      <c r="J53" s="47" t="e">
        <f t="shared" si="3"/>
        <v>#REF!</v>
      </c>
      <c r="K53" s="47" t="e">
        <f t="shared" si="4"/>
        <v>#REF!</v>
      </c>
      <c r="L53" s="50" t="e">
        <f t="shared" si="5"/>
        <v>#REF!</v>
      </c>
      <c r="M53" s="50" t="e">
        <f t="shared" si="6"/>
        <v>#REF!</v>
      </c>
      <c r="N53" s="47" t="e">
        <f t="shared" si="7"/>
        <v>#REF!</v>
      </c>
      <c r="O53" s="47" t="e">
        <f t="shared" si="8"/>
        <v>#REF!</v>
      </c>
      <c r="P53" s="45">
        <v>-7.3311805555555551</v>
      </c>
      <c r="Q53" s="45">
        <v>-76.779383333333328</v>
      </c>
      <c r="R53" s="45" t="s">
        <v>631</v>
      </c>
      <c r="S53" s="51" t="s">
        <v>632</v>
      </c>
      <c r="U53" s="52"/>
    </row>
    <row r="54" spans="1:21" ht="17.25" customHeight="1" x14ac:dyDescent="0.3">
      <c r="A54" s="45">
        <v>53</v>
      </c>
      <c r="B54" s="46" t="e">
        <f t="array" ref="B54">INDEX('informe de Gestión 2021-2025'!C:C, MATCH(S54,#REF!, 0), )</f>
        <v>#REF!</v>
      </c>
      <c r="C54" s="47" t="e">
        <f t="array" ref="C54">INDEX('informe de Gestión 2021-2025'!D:D, MATCH(S54,#REF!, 0), )</f>
        <v>#REF!</v>
      </c>
      <c r="D54" s="47" t="e">
        <f t="array" ref="D54">INDEX('informe de Gestión 2021-2025'!I:I, MATCH(S54,#REF!, 0), )</f>
        <v>#REF!</v>
      </c>
      <c r="E54" s="47" t="e">
        <f t="array" ref="E54">INDEX('informe de Gestión 2021-2025'!K:K, MATCH(S54,#REF!, 0), )</f>
        <v>#REF!</v>
      </c>
      <c r="F54" s="47" t="e">
        <f t="shared" si="0"/>
        <v>#REF!</v>
      </c>
      <c r="G54" s="45" t="e">
        <f t="array" ref="G54">INDEX('informe de Gestión 2021-2025'!#REF!, MATCH(S54,#REF!, 0), )</f>
        <v>#REF!</v>
      </c>
      <c r="H54" s="48" t="e">
        <f t="shared" si="1"/>
        <v>#REF!</v>
      </c>
      <c r="I54" s="49" t="e">
        <f t="shared" si="2"/>
        <v>#REF!</v>
      </c>
      <c r="J54" s="47" t="e">
        <f t="shared" si="3"/>
        <v>#REF!</v>
      </c>
      <c r="K54" s="47" t="e">
        <f t="shared" si="4"/>
        <v>#REF!</v>
      </c>
      <c r="L54" s="50" t="e">
        <f t="shared" si="5"/>
        <v>#REF!</v>
      </c>
      <c r="M54" s="50" t="e">
        <f t="shared" si="6"/>
        <v>#REF!</v>
      </c>
      <c r="N54" s="47" t="e">
        <f t="shared" si="7"/>
        <v>#REF!</v>
      </c>
      <c r="O54" s="47" t="e">
        <f t="shared" si="8"/>
        <v>#REF!</v>
      </c>
      <c r="P54" s="45">
        <v>-5.6980305555555555</v>
      </c>
      <c r="Q54" s="45">
        <v>-78.819391666666661</v>
      </c>
      <c r="R54" s="45" t="s">
        <v>633</v>
      </c>
      <c r="S54" s="51" t="s">
        <v>634</v>
      </c>
      <c r="U54" s="52"/>
    </row>
    <row r="55" spans="1:21" ht="17.25" customHeight="1" x14ac:dyDescent="0.3">
      <c r="A55" s="45">
        <v>54</v>
      </c>
      <c r="B55" s="46" t="e">
        <f t="array" ref="B55">INDEX('informe de Gestión 2021-2025'!C:C, MATCH(S55,#REF!, 0), )</f>
        <v>#REF!</v>
      </c>
      <c r="C55" s="47" t="e">
        <f t="array" ref="C55">INDEX('informe de Gestión 2021-2025'!D:D, MATCH(S55,#REF!, 0), )</f>
        <v>#REF!</v>
      </c>
      <c r="D55" s="47" t="e">
        <f t="array" ref="D55">INDEX('informe de Gestión 2021-2025'!I:I, MATCH(S55,#REF!, 0), )</f>
        <v>#REF!</v>
      </c>
      <c r="E55" s="47" t="e">
        <f t="array" ref="E55">INDEX('informe de Gestión 2021-2025'!K:K, MATCH(S55,#REF!, 0), )</f>
        <v>#REF!</v>
      </c>
      <c r="F55" s="47" t="e">
        <f t="shared" si="0"/>
        <v>#REF!</v>
      </c>
      <c r="G55" s="45" t="e">
        <f t="array" ref="G55">INDEX('informe de Gestión 2021-2025'!#REF!, MATCH(S55,#REF!, 0), )</f>
        <v>#REF!</v>
      </c>
      <c r="H55" s="48" t="e">
        <f t="shared" si="1"/>
        <v>#REF!</v>
      </c>
      <c r="I55" s="49" t="e">
        <f t="shared" si="2"/>
        <v>#REF!</v>
      </c>
      <c r="J55" s="47" t="e">
        <f t="shared" si="3"/>
        <v>#REF!</v>
      </c>
      <c r="K55" s="47" t="e">
        <f t="shared" si="4"/>
        <v>#REF!</v>
      </c>
      <c r="L55" s="50" t="e">
        <f t="shared" si="5"/>
        <v>#REF!</v>
      </c>
      <c r="M55" s="50" t="e">
        <f t="shared" si="6"/>
        <v>#REF!</v>
      </c>
      <c r="N55" s="47" t="e">
        <f t="shared" si="7"/>
        <v>#REF!</v>
      </c>
      <c r="O55" s="47" t="e">
        <f t="shared" si="8"/>
        <v>#REF!</v>
      </c>
      <c r="P55" s="45">
        <v>-7.1928611111111111</v>
      </c>
      <c r="Q55" s="45">
        <v>-76.74133333333333</v>
      </c>
      <c r="R55" s="45" t="s">
        <v>635</v>
      </c>
      <c r="S55" s="51" t="s">
        <v>636</v>
      </c>
      <c r="U55" s="52"/>
    </row>
    <row r="56" spans="1:21" ht="17.25" customHeight="1" x14ac:dyDescent="0.3">
      <c r="A56" s="45">
        <v>55</v>
      </c>
      <c r="B56" s="46" t="e">
        <f t="array" ref="B56">INDEX('informe de Gestión 2021-2025'!C:C, MATCH(S56,#REF!, 0), )</f>
        <v>#REF!</v>
      </c>
      <c r="C56" s="47" t="e">
        <f t="array" ref="C56">INDEX('informe de Gestión 2021-2025'!D:D, MATCH(S56,#REF!, 0), )</f>
        <v>#REF!</v>
      </c>
      <c r="D56" s="47" t="e">
        <f t="array" ref="D56">INDEX('informe de Gestión 2021-2025'!I:I, MATCH(S56,#REF!, 0), )</f>
        <v>#REF!</v>
      </c>
      <c r="E56" s="47" t="e">
        <f t="array" ref="E56">INDEX('informe de Gestión 2021-2025'!K:K, MATCH(S56,#REF!, 0), )</f>
        <v>#REF!</v>
      </c>
      <c r="F56" s="47" t="e">
        <f t="shared" si="0"/>
        <v>#REF!</v>
      </c>
      <c r="G56" s="45" t="e">
        <f t="array" ref="G56">INDEX('informe de Gestión 2021-2025'!#REF!, MATCH(S56,#REF!, 0), )</f>
        <v>#REF!</v>
      </c>
      <c r="H56" s="48" t="e">
        <f t="shared" si="1"/>
        <v>#REF!</v>
      </c>
      <c r="I56" s="49" t="e">
        <f t="shared" si="2"/>
        <v>#REF!</v>
      </c>
      <c r="J56" s="47" t="e">
        <f t="shared" si="3"/>
        <v>#REF!</v>
      </c>
      <c r="K56" s="47" t="e">
        <f t="shared" si="4"/>
        <v>#REF!</v>
      </c>
      <c r="L56" s="50" t="e">
        <f t="shared" si="5"/>
        <v>#REF!</v>
      </c>
      <c r="M56" s="50" t="e">
        <f t="shared" si="6"/>
        <v>#REF!</v>
      </c>
      <c r="N56" s="47" t="e">
        <f t="shared" si="7"/>
        <v>#REF!</v>
      </c>
      <c r="O56" s="47" t="e">
        <f t="shared" si="8"/>
        <v>#REF!</v>
      </c>
      <c r="P56" s="45">
        <v>-5.3757833333333327</v>
      </c>
      <c r="Q56" s="45">
        <v>-80.694886111111117</v>
      </c>
      <c r="R56" s="45" t="s">
        <v>637</v>
      </c>
      <c r="S56" s="51" t="s">
        <v>638</v>
      </c>
      <c r="U56" s="52"/>
    </row>
    <row r="57" spans="1:21" ht="17.25" customHeight="1" x14ac:dyDescent="0.3">
      <c r="A57" s="45">
        <v>56</v>
      </c>
      <c r="B57" s="46" t="e">
        <f t="array" ref="B57">INDEX('informe de Gestión 2021-2025'!C:C, MATCH(S57,#REF!, 0), )</f>
        <v>#REF!</v>
      </c>
      <c r="C57" s="47" t="e">
        <f t="array" ref="C57">INDEX('informe de Gestión 2021-2025'!D:D, MATCH(S57,#REF!, 0), )</f>
        <v>#REF!</v>
      </c>
      <c r="D57" s="47" t="e">
        <f t="array" ref="D57">INDEX('informe de Gestión 2021-2025'!I:I, MATCH(S57,#REF!, 0), )</f>
        <v>#REF!</v>
      </c>
      <c r="E57" s="47" t="e">
        <f t="array" ref="E57">INDEX('informe de Gestión 2021-2025'!K:K, MATCH(S57,#REF!, 0), )</f>
        <v>#REF!</v>
      </c>
      <c r="F57" s="47" t="e">
        <f t="shared" si="0"/>
        <v>#REF!</v>
      </c>
      <c r="G57" s="45" t="e">
        <f t="array" ref="G57">INDEX('informe de Gestión 2021-2025'!#REF!, MATCH(S57,#REF!, 0), )</f>
        <v>#REF!</v>
      </c>
      <c r="H57" s="48" t="e">
        <f t="shared" si="1"/>
        <v>#REF!</v>
      </c>
      <c r="I57" s="49" t="e">
        <f t="shared" si="2"/>
        <v>#REF!</v>
      </c>
      <c r="J57" s="47" t="e">
        <f t="shared" si="3"/>
        <v>#REF!</v>
      </c>
      <c r="K57" s="47" t="e">
        <f t="shared" si="4"/>
        <v>#REF!</v>
      </c>
      <c r="L57" s="50" t="e">
        <f t="shared" si="5"/>
        <v>#REF!</v>
      </c>
      <c r="M57" s="50" t="e">
        <f t="shared" si="6"/>
        <v>#REF!</v>
      </c>
      <c r="N57" s="47" t="e">
        <f t="shared" si="7"/>
        <v>#REF!</v>
      </c>
      <c r="O57" s="47" t="e">
        <f t="shared" si="8"/>
        <v>#REF!</v>
      </c>
      <c r="P57" s="45">
        <v>-8.6887444444444455</v>
      </c>
      <c r="Q57" s="45">
        <v>-77.888388888888898</v>
      </c>
      <c r="R57" s="45" t="s">
        <v>639</v>
      </c>
      <c r="S57" s="51" t="s">
        <v>640</v>
      </c>
      <c r="U57" s="52"/>
    </row>
    <row r="58" spans="1:21" ht="17.25" customHeight="1" x14ac:dyDescent="0.3">
      <c r="A58" s="45">
        <v>57</v>
      </c>
      <c r="B58" s="46" t="e">
        <f t="array" ref="B58">INDEX('informe de Gestión 2021-2025'!C:C, MATCH(S58,#REF!, 0), )</f>
        <v>#REF!</v>
      </c>
      <c r="C58" s="47" t="e">
        <f t="array" ref="C58">INDEX('informe de Gestión 2021-2025'!D:D, MATCH(S58,#REF!, 0), )</f>
        <v>#REF!</v>
      </c>
      <c r="D58" s="47" t="e">
        <f t="array" ref="D58">INDEX('informe de Gestión 2021-2025'!I:I, MATCH(S58,#REF!, 0), )</f>
        <v>#REF!</v>
      </c>
      <c r="E58" s="47" t="e">
        <f t="array" ref="E58">INDEX('informe de Gestión 2021-2025'!K:K, MATCH(S58,#REF!, 0), )</f>
        <v>#REF!</v>
      </c>
      <c r="F58" s="47" t="e">
        <f t="shared" si="0"/>
        <v>#REF!</v>
      </c>
      <c r="G58" s="45" t="e">
        <f t="array" ref="G58">INDEX('informe de Gestión 2021-2025'!#REF!, MATCH(S58,#REF!, 0), )</f>
        <v>#REF!</v>
      </c>
      <c r="H58" s="48" t="e">
        <f t="shared" si="1"/>
        <v>#REF!</v>
      </c>
      <c r="I58" s="49" t="e">
        <f t="shared" si="2"/>
        <v>#REF!</v>
      </c>
      <c r="J58" s="47" t="e">
        <f t="shared" si="3"/>
        <v>#REF!</v>
      </c>
      <c r="K58" s="47" t="e">
        <f t="shared" si="4"/>
        <v>#REF!</v>
      </c>
      <c r="L58" s="50" t="e">
        <f t="shared" si="5"/>
        <v>#REF!</v>
      </c>
      <c r="M58" s="50" t="e">
        <f t="shared" si="6"/>
        <v>#REF!</v>
      </c>
      <c r="N58" s="47" t="e">
        <f t="shared" si="7"/>
        <v>#REF!</v>
      </c>
      <c r="O58" s="47" t="e">
        <f t="shared" si="8"/>
        <v>#REF!</v>
      </c>
      <c r="P58" s="45">
        <v>-6.1179999999999994</v>
      </c>
      <c r="Q58" s="45">
        <v>-77.983722222222227</v>
      </c>
      <c r="R58" s="45" t="s">
        <v>641</v>
      </c>
      <c r="S58" s="51" t="s">
        <v>642</v>
      </c>
      <c r="U58" s="52"/>
    </row>
    <row r="59" spans="1:21" ht="17.25" customHeight="1" x14ac:dyDescent="0.3">
      <c r="A59" s="45">
        <v>58</v>
      </c>
      <c r="B59" s="46" t="e">
        <f t="array" ref="B59">INDEX('informe de Gestión 2021-2025'!C:C, MATCH(S59,#REF!, 0), )</f>
        <v>#REF!</v>
      </c>
      <c r="C59" s="47" t="e">
        <f t="array" ref="C59">INDEX('informe de Gestión 2021-2025'!D:D, MATCH(S59,#REF!, 0), )</f>
        <v>#REF!</v>
      </c>
      <c r="D59" s="47" t="e">
        <f t="array" ref="D59">INDEX('informe de Gestión 2021-2025'!I:I, MATCH(S59,#REF!, 0), )</f>
        <v>#REF!</v>
      </c>
      <c r="E59" s="47" t="e">
        <f t="array" ref="E59">INDEX('informe de Gestión 2021-2025'!K:K, MATCH(S59,#REF!, 0), )</f>
        <v>#REF!</v>
      </c>
      <c r="F59" s="47" t="e">
        <f t="shared" si="0"/>
        <v>#REF!</v>
      </c>
      <c r="G59" s="45" t="e">
        <f t="array" ref="G59">INDEX('informe de Gestión 2021-2025'!#REF!, MATCH(S59,#REF!, 0), )</f>
        <v>#REF!</v>
      </c>
      <c r="H59" s="48" t="e">
        <f t="shared" si="1"/>
        <v>#REF!</v>
      </c>
      <c r="I59" s="49" t="e">
        <f t="shared" si="2"/>
        <v>#REF!</v>
      </c>
      <c r="J59" s="47" t="e">
        <f t="shared" si="3"/>
        <v>#REF!</v>
      </c>
      <c r="K59" s="47" t="e">
        <f t="shared" si="4"/>
        <v>#REF!</v>
      </c>
      <c r="L59" s="50" t="e">
        <f t="shared" si="5"/>
        <v>#REF!</v>
      </c>
      <c r="M59" s="50" t="e">
        <f t="shared" si="6"/>
        <v>#REF!</v>
      </c>
      <c r="N59" s="47" t="e">
        <f t="shared" si="7"/>
        <v>#REF!</v>
      </c>
      <c r="O59" s="47" t="e">
        <f t="shared" si="8"/>
        <v>#REF!</v>
      </c>
      <c r="P59" s="45">
        <v>-4.6541111111111118</v>
      </c>
      <c r="Q59" s="45">
        <v>-80.230472222222218</v>
      </c>
      <c r="R59" s="45" t="s">
        <v>643</v>
      </c>
      <c r="S59" s="51" t="s">
        <v>644</v>
      </c>
      <c r="U59" s="52"/>
    </row>
    <row r="60" spans="1:21" ht="17.25" customHeight="1" x14ac:dyDescent="0.3">
      <c r="A60" s="45">
        <v>59</v>
      </c>
      <c r="B60" s="46" t="e">
        <f t="array" ref="B60">INDEX('informe de Gestión 2021-2025'!C:C, MATCH(S60,#REF!, 0), )</f>
        <v>#REF!</v>
      </c>
      <c r="C60" s="47" t="e">
        <f t="array" ref="C60">INDEX('informe de Gestión 2021-2025'!D:D, MATCH(S60,#REF!, 0), )</f>
        <v>#REF!</v>
      </c>
      <c r="D60" s="47" t="e">
        <f t="array" ref="D60">INDEX('informe de Gestión 2021-2025'!I:I, MATCH(S60,#REF!, 0), )</f>
        <v>#REF!</v>
      </c>
      <c r="E60" s="47" t="e">
        <f t="array" ref="E60">INDEX('informe de Gestión 2021-2025'!K:K, MATCH(S60,#REF!, 0), )</f>
        <v>#REF!</v>
      </c>
      <c r="F60" s="47" t="e">
        <f t="shared" si="0"/>
        <v>#REF!</v>
      </c>
      <c r="G60" s="45" t="e">
        <f t="array" ref="G60">INDEX('informe de Gestión 2021-2025'!#REF!, MATCH(S60,#REF!, 0), )</f>
        <v>#REF!</v>
      </c>
      <c r="H60" s="48" t="e">
        <f t="shared" si="1"/>
        <v>#REF!</v>
      </c>
      <c r="I60" s="49" t="e">
        <f t="shared" si="2"/>
        <v>#REF!</v>
      </c>
      <c r="J60" s="47" t="e">
        <f t="shared" si="3"/>
        <v>#REF!</v>
      </c>
      <c r="K60" s="47" t="e">
        <f t="shared" si="4"/>
        <v>#REF!</v>
      </c>
      <c r="L60" s="50" t="e">
        <f t="shared" si="5"/>
        <v>#REF!</v>
      </c>
      <c r="M60" s="50" t="e">
        <f t="shared" si="6"/>
        <v>#REF!</v>
      </c>
      <c r="N60" s="47" t="e">
        <f t="shared" si="7"/>
        <v>#REF!</v>
      </c>
      <c r="O60" s="47" t="e">
        <f t="shared" si="8"/>
        <v>#REF!</v>
      </c>
      <c r="P60" s="45">
        <v>-4.6541111111111118</v>
      </c>
      <c r="Q60" s="45">
        <v>-80.230472222222218</v>
      </c>
      <c r="R60" s="45" t="s">
        <v>643</v>
      </c>
      <c r="S60" s="51" t="s">
        <v>645</v>
      </c>
      <c r="U60" s="52"/>
    </row>
    <row r="61" spans="1:21" ht="17.25" customHeight="1" x14ac:dyDescent="0.3">
      <c r="A61" s="45">
        <v>60</v>
      </c>
      <c r="B61" s="46" t="e">
        <f t="array" ref="B61">INDEX('informe de Gestión 2021-2025'!C:C, MATCH(S61,#REF!, 0), )</f>
        <v>#REF!</v>
      </c>
      <c r="C61" s="47" t="e">
        <f t="array" ref="C61">INDEX('informe de Gestión 2021-2025'!D:D, MATCH(S61,#REF!, 0), )</f>
        <v>#REF!</v>
      </c>
      <c r="D61" s="47" t="e">
        <f t="array" ref="D61">INDEX('informe de Gestión 2021-2025'!I:I, MATCH(S61,#REF!, 0), )</f>
        <v>#REF!</v>
      </c>
      <c r="E61" s="47" t="e">
        <f t="array" ref="E61">INDEX('informe de Gestión 2021-2025'!K:K, MATCH(S61,#REF!, 0), )</f>
        <v>#REF!</v>
      </c>
      <c r="F61" s="47" t="e">
        <f t="shared" si="0"/>
        <v>#REF!</v>
      </c>
      <c r="G61" s="45" t="e">
        <f t="array" ref="G61">INDEX('informe de Gestión 2021-2025'!#REF!, MATCH(S61,#REF!, 0), )</f>
        <v>#REF!</v>
      </c>
      <c r="H61" s="48" t="e">
        <f t="shared" si="1"/>
        <v>#REF!</v>
      </c>
      <c r="I61" s="49" t="e">
        <f t="shared" si="2"/>
        <v>#REF!</v>
      </c>
      <c r="J61" s="47" t="e">
        <f t="shared" si="3"/>
        <v>#REF!</v>
      </c>
      <c r="K61" s="47" t="e">
        <f t="shared" si="4"/>
        <v>#REF!</v>
      </c>
      <c r="L61" s="50" t="e">
        <f t="shared" si="5"/>
        <v>#REF!</v>
      </c>
      <c r="M61" s="50" t="e">
        <f t="shared" si="6"/>
        <v>#REF!</v>
      </c>
      <c r="N61" s="47" t="e">
        <f t="shared" si="7"/>
        <v>#REF!</v>
      </c>
      <c r="O61" s="47" t="e">
        <f t="shared" si="8"/>
        <v>#REF!</v>
      </c>
      <c r="P61" s="45">
        <v>-6.6928055555555561</v>
      </c>
      <c r="Q61" s="45">
        <v>-77.80661111111111</v>
      </c>
      <c r="R61" s="45" t="s">
        <v>646</v>
      </c>
      <c r="S61" s="51" t="s">
        <v>647</v>
      </c>
      <c r="U61" s="52"/>
    </row>
    <row r="62" spans="1:21" ht="17.25" customHeight="1" x14ac:dyDescent="0.3">
      <c r="A62" s="45">
        <v>61</v>
      </c>
      <c r="B62" s="46" t="e">
        <f t="array" ref="B62">INDEX('informe de Gestión 2021-2025'!C:C, MATCH(S62,#REF!, 0), )</f>
        <v>#REF!</v>
      </c>
      <c r="C62" s="47" t="e">
        <f t="array" ref="C62">INDEX('informe de Gestión 2021-2025'!D:D, MATCH(S62,#REF!, 0), )</f>
        <v>#REF!</v>
      </c>
      <c r="D62" s="47" t="e">
        <f t="array" ref="D62">INDEX('informe de Gestión 2021-2025'!I:I, MATCH(S62,#REF!, 0), )</f>
        <v>#REF!</v>
      </c>
      <c r="E62" s="47" t="e">
        <f t="array" ref="E62">INDEX('informe de Gestión 2021-2025'!K:K, MATCH(S62,#REF!, 0), )</f>
        <v>#REF!</v>
      </c>
      <c r="F62" s="47" t="e">
        <f t="shared" si="0"/>
        <v>#REF!</v>
      </c>
      <c r="G62" s="45" t="e">
        <f t="array" ref="G62">INDEX('informe de Gestión 2021-2025'!#REF!, MATCH(S62,#REF!, 0), )</f>
        <v>#REF!</v>
      </c>
      <c r="H62" s="48" t="e">
        <f t="shared" si="1"/>
        <v>#REF!</v>
      </c>
      <c r="I62" s="49" t="e">
        <f t="shared" si="2"/>
        <v>#REF!</v>
      </c>
      <c r="J62" s="47" t="e">
        <f t="shared" si="3"/>
        <v>#REF!</v>
      </c>
      <c r="K62" s="47" t="e">
        <f t="shared" si="4"/>
        <v>#REF!</v>
      </c>
      <c r="L62" s="50" t="e">
        <f t="shared" si="5"/>
        <v>#REF!</v>
      </c>
      <c r="M62" s="50" t="e">
        <f t="shared" si="6"/>
        <v>#REF!</v>
      </c>
      <c r="N62" s="47" t="e">
        <f t="shared" si="7"/>
        <v>#REF!</v>
      </c>
      <c r="O62" s="47" t="e">
        <f t="shared" si="8"/>
        <v>#REF!</v>
      </c>
      <c r="P62" s="45">
        <v>-9.098391666666668</v>
      </c>
      <c r="Q62" s="45">
        <v>-77.017833333333328</v>
      </c>
      <c r="R62" s="45" t="s">
        <v>648</v>
      </c>
      <c r="S62" s="51" t="s">
        <v>649</v>
      </c>
      <c r="U62" s="52"/>
    </row>
    <row r="63" spans="1:21" ht="17.25" customHeight="1" x14ac:dyDescent="0.3">
      <c r="A63" s="45">
        <v>62</v>
      </c>
      <c r="B63" s="46" t="e">
        <f t="array" ref="B63">INDEX('informe de Gestión 2021-2025'!C:C, MATCH(S63,#REF!, 0), )</f>
        <v>#REF!</v>
      </c>
      <c r="C63" s="47" t="e">
        <f t="array" ref="C63">INDEX('informe de Gestión 2021-2025'!D:D, MATCH(S63,#REF!, 0), )</f>
        <v>#REF!</v>
      </c>
      <c r="D63" s="47" t="e">
        <f t="array" ref="D63">INDEX('informe de Gestión 2021-2025'!I:I, MATCH(S63,#REF!, 0), )</f>
        <v>#REF!</v>
      </c>
      <c r="E63" s="47" t="e">
        <f t="array" ref="E63">INDEX('informe de Gestión 2021-2025'!K:K, MATCH(S63,#REF!, 0), )</f>
        <v>#REF!</v>
      </c>
      <c r="F63" s="47" t="e">
        <f t="shared" si="0"/>
        <v>#REF!</v>
      </c>
      <c r="G63" s="45" t="e">
        <f t="array" ref="G63">INDEX('informe de Gestión 2021-2025'!#REF!, MATCH(S63,#REF!, 0), )</f>
        <v>#REF!</v>
      </c>
      <c r="H63" s="48" t="e">
        <f t="shared" si="1"/>
        <v>#REF!</v>
      </c>
      <c r="I63" s="49" t="e">
        <f t="shared" si="2"/>
        <v>#REF!</v>
      </c>
      <c r="J63" s="47" t="e">
        <f t="shared" si="3"/>
        <v>#REF!</v>
      </c>
      <c r="K63" s="47" t="e">
        <f t="shared" si="4"/>
        <v>#REF!</v>
      </c>
      <c r="L63" s="50" t="e">
        <f t="shared" si="5"/>
        <v>#REF!</v>
      </c>
      <c r="M63" s="50" t="e">
        <f t="shared" si="6"/>
        <v>#REF!</v>
      </c>
      <c r="N63" s="47" t="e">
        <f t="shared" si="7"/>
        <v>#REF!</v>
      </c>
      <c r="O63" s="47" t="e">
        <f t="shared" si="8"/>
        <v>#REF!</v>
      </c>
      <c r="P63" s="45">
        <v>-6.0886666666666667</v>
      </c>
      <c r="Q63" s="45">
        <v>-78.454361111111112</v>
      </c>
      <c r="R63" s="45" t="s">
        <v>650</v>
      </c>
      <c r="S63" s="51" t="s">
        <v>651</v>
      </c>
      <c r="U63" s="52"/>
    </row>
    <row r="64" spans="1:21" ht="17.25" customHeight="1" x14ac:dyDescent="0.3">
      <c r="A64" s="45">
        <v>63</v>
      </c>
      <c r="B64" s="46" t="e">
        <f t="array" ref="B64">INDEX('informe de Gestión 2021-2025'!C:C, MATCH(S64,#REF!, 0), )</f>
        <v>#REF!</v>
      </c>
      <c r="C64" s="47" t="e">
        <f t="array" ref="C64">INDEX('informe de Gestión 2021-2025'!D:D, MATCH(S64,#REF!, 0), )</f>
        <v>#REF!</v>
      </c>
      <c r="D64" s="47" t="e">
        <f t="array" ref="D64">INDEX('informe de Gestión 2021-2025'!I:I, MATCH(S64,#REF!, 0), )</f>
        <v>#REF!</v>
      </c>
      <c r="E64" s="47" t="e">
        <f t="array" ref="E64">INDEX('informe de Gestión 2021-2025'!K:K, MATCH(S64,#REF!, 0), )</f>
        <v>#REF!</v>
      </c>
      <c r="F64" s="47" t="e">
        <f t="shared" si="0"/>
        <v>#REF!</v>
      </c>
      <c r="G64" s="45" t="e">
        <f t="array" ref="G64">INDEX('informe de Gestión 2021-2025'!#REF!, MATCH(S64,#REF!, 0), )</f>
        <v>#REF!</v>
      </c>
      <c r="H64" s="48" t="e">
        <f t="shared" si="1"/>
        <v>#REF!</v>
      </c>
      <c r="I64" s="49" t="e">
        <f t="shared" si="2"/>
        <v>#REF!</v>
      </c>
      <c r="J64" s="47" t="e">
        <f t="shared" si="3"/>
        <v>#REF!</v>
      </c>
      <c r="K64" s="47" t="e">
        <f t="shared" si="4"/>
        <v>#REF!</v>
      </c>
      <c r="L64" s="50" t="e">
        <f t="shared" si="5"/>
        <v>#REF!</v>
      </c>
      <c r="M64" s="50" t="e">
        <f t="shared" si="6"/>
        <v>#REF!</v>
      </c>
      <c r="N64" s="47" t="e">
        <f t="shared" si="7"/>
        <v>#REF!</v>
      </c>
      <c r="O64" s="47" t="e">
        <f t="shared" si="8"/>
        <v>#REF!</v>
      </c>
      <c r="P64" s="45">
        <v>-4.1838333333333333</v>
      </c>
      <c r="Q64" s="45">
        <v>-81.125861111111107</v>
      </c>
      <c r="R64" s="45" t="s">
        <v>652</v>
      </c>
      <c r="S64" s="51" t="s">
        <v>653</v>
      </c>
      <c r="U64" s="52"/>
    </row>
    <row r="65" spans="1:21" ht="17.25" customHeight="1" x14ac:dyDescent="0.3">
      <c r="A65" s="45">
        <v>64</v>
      </c>
      <c r="B65" s="46" t="e">
        <f t="array" ref="B65">INDEX('informe de Gestión 2021-2025'!C:C, MATCH(S65,#REF!, 0), )</f>
        <v>#REF!</v>
      </c>
      <c r="C65" s="47" t="e">
        <f t="array" ref="C65">INDEX('informe de Gestión 2021-2025'!D:D, MATCH(S65,#REF!, 0), )</f>
        <v>#REF!</v>
      </c>
      <c r="D65" s="47" t="e">
        <f t="array" ref="D65">INDEX('informe de Gestión 2021-2025'!I:I, MATCH(S65,#REF!, 0), )</f>
        <v>#REF!</v>
      </c>
      <c r="E65" s="47" t="e">
        <f t="array" ref="E65">INDEX('informe de Gestión 2021-2025'!K:K, MATCH(S65,#REF!, 0), )</f>
        <v>#REF!</v>
      </c>
      <c r="F65" s="47" t="e">
        <f t="shared" si="0"/>
        <v>#REF!</v>
      </c>
      <c r="G65" s="45" t="e">
        <f t="array" ref="G65">INDEX('informe de Gestión 2021-2025'!#REF!, MATCH(S65,#REF!, 0), )</f>
        <v>#REF!</v>
      </c>
      <c r="H65" s="48" t="e">
        <f t="shared" si="1"/>
        <v>#REF!</v>
      </c>
      <c r="I65" s="49" t="e">
        <f t="shared" si="2"/>
        <v>#REF!</v>
      </c>
      <c r="J65" s="47" t="e">
        <f t="shared" si="3"/>
        <v>#REF!</v>
      </c>
      <c r="K65" s="47" t="e">
        <f t="shared" si="4"/>
        <v>#REF!</v>
      </c>
      <c r="L65" s="50" t="e">
        <f t="shared" si="5"/>
        <v>#REF!</v>
      </c>
      <c r="M65" s="50" t="e">
        <f t="shared" si="6"/>
        <v>#REF!</v>
      </c>
      <c r="N65" s="47" t="e">
        <f t="shared" si="7"/>
        <v>#REF!</v>
      </c>
      <c r="O65" s="47" t="e">
        <f t="shared" si="8"/>
        <v>#REF!</v>
      </c>
      <c r="P65" s="45">
        <v>-4.1090833333333334</v>
      </c>
      <c r="Q65" s="45">
        <v>-81.046388888888885</v>
      </c>
      <c r="R65" s="45" t="s">
        <v>654</v>
      </c>
      <c r="S65" s="51" t="s">
        <v>655</v>
      </c>
      <c r="U65" s="52"/>
    </row>
    <row r="66" spans="1:21" ht="17.25" customHeight="1" x14ac:dyDescent="0.3">
      <c r="A66" s="45">
        <v>65</v>
      </c>
      <c r="B66" s="46" t="e">
        <f t="array" ref="B66">INDEX('informe de Gestión 2021-2025'!C:C, MATCH(S66,#REF!, 0), )</f>
        <v>#REF!</v>
      </c>
      <c r="C66" s="47" t="e">
        <f t="array" ref="C66">INDEX('informe de Gestión 2021-2025'!D:D, MATCH(S66,#REF!, 0), )</f>
        <v>#REF!</v>
      </c>
      <c r="D66" s="47" t="e">
        <f t="array" ref="D66">INDEX('informe de Gestión 2021-2025'!I:I, MATCH(S66,#REF!, 0), )</f>
        <v>#REF!</v>
      </c>
      <c r="E66" s="47" t="e">
        <f t="array" ref="E66">INDEX('informe de Gestión 2021-2025'!K:K, MATCH(S66,#REF!, 0), )</f>
        <v>#REF!</v>
      </c>
      <c r="F66" s="47" t="e">
        <f t="shared" si="0"/>
        <v>#REF!</v>
      </c>
      <c r="G66" s="45" t="e">
        <f t="array" ref="G66">INDEX('informe de Gestión 2021-2025'!#REF!, MATCH(S66,#REF!, 0), )</f>
        <v>#REF!</v>
      </c>
      <c r="H66" s="48" t="e">
        <f t="shared" si="1"/>
        <v>#REF!</v>
      </c>
      <c r="I66" s="49" t="e">
        <f t="shared" si="2"/>
        <v>#REF!</v>
      </c>
      <c r="J66" s="47" t="e">
        <f t="shared" si="3"/>
        <v>#REF!</v>
      </c>
      <c r="K66" s="47" t="e">
        <f t="shared" si="4"/>
        <v>#REF!</v>
      </c>
      <c r="L66" s="50" t="e">
        <f t="shared" si="5"/>
        <v>#REF!</v>
      </c>
      <c r="M66" s="50" t="e">
        <f t="shared" si="6"/>
        <v>#REF!</v>
      </c>
      <c r="N66" s="47" t="e">
        <f t="shared" si="7"/>
        <v>#REF!</v>
      </c>
      <c r="O66" s="47" t="e">
        <f t="shared" si="8"/>
        <v>#REF!</v>
      </c>
      <c r="P66" s="45">
        <v>-6.3898333333333337</v>
      </c>
      <c r="Q66" s="45">
        <v>-77.481277777777777</v>
      </c>
      <c r="R66" s="45" t="s">
        <v>656</v>
      </c>
      <c r="S66" s="51" t="s">
        <v>657</v>
      </c>
      <c r="U66" s="52"/>
    </row>
    <row r="67" spans="1:21" ht="17.25" customHeight="1" x14ac:dyDescent="0.3">
      <c r="A67" s="45">
        <v>66</v>
      </c>
      <c r="B67" s="46" t="e">
        <f t="array" ref="B67">INDEX('informe de Gestión 2021-2025'!C:C, MATCH(S67,#REF!, 0), )</f>
        <v>#REF!</v>
      </c>
      <c r="C67" s="47" t="e">
        <f t="array" ref="C67">INDEX('informe de Gestión 2021-2025'!D:D, MATCH(S67,#REF!, 0), )</f>
        <v>#REF!</v>
      </c>
      <c r="D67" s="47" t="e">
        <f t="array" ref="D67">INDEX('informe de Gestión 2021-2025'!I:I, MATCH(S67,#REF!, 0), )</f>
        <v>#REF!</v>
      </c>
      <c r="E67" s="47" t="e">
        <f t="array" ref="E67">INDEX('informe de Gestión 2021-2025'!K:K, MATCH(S67,#REF!, 0), )</f>
        <v>#REF!</v>
      </c>
      <c r="F67" s="47" t="e">
        <f t="shared" si="0"/>
        <v>#REF!</v>
      </c>
      <c r="G67" s="45" t="e">
        <f t="array" ref="G67">INDEX('informe de Gestión 2021-2025'!#REF!, MATCH(S67,#REF!, 0), )</f>
        <v>#REF!</v>
      </c>
      <c r="H67" s="48" t="e">
        <f t="shared" si="1"/>
        <v>#REF!</v>
      </c>
      <c r="I67" s="49" t="e">
        <f t="shared" si="2"/>
        <v>#REF!</v>
      </c>
      <c r="J67" s="47" t="e">
        <f t="shared" si="3"/>
        <v>#REF!</v>
      </c>
      <c r="K67" s="47" t="e">
        <f t="shared" si="4"/>
        <v>#REF!</v>
      </c>
      <c r="L67" s="50" t="e">
        <f t="shared" si="5"/>
        <v>#REF!</v>
      </c>
      <c r="M67" s="50" t="e">
        <f t="shared" si="6"/>
        <v>#REF!</v>
      </c>
      <c r="N67" s="47" t="e">
        <f t="shared" si="7"/>
        <v>#REF!</v>
      </c>
      <c r="O67" s="47" t="e">
        <f t="shared" si="8"/>
        <v>#REF!</v>
      </c>
      <c r="P67" s="45">
        <v>-6.5373888888888887</v>
      </c>
      <c r="Q67" s="45">
        <v>-80.010972222222222</v>
      </c>
      <c r="R67" s="45" t="s">
        <v>658</v>
      </c>
      <c r="S67" s="51" t="s">
        <v>659</v>
      </c>
      <c r="U67" s="52"/>
    </row>
    <row r="68" spans="1:21" ht="17.25" customHeight="1" x14ac:dyDescent="0.3">
      <c r="A68" s="45">
        <v>67</v>
      </c>
      <c r="B68" s="46" t="e">
        <f t="array" ref="B68">INDEX('informe de Gestión 2021-2025'!C:C, MATCH(S68,#REF!, 0), )</f>
        <v>#REF!</v>
      </c>
      <c r="C68" s="47" t="e">
        <f t="array" ref="C68">INDEX('informe de Gestión 2021-2025'!D:D, MATCH(S68,#REF!, 0), )</f>
        <v>#REF!</v>
      </c>
      <c r="D68" s="47" t="e">
        <f t="array" ref="D68">INDEX('informe de Gestión 2021-2025'!I:I, MATCH(S68,#REF!, 0), )</f>
        <v>#REF!</v>
      </c>
      <c r="E68" s="47" t="e">
        <f t="array" ref="E68">INDEX('informe de Gestión 2021-2025'!K:K, MATCH(S68,#REF!, 0), )</f>
        <v>#REF!</v>
      </c>
      <c r="F68" s="47" t="e">
        <f t="shared" si="0"/>
        <v>#REF!</v>
      </c>
      <c r="G68" s="45" t="e">
        <f t="array" ref="G68">INDEX('informe de Gestión 2021-2025'!#REF!, MATCH(S68,#REF!, 0), )</f>
        <v>#REF!</v>
      </c>
      <c r="H68" s="48" t="e">
        <f t="shared" si="1"/>
        <v>#REF!</v>
      </c>
      <c r="I68" s="49" t="e">
        <f t="shared" si="2"/>
        <v>#REF!</v>
      </c>
      <c r="J68" s="47" t="e">
        <f t="shared" si="3"/>
        <v>#REF!</v>
      </c>
      <c r="K68" s="47" t="e">
        <f t="shared" si="4"/>
        <v>#REF!</v>
      </c>
      <c r="L68" s="50" t="e">
        <f t="shared" si="5"/>
        <v>#REF!</v>
      </c>
      <c r="M68" s="50" t="e">
        <f t="shared" si="6"/>
        <v>#REF!</v>
      </c>
      <c r="N68" s="47" t="e">
        <f t="shared" si="7"/>
        <v>#REF!</v>
      </c>
      <c r="O68" s="47" t="e">
        <f t="shared" si="8"/>
        <v>#REF!</v>
      </c>
      <c r="P68" s="45">
        <v>-6.1649222222222226</v>
      </c>
      <c r="Q68" s="45">
        <v>-79.729936111111115</v>
      </c>
      <c r="R68" s="45" t="s">
        <v>660</v>
      </c>
      <c r="S68" s="51" t="s">
        <v>661</v>
      </c>
      <c r="U68" s="52"/>
    </row>
    <row r="69" spans="1:21" ht="17.25" customHeight="1" x14ac:dyDescent="0.3">
      <c r="A69" s="45">
        <v>68</v>
      </c>
      <c r="B69" s="46" t="e">
        <f t="array" ref="B69">INDEX('informe de Gestión 2021-2025'!C:C, MATCH(S69,#REF!, 0), )</f>
        <v>#REF!</v>
      </c>
      <c r="C69" s="47" t="e">
        <f t="array" ref="C69">INDEX('informe de Gestión 2021-2025'!D:D, MATCH(S69,#REF!, 0), )</f>
        <v>#REF!</v>
      </c>
      <c r="D69" s="47" t="e">
        <f t="array" ref="D69">INDEX('informe de Gestión 2021-2025'!I:I, MATCH(S69,#REF!, 0), )</f>
        <v>#REF!</v>
      </c>
      <c r="E69" s="47" t="e">
        <f t="array" ref="E69">INDEX('informe de Gestión 2021-2025'!K:K, MATCH(S69,#REF!, 0), )</f>
        <v>#REF!</v>
      </c>
      <c r="F69" s="47" t="e">
        <f t="shared" si="0"/>
        <v>#REF!</v>
      </c>
      <c r="G69" s="45" t="e">
        <f t="array" ref="G69">INDEX('informe de Gestión 2021-2025'!#REF!, MATCH(S69,#REF!, 0), )</f>
        <v>#REF!</v>
      </c>
      <c r="H69" s="48" t="e">
        <f t="shared" si="1"/>
        <v>#REF!</v>
      </c>
      <c r="I69" s="49" t="e">
        <f t="shared" si="2"/>
        <v>#REF!</v>
      </c>
      <c r="J69" s="47" t="e">
        <f t="shared" si="3"/>
        <v>#REF!</v>
      </c>
      <c r="K69" s="47" t="e">
        <f t="shared" si="4"/>
        <v>#REF!</v>
      </c>
      <c r="L69" s="50" t="e">
        <f t="shared" si="5"/>
        <v>#REF!</v>
      </c>
      <c r="M69" s="50" t="e">
        <f t="shared" si="6"/>
        <v>#REF!</v>
      </c>
      <c r="N69" s="47" t="e">
        <f t="shared" si="7"/>
        <v>#REF!</v>
      </c>
      <c r="O69" s="47" t="e">
        <f t="shared" si="8"/>
        <v>#REF!</v>
      </c>
      <c r="P69" s="45">
        <v>-6.0337499999999995</v>
      </c>
      <c r="Q69" s="45">
        <v>-76.969916666666663</v>
      </c>
      <c r="R69" s="45" t="s">
        <v>662</v>
      </c>
      <c r="S69" s="51" t="s">
        <v>663</v>
      </c>
      <c r="U69" s="52"/>
    </row>
    <row r="70" spans="1:21" ht="17.25" customHeight="1" x14ac:dyDescent="0.3">
      <c r="A70" s="45">
        <v>69</v>
      </c>
      <c r="B70" s="46" t="e">
        <f t="array" ref="B70">INDEX('informe de Gestión 2021-2025'!C:C, MATCH(S70,#REF!, 0), )</f>
        <v>#REF!</v>
      </c>
      <c r="C70" s="47" t="e">
        <f t="array" ref="C70">INDEX('informe de Gestión 2021-2025'!D:D, MATCH(S70,#REF!, 0), )</f>
        <v>#REF!</v>
      </c>
      <c r="D70" s="47" t="e">
        <f t="array" ref="D70">INDEX('informe de Gestión 2021-2025'!I:I, MATCH(S70,#REF!, 0), )</f>
        <v>#REF!</v>
      </c>
      <c r="E70" s="47" t="e">
        <f t="array" ref="E70">INDEX('informe de Gestión 2021-2025'!K:K, MATCH(S70,#REF!, 0), )</f>
        <v>#REF!</v>
      </c>
      <c r="F70" s="47" t="e">
        <f t="shared" si="0"/>
        <v>#REF!</v>
      </c>
      <c r="G70" s="45" t="e">
        <f t="array" ref="G70">INDEX('informe de Gestión 2021-2025'!#REF!, MATCH(S70,#REF!, 0), )</f>
        <v>#REF!</v>
      </c>
      <c r="H70" s="48" t="e">
        <f t="shared" si="1"/>
        <v>#REF!</v>
      </c>
      <c r="I70" s="49" t="e">
        <f t="shared" si="2"/>
        <v>#REF!</v>
      </c>
      <c r="J70" s="47" t="e">
        <f t="shared" si="3"/>
        <v>#REF!</v>
      </c>
      <c r="K70" s="47" t="e">
        <f t="shared" si="4"/>
        <v>#REF!</v>
      </c>
      <c r="L70" s="50" t="e">
        <f t="shared" si="5"/>
        <v>#REF!</v>
      </c>
      <c r="M70" s="50" t="e">
        <f t="shared" si="6"/>
        <v>#REF!</v>
      </c>
      <c r="N70" s="47" t="e">
        <f t="shared" si="7"/>
        <v>#REF!</v>
      </c>
      <c r="O70" s="47" t="e">
        <f t="shared" si="8"/>
        <v>#REF!</v>
      </c>
      <c r="P70" s="45">
        <v>-6.0337499999999995</v>
      </c>
      <c r="Q70" s="45">
        <v>-76.969916666666663</v>
      </c>
      <c r="R70" s="45" t="s">
        <v>662</v>
      </c>
      <c r="S70" s="51" t="s">
        <v>664</v>
      </c>
      <c r="U70" s="52"/>
    </row>
    <row r="71" spans="1:21" ht="17.25" customHeight="1" x14ac:dyDescent="0.3">
      <c r="A71" s="45">
        <v>70</v>
      </c>
      <c r="B71" s="46" t="e">
        <f t="array" ref="B71">INDEX('informe de Gestión 2021-2025'!C:C, MATCH(S71,#REF!, 0), )</f>
        <v>#REF!</v>
      </c>
      <c r="C71" s="47" t="e">
        <f t="array" ref="C71">INDEX('informe de Gestión 2021-2025'!D:D, MATCH(S71,#REF!, 0), )</f>
        <v>#REF!</v>
      </c>
      <c r="D71" s="47" t="e">
        <f t="array" ref="D71">INDEX('informe de Gestión 2021-2025'!I:I, MATCH(S71,#REF!, 0), )</f>
        <v>#REF!</v>
      </c>
      <c r="E71" s="47" t="e">
        <f t="array" ref="E71">INDEX('informe de Gestión 2021-2025'!K:K, MATCH(S71,#REF!, 0), )</f>
        <v>#REF!</v>
      </c>
      <c r="F71" s="47" t="e">
        <f t="shared" si="0"/>
        <v>#REF!</v>
      </c>
      <c r="G71" s="45" t="e">
        <f t="array" ref="G71">INDEX('informe de Gestión 2021-2025'!#REF!, MATCH(S71,#REF!, 0), )</f>
        <v>#REF!</v>
      </c>
      <c r="H71" s="48" t="e">
        <f t="shared" si="1"/>
        <v>#REF!</v>
      </c>
      <c r="I71" s="49" t="e">
        <f t="shared" si="2"/>
        <v>#REF!</v>
      </c>
      <c r="J71" s="47" t="e">
        <f t="shared" si="3"/>
        <v>#REF!</v>
      </c>
      <c r="K71" s="47" t="e">
        <f t="shared" si="4"/>
        <v>#REF!</v>
      </c>
      <c r="L71" s="50" t="e">
        <f t="shared" si="5"/>
        <v>#REF!</v>
      </c>
      <c r="M71" s="50" t="e">
        <f t="shared" si="6"/>
        <v>#REF!</v>
      </c>
      <c r="N71" s="47" t="e">
        <f t="shared" si="7"/>
        <v>#REF!</v>
      </c>
      <c r="O71" s="47" t="e">
        <f t="shared" si="8"/>
        <v>#REF!</v>
      </c>
      <c r="P71" s="45">
        <v>-9.1455555555555552</v>
      </c>
      <c r="Q71" s="45">
        <v>-78.284277777777774</v>
      </c>
      <c r="R71" s="45" t="s">
        <v>665</v>
      </c>
      <c r="S71" s="51" t="s">
        <v>666</v>
      </c>
      <c r="U71" s="52"/>
    </row>
    <row r="72" spans="1:21" ht="17.25" customHeight="1" x14ac:dyDescent="0.3">
      <c r="A72" s="45">
        <v>71</v>
      </c>
      <c r="B72" s="46" t="e">
        <f t="array" ref="B72">INDEX('informe de Gestión 2021-2025'!C:C, MATCH(S72,#REF!, 0), )</f>
        <v>#REF!</v>
      </c>
      <c r="C72" s="47" t="e">
        <f t="array" ref="C72">INDEX('informe de Gestión 2021-2025'!D:D, MATCH(S72,#REF!, 0), )</f>
        <v>#REF!</v>
      </c>
      <c r="D72" s="47" t="e">
        <f t="array" ref="D72">INDEX('informe de Gestión 2021-2025'!I:I, MATCH(S72,#REF!, 0), )</f>
        <v>#REF!</v>
      </c>
      <c r="E72" s="47" t="e">
        <f t="array" ref="E72">INDEX('informe de Gestión 2021-2025'!K:K, MATCH(S72,#REF!, 0), )</f>
        <v>#REF!</v>
      </c>
      <c r="F72" s="47" t="e">
        <f t="shared" si="0"/>
        <v>#REF!</v>
      </c>
      <c r="G72" s="45" t="e">
        <f t="array" ref="G72">INDEX('informe de Gestión 2021-2025'!#REF!, MATCH(S72,#REF!, 0), )</f>
        <v>#REF!</v>
      </c>
      <c r="H72" s="48" t="e">
        <f t="shared" si="1"/>
        <v>#REF!</v>
      </c>
      <c r="I72" s="49" t="e">
        <f t="shared" si="2"/>
        <v>#REF!</v>
      </c>
      <c r="J72" s="47" t="e">
        <f t="shared" si="3"/>
        <v>#REF!</v>
      </c>
      <c r="K72" s="47" t="e">
        <f t="shared" si="4"/>
        <v>#REF!</v>
      </c>
      <c r="L72" s="50" t="e">
        <f t="shared" si="5"/>
        <v>#REF!</v>
      </c>
      <c r="M72" s="50" t="e">
        <f t="shared" si="6"/>
        <v>#REF!</v>
      </c>
      <c r="N72" s="47" t="e">
        <f t="shared" si="7"/>
        <v>#REF!</v>
      </c>
      <c r="O72" s="47" t="e">
        <f t="shared" si="8"/>
        <v>#REF!</v>
      </c>
      <c r="P72" s="45">
        <v>-5.9413611111111111</v>
      </c>
      <c r="Q72" s="45">
        <v>-77.305361111111111</v>
      </c>
      <c r="R72" s="45" t="s">
        <v>667</v>
      </c>
      <c r="S72" s="51" t="s">
        <v>668</v>
      </c>
      <c r="U72" s="52"/>
    </row>
    <row r="73" spans="1:21" ht="17.25" customHeight="1" x14ac:dyDescent="0.3">
      <c r="A73" s="45">
        <v>72</v>
      </c>
      <c r="B73" s="46" t="e">
        <f t="array" ref="B73">INDEX('informe de Gestión 2021-2025'!C:C, MATCH(S73,#REF!, 0), )</f>
        <v>#REF!</v>
      </c>
      <c r="C73" s="47" t="e">
        <f t="array" ref="C73">INDEX('informe de Gestión 2021-2025'!D:D, MATCH(S73,#REF!, 0), )</f>
        <v>#REF!</v>
      </c>
      <c r="D73" s="47" t="e">
        <f t="array" ref="D73">INDEX('informe de Gestión 2021-2025'!I:I, MATCH(S73,#REF!, 0), )</f>
        <v>#REF!</v>
      </c>
      <c r="E73" s="47" t="e">
        <f t="array" ref="E73">INDEX('informe de Gestión 2021-2025'!K:K, MATCH(S73,#REF!, 0), )</f>
        <v>#REF!</v>
      </c>
      <c r="F73" s="47" t="e">
        <f t="shared" si="0"/>
        <v>#REF!</v>
      </c>
      <c r="G73" s="45" t="e">
        <f t="array" ref="G73">INDEX('informe de Gestión 2021-2025'!#REF!, MATCH(S73,#REF!, 0), )</f>
        <v>#REF!</v>
      </c>
      <c r="H73" s="48" t="e">
        <f t="shared" si="1"/>
        <v>#REF!</v>
      </c>
      <c r="I73" s="49" t="e">
        <f t="shared" si="2"/>
        <v>#REF!</v>
      </c>
      <c r="J73" s="47" t="e">
        <f t="shared" si="3"/>
        <v>#REF!</v>
      </c>
      <c r="K73" s="47" t="e">
        <f t="shared" si="4"/>
        <v>#REF!</v>
      </c>
      <c r="L73" s="50" t="e">
        <f t="shared" si="5"/>
        <v>#REF!</v>
      </c>
      <c r="M73" s="50" t="e">
        <f t="shared" si="6"/>
        <v>#REF!</v>
      </c>
      <c r="N73" s="47" t="e">
        <f t="shared" si="7"/>
        <v>#REF!</v>
      </c>
      <c r="O73" s="47" t="e">
        <f t="shared" si="8"/>
        <v>#REF!</v>
      </c>
      <c r="P73" s="45">
        <v>-9.6652611111111106</v>
      </c>
      <c r="Q73" s="45">
        <v>-77.473663888888893</v>
      </c>
      <c r="R73" s="45" t="s">
        <v>669</v>
      </c>
      <c r="S73" s="51" t="s">
        <v>670</v>
      </c>
      <c r="U73" s="52"/>
    </row>
    <row r="74" spans="1:21" ht="17.25" customHeight="1" x14ac:dyDescent="0.3">
      <c r="A74" s="45">
        <v>73</v>
      </c>
      <c r="B74" s="46" t="e">
        <f t="array" ref="B74">INDEX('informe de Gestión 2021-2025'!C:C, MATCH(S74,#REF!, 0), )</f>
        <v>#REF!</v>
      </c>
      <c r="C74" s="47" t="e">
        <f t="array" ref="C74">INDEX('informe de Gestión 2021-2025'!D:D, MATCH(S74,#REF!, 0), )</f>
        <v>#REF!</v>
      </c>
      <c r="D74" s="47" t="e">
        <f t="array" ref="D74">INDEX('informe de Gestión 2021-2025'!I:I, MATCH(S74,#REF!, 0), )</f>
        <v>#REF!</v>
      </c>
      <c r="E74" s="47" t="e">
        <f t="array" ref="E74">INDEX('informe de Gestión 2021-2025'!K:K, MATCH(S74,#REF!, 0), )</f>
        <v>#REF!</v>
      </c>
      <c r="F74" s="47" t="e">
        <f t="shared" si="0"/>
        <v>#REF!</v>
      </c>
      <c r="G74" s="45" t="e">
        <f t="array" ref="G74">INDEX('informe de Gestión 2021-2025'!#REF!, MATCH(S74,#REF!, 0), )</f>
        <v>#REF!</v>
      </c>
      <c r="H74" s="48" t="e">
        <f t="shared" si="1"/>
        <v>#REF!</v>
      </c>
      <c r="I74" s="49" t="e">
        <f t="shared" si="2"/>
        <v>#REF!</v>
      </c>
      <c r="J74" s="47" t="e">
        <f t="shared" si="3"/>
        <v>#REF!</v>
      </c>
      <c r="K74" s="47" t="e">
        <f t="shared" si="4"/>
        <v>#REF!</v>
      </c>
      <c r="L74" s="50" t="e">
        <f t="shared" si="5"/>
        <v>#REF!</v>
      </c>
      <c r="M74" s="50" t="e">
        <f t="shared" si="6"/>
        <v>#REF!</v>
      </c>
      <c r="N74" s="47" t="e">
        <f t="shared" si="7"/>
        <v>#REF!</v>
      </c>
      <c r="O74" s="47" t="e">
        <f t="shared" si="8"/>
        <v>#REF!</v>
      </c>
      <c r="P74" s="45">
        <v>-5.9944444444444445</v>
      </c>
      <c r="Q74" s="45">
        <v>-79.724444444444444</v>
      </c>
      <c r="R74" s="45" t="s">
        <v>671</v>
      </c>
      <c r="S74" s="51" t="s">
        <v>672</v>
      </c>
      <c r="U74" s="52"/>
    </row>
    <row r="75" spans="1:21" ht="17.25" customHeight="1" x14ac:dyDescent="0.3">
      <c r="A75" s="45">
        <v>74</v>
      </c>
      <c r="B75" s="46" t="e">
        <f t="array" ref="B75">INDEX('informe de Gestión 2021-2025'!C:C, MATCH(S75,#REF!, 0), )</f>
        <v>#REF!</v>
      </c>
      <c r="C75" s="47" t="e">
        <f t="array" ref="C75">INDEX('informe de Gestión 2021-2025'!D:D, MATCH(S75,#REF!, 0), )</f>
        <v>#REF!</v>
      </c>
      <c r="D75" s="47" t="e">
        <f t="array" ref="D75">INDEX('informe de Gestión 2021-2025'!I:I, MATCH(S75,#REF!, 0), )</f>
        <v>#REF!</v>
      </c>
      <c r="E75" s="47" t="e">
        <f t="array" ref="E75">INDEX('informe de Gestión 2021-2025'!K:K, MATCH(S75,#REF!, 0), )</f>
        <v>#REF!</v>
      </c>
      <c r="F75" s="47" t="e">
        <f t="shared" si="0"/>
        <v>#REF!</v>
      </c>
      <c r="G75" s="45" t="e">
        <f t="array" ref="G75">INDEX('informe de Gestión 2021-2025'!#REF!, MATCH(S75,#REF!, 0), )</f>
        <v>#REF!</v>
      </c>
      <c r="H75" s="48" t="e">
        <f t="shared" si="1"/>
        <v>#REF!</v>
      </c>
      <c r="I75" s="49" t="e">
        <f t="shared" si="2"/>
        <v>#REF!</v>
      </c>
      <c r="J75" s="47" t="e">
        <f t="shared" si="3"/>
        <v>#REF!</v>
      </c>
      <c r="K75" s="47" t="e">
        <f t="shared" si="4"/>
        <v>#REF!</v>
      </c>
      <c r="L75" s="50" t="e">
        <f t="shared" si="5"/>
        <v>#REF!</v>
      </c>
      <c r="M75" s="50" t="e">
        <f t="shared" si="6"/>
        <v>#REF!</v>
      </c>
      <c r="N75" s="47" t="e">
        <f t="shared" si="7"/>
        <v>#REF!</v>
      </c>
      <c r="O75" s="47" t="e">
        <f t="shared" si="8"/>
        <v>#REF!</v>
      </c>
      <c r="P75" s="45">
        <v>-7.907491666666667</v>
      </c>
      <c r="Q75" s="45">
        <v>-78.571336111111108</v>
      </c>
      <c r="R75" s="45" t="s">
        <v>673</v>
      </c>
      <c r="S75" s="51" t="s">
        <v>674</v>
      </c>
      <c r="U75" s="52"/>
    </row>
    <row r="76" spans="1:21" ht="17.25" customHeight="1" x14ac:dyDescent="0.3">
      <c r="A76" s="45">
        <v>75</v>
      </c>
      <c r="B76" s="46" t="e">
        <f t="array" ref="B76">INDEX('informe de Gestión 2021-2025'!C:C, MATCH(S76,#REF!, 0), )</f>
        <v>#REF!</v>
      </c>
      <c r="C76" s="47" t="e">
        <f t="array" ref="C76">INDEX('informe de Gestión 2021-2025'!D:D, MATCH(S76,#REF!, 0), )</f>
        <v>#REF!</v>
      </c>
      <c r="D76" s="47" t="e">
        <f t="array" ref="D76">INDEX('informe de Gestión 2021-2025'!I:I, MATCH(S76,#REF!, 0), )</f>
        <v>#REF!</v>
      </c>
      <c r="E76" s="47" t="e">
        <f t="array" ref="E76">INDEX('informe de Gestión 2021-2025'!K:K, MATCH(S76,#REF!, 0), )</f>
        <v>#REF!</v>
      </c>
      <c r="F76" s="47" t="e">
        <f t="shared" si="0"/>
        <v>#REF!</v>
      </c>
      <c r="G76" s="45" t="e">
        <f t="array" ref="G76">INDEX('informe de Gestión 2021-2025'!#REF!, MATCH(S76,#REF!, 0), )</f>
        <v>#REF!</v>
      </c>
      <c r="H76" s="48" t="e">
        <f t="shared" si="1"/>
        <v>#REF!</v>
      </c>
      <c r="I76" s="49" t="e">
        <f t="shared" si="2"/>
        <v>#REF!</v>
      </c>
      <c r="J76" s="47" t="e">
        <f t="shared" si="3"/>
        <v>#REF!</v>
      </c>
      <c r="K76" s="47" t="e">
        <f t="shared" si="4"/>
        <v>#REF!</v>
      </c>
      <c r="L76" s="50" t="e">
        <f t="shared" si="5"/>
        <v>#REF!</v>
      </c>
      <c r="M76" s="50" t="e">
        <f t="shared" si="6"/>
        <v>#REF!</v>
      </c>
      <c r="N76" s="47" t="e">
        <f t="shared" si="7"/>
        <v>#REF!</v>
      </c>
      <c r="O76" s="47" t="e">
        <f t="shared" si="8"/>
        <v>#REF!</v>
      </c>
      <c r="P76" s="45">
        <v>-7.4168666666666674</v>
      </c>
      <c r="Q76" s="45">
        <v>-79.559583333333336</v>
      </c>
      <c r="R76" s="45" t="s">
        <v>675</v>
      </c>
      <c r="S76" s="51" t="s">
        <v>676</v>
      </c>
      <c r="U76" s="52"/>
    </row>
    <row r="77" spans="1:21" ht="17.25" customHeight="1" x14ac:dyDescent="0.3">
      <c r="A77" s="45">
        <v>76</v>
      </c>
      <c r="B77" s="46" t="e">
        <f t="array" ref="B77">INDEX('informe de Gestión 2021-2025'!C:C, MATCH(S77,#REF!, 0), )</f>
        <v>#REF!</v>
      </c>
      <c r="C77" s="47" t="e">
        <f t="array" ref="C77">INDEX('informe de Gestión 2021-2025'!D:D, MATCH(S77,#REF!, 0), )</f>
        <v>#REF!</v>
      </c>
      <c r="D77" s="47" t="e">
        <f t="array" ref="D77">INDEX('informe de Gestión 2021-2025'!I:I, MATCH(S77,#REF!, 0), )</f>
        <v>#REF!</v>
      </c>
      <c r="E77" s="47" t="e">
        <f t="array" ref="E77">INDEX('informe de Gestión 2021-2025'!K:K, MATCH(S77,#REF!, 0), )</f>
        <v>#REF!</v>
      </c>
      <c r="F77" s="47" t="e">
        <f t="shared" si="0"/>
        <v>#REF!</v>
      </c>
      <c r="G77" s="45" t="e">
        <f t="array" ref="G77">INDEX('informe de Gestión 2021-2025'!#REF!, MATCH(S77,#REF!, 0), )</f>
        <v>#REF!</v>
      </c>
      <c r="H77" s="48" t="e">
        <f t="shared" si="1"/>
        <v>#REF!</v>
      </c>
      <c r="I77" s="49" t="e">
        <f t="shared" si="2"/>
        <v>#REF!</v>
      </c>
      <c r="J77" s="47" t="e">
        <f t="shared" si="3"/>
        <v>#REF!</v>
      </c>
      <c r="K77" s="47" t="e">
        <f t="shared" si="4"/>
        <v>#REF!</v>
      </c>
      <c r="L77" s="50" t="e">
        <f t="shared" si="5"/>
        <v>#REF!</v>
      </c>
      <c r="M77" s="50" t="e">
        <f t="shared" si="6"/>
        <v>#REF!</v>
      </c>
      <c r="N77" s="47" t="e">
        <f t="shared" si="7"/>
        <v>#REF!</v>
      </c>
      <c r="O77" s="47" t="e">
        <f t="shared" si="8"/>
        <v>#REF!</v>
      </c>
      <c r="P77" s="45">
        <v>-5.1031944444444441</v>
      </c>
      <c r="Q77" s="45">
        <v>-81.090916666666658</v>
      </c>
      <c r="R77" s="45" t="s">
        <v>677</v>
      </c>
      <c r="S77" s="51" t="s">
        <v>678</v>
      </c>
      <c r="U77" s="52"/>
    </row>
    <row r="78" spans="1:21" ht="17.25" customHeight="1" x14ac:dyDescent="0.3">
      <c r="A78" s="45">
        <v>77</v>
      </c>
      <c r="B78" s="46" t="e">
        <f t="array" ref="B78">INDEX('informe de Gestión 2021-2025'!C:C, MATCH(S78,#REF!, 0), )</f>
        <v>#REF!</v>
      </c>
      <c r="C78" s="47" t="e">
        <f t="array" ref="C78">INDEX('informe de Gestión 2021-2025'!D:D, MATCH(S78,#REF!, 0), )</f>
        <v>#REF!</v>
      </c>
      <c r="D78" s="47" t="e">
        <f t="array" ref="D78">INDEX('informe de Gestión 2021-2025'!I:I, MATCH(S78,#REF!, 0), )</f>
        <v>#REF!</v>
      </c>
      <c r="E78" s="47" t="e">
        <f t="array" ref="E78">INDEX('informe de Gestión 2021-2025'!K:K, MATCH(S78,#REF!, 0), )</f>
        <v>#REF!</v>
      </c>
      <c r="F78" s="47" t="e">
        <f t="shared" si="0"/>
        <v>#REF!</v>
      </c>
      <c r="G78" s="45" t="e">
        <f t="array" ref="G78">INDEX('informe de Gestión 2021-2025'!#REF!, MATCH(S78,#REF!, 0), )</f>
        <v>#REF!</v>
      </c>
      <c r="H78" s="48" t="e">
        <f t="shared" si="1"/>
        <v>#REF!</v>
      </c>
      <c r="I78" s="49" t="e">
        <f t="shared" si="2"/>
        <v>#REF!</v>
      </c>
      <c r="J78" s="47" t="e">
        <f t="shared" si="3"/>
        <v>#REF!</v>
      </c>
      <c r="K78" s="47" t="e">
        <f t="shared" si="4"/>
        <v>#REF!</v>
      </c>
      <c r="L78" s="50" t="e">
        <f t="shared" si="5"/>
        <v>#REF!</v>
      </c>
      <c r="M78" s="50" t="e">
        <f t="shared" si="6"/>
        <v>#REF!</v>
      </c>
      <c r="N78" s="47" t="e">
        <f t="shared" si="7"/>
        <v>#REF!</v>
      </c>
      <c r="O78" s="47" t="e">
        <f t="shared" si="8"/>
        <v>#REF!</v>
      </c>
      <c r="P78" s="45">
        <v>-9.0732416666666662</v>
      </c>
      <c r="Q78" s="45">
        <v>-77.97956388888889</v>
      </c>
      <c r="R78" s="45" t="s">
        <v>679</v>
      </c>
      <c r="S78" s="51" t="s">
        <v>680</v>
      </c>
      <c r="U78" s="52"/>
    </row>
    <row r="79" spans="1:21" ht="17.25" customHeight="1" x14ac:dyDescent="0.3">
      <c r="A79" s="45">
        <v>78</v>
      </c>
      <c r="B79" s="46" t="e">
        <f t="array" ref="B79">INDEX('informe de Gestión 2021-2025'!C:C, MATCH(S79,#REF!, 0), )</f>
        <v>#REF!</v>
      </c>
      <c r="C79" s="47" t="e">
        <f t="array" ref="C79">INDEX('informe de Gestión 2021-2025'!D:D, MATCH(S79,#REF!, 0), )</f>
        <v>#REF!</v>
      </c>
      <c r="D79" s="47" t="e">
        <f t="array" ref="D79">INDEX('informe de Gestión 2021-2025'!I:I, MATCH(S79,#REF!, 0), )</f>
        <v>#REF!</v>
      </c>
      <c r="E79" s="47" t="e">
        <f t="array" ref="E79">INDEX('informe de Gestión 2021-2025'!K:K, MATCH(S79,#REF!, 0), )</f>
        <v>#REF!</v>
      </c>
      <c r="F79" s="47" t="e">
        <f t="shared" si="0"/>
        <v>#REF!</v>
      </c>
      <c r="G79" s="45" t="e">
        <f t="array" ref="G79">INDEX('informe de Gestión 2021-2025'!#REF!, MATCH(S79,#REF!, 0), )</f>
        <v>#REF!</v>
      </c>
      <c r="H79" s="48" t="e">
        <f t="shared" si="1"/>
        <v>#REF!</v>
      </c>
      <c r="I79" s="49" t="e">
        <f t="shared" si="2"/>
        <v>#REF!</v>
      </c>
      <c r="J79" s="47" t="e">
        <f t="shared" si="3"/>
        <v>#REF!</v>
      </c>
      <c r="K79" s="47" t="e">
        <f t="shared" si="4"/>
        <v>#REF!</v>
      </c>
      <c r="L79" s="50" t="e">
        <f t="shared" si="5"/>
        <v>#REF!</v>
      </c>
      <c r="M79" s="50" t="e">
        <f t="shared" si="6"/>
        <v>#REF!</v>
      </c>
      <c r="N79" s="47" t="e">
        <f t="shared" si="7"/>
        <v>#REF!</v>
      </c>
      <c r="O79" s="47" t="e">
        <f t="shared" si="8"/>
        <v>#REF!</v>
      </c>
      <c r="P79" s="45">
        <v>-8.0136666666666674</v>
      </c>
      <c r="Q79" s="45">
        <v>-77.473333333333329</v>
      </c>
      <c r="R79" s="45" t="s">
        <v>681</v>
      </c>
      <c r="S79" s="51" t="s">
        <v>682</v>
      </c>
      <c r="U79" s="52"/>
    </row>
    <row r="80" spans="1:21" ht="17.25" customHeight="1" x14ac:dyDescent="0.3">
      <c r="A80" s="45">
        <v>79</v>
      </c>
      <c r="B80" s="46" t="e">
        <f t="array" ref="B80">INDEX('informe de Gestión 2021-2025'!C:C, MATCH(S80,#REF!, 0), )</f>
        <v>#REF!</v>
      </c>
      <c r="C80" s="47" t="e">
        <f t="array" ref="C80">INDEX('informe de Gestión 2021-2025'!D:D, MATCH(S80,#REF!, 0), )</f>
        <v>#REF!</v>
      </c>
      <c r="D80" s="47" t="e">
        <f t="array" ref="D80">INDEX('informe de Gestión 2021-2025'!I:I, MATCH(S80,#REF!, 0), )</f>
        <v>#REF!</v>
      </c>
      <c r="E80" s="47" t="e">
        <f t="array" ref="E80">INDEX('informe de Gestión 2021-2025'!K:K, MATCH(S80,#REF!, 0), )</f>
        <v>#REF!</v>
      </c>
      <c r="F80" s="47" t="e">
        <f t="shared" si="0"/>
        <v>#REF!</v>
      </c>
      <c r="G80" s="45" t="e">
        <f t="array" ref="G80">INDEX('informe de Gestión 2021-2025'!#REF!, MATCH(S80,#REF!, 0), )</f>
        <v>#REF!</v>
      </c>
      <c r="H80" s="48" t="e">
        <f t="shared" si="1"/>
        <v>#REF!</v>
      </c>
      <c r="I80" s="49" t="e">
        <f t="shared" si="2"/>
        <v>#REF!</v>
      </c>
      <c r="J80" s="47" t="e">
        <f t="shared" si="3"/>
        <v>#REF!</v>
      </c>
      <c r="K80" s="47" t="e">
        <f t="shared" si="4"/>
        <v>#REF!</v>
      </c>
      <c r="L80" s="50" t="e">
        <f t="shared" si="5"/>
        <v>#REF!</v>
      </c>
      <c r="M80" s="50" t="e">
        <f t="shared" si="6"/>
        <v>#REF!</v>
      </c>
      <c r="N80" s="47" t="e">
        <f t="shared" si="7"/>
        <v>#REF!</v>
      </c>
      <c r="O80" s="47" t="e">
        <f t="shared" si="8"/>
        <v>#REF!</v>
      </c>
      <c r="P80" s="45">
        <v>-9.5469444444444438</v>
      </c>
      <c r="Q80" s="45">
        <v>-77.885416666666671</v>
      </c>
      <c r="R80" s="45" t="s">
        <v>683</v>
      </c>
      <c r="S80" s="51" t="s">
        <v>684</v>
      </c>
      <c r="U80" s="52"/>
    </row>
    <row r="81" spans="1:21" ht="17.25" customHeight="1" x14ac:dyDescent="0.3">
      <c r="A81" s="45">
        <v>80</v>
      </c>
      <c r="B81" s="46" t="e">
        <f t="array" ref="B81">INDEX('informe de Gestión 2021-2025'!C:C, MATCH(S81,#REF!, 0), )</f>
        <v>#REF!</v>
      </c>
      <c r="C81" s="47" t="e">
        <f t="array" ref="C81">INDEX('informe de Gestión 2021-2025'!D:D, MATCH(S81,#REF!, 0), )</f>
        <v>#REF!</v>
      </c>
      <c r="D81" s="47" t="e">
        <f t="array" ref="D81">INDEX('informe de Gestión 2021-2025'!I:I, MATCH(S81,#REF!, 0), )</f>
        <v>#REF!</v>
      </c>
      <c r="E81" s="47" t="e">
        <f t="array" ref="E81">INDEX('informe de Gestión 2021-2025'!K:K, MATCH(S81,#REF!, 0), )</f>
        <v>#REF!</v>
      </c>
      <c r="F81" s="47" t="e">
        <f t="shared" si="0"/>
        <v>#REF!</v>
      </c>
      <c r="G81" s="45" t="e">
        <f t="array" ref="G81">INDEX('informe de Gestión 2021-2025'!#REF!, MATCH(S81,#REF!, 0), )</f>
        <v>#REF!</v>
      </c>
      <c r="H81" s="48" t="e">
        <f t="shared" si="1"/>
        <v>#REF!</v>
      </c>
      <c r="I81" s="49" t="e">
        <f t="shared" si="2"/>
        <v>#REF!</v>
      </c>
      <c r="J81" s="47" t="e">
        <f t="shared" si="3"/>
        <v>#REF!</v>
      </c>
      <c r="K81" s="47" t="e">
        <f t="shared" si="4"/>
        <v>#REF!</v>
      </c>
      <c r="L81" s="50" t="e">
        <f t="shared" si="5"/>
        <v>#REF!</v>
      </c>
      <c r="M81" s="50" t="e">
        <f t="shared" si="6"/>
        <v>#REF!</v>
      </c>
      <c r="N81" s="47" t="e">
        <f t="shared" si="7"/>
        <v>#REF!</v>
      </c>
      <c r="O81" s="47" t="e">
        <f t="shared" si="8"/>
        <v>#REF!</v>
      </c>
      <c r="P81" s="45">
        <v>-8.697166666666666</v>
      </c>
      <c r="Q81" s="45">
        <v>-77.430055555555555</v>
      </c>
      <c r="R81" s="45" t="s">
        <v>685</v>
      </c>
      <c r="S81" s="51" t="s">
        <v>686</v>
      </c>
      <c r="U81" s="52"/>
    </row>
    <row r="82" spans="1:21" ht="17.25" customHeight="1" x14ac:dyDescent="0.3">
      <c r="A82" s="45">
        <v>81</v>
      </c>
      <c r="B82" s="46" t="e">
        <f t="array" ref="B82">INDEX('informe de Gestión 2021-2025'!C:C, MATCH(S82,#REF!, 0), )</f>
        <v>#REF!</v>
      </c>
      <c r="C82" s="47" t="e">
        <f t="array" ref="C82">INDEX('informe de Gestión 2021-2025'!D:D, MATCH(S82,#REF!, 0), )</f>
        <v>#REF!</v>
      </c>
      <c r="D82" s="47" t="e">
        <f t="array" ref="D82">INDEX('informe de Gestión 2021-2025'!I:I, MATCH(S82,#REF!, 0), )</f>
        <v>#REF!</v>
      </c>
      <c r="E82" s="47" t="e">
        <f t="array" ref="E82">INDEX('informe de Gestión 2021-2025'!K:K, MATCH(S82,#REF!, 0), )</f>
        <v>#REF!</v>
      </c>
      <c r="F82" s="47" t="e">
        <f t="shared" si="0"/>
        <v>#REF!</v>
      </c>
      <c r="G82" s="45" t="e">
        <f t="array" ref="G82">INDEX('informe de Gestión 2021-2025'!#REF!, MATCH(S82,#REF!, 0), )</f>
        <v>#REF!</v>
      </c>
      <c r="H82" s="48" t="e">
        <f t="shared" si="1"/>
        <v>#REF!</v>
      </c>
      <c r="I82" s="49" t="e">
        <f t="shared" si="2"/>
        <v>#REF!</v>
      </c>
      <c r="J82" s="47" t="e">
        <f t="shared" si="3"/>
        <v>#REF!</v>
      </c>
      <c r="K82" s="47" t="e">
        <f t="shared" si="4"/>
        <v>#REF!</v>
      </c>
      <c r="L82" s="50" t="e">
        <f t="shared" si="5"/>
        <v>#REF!</v>
      </c>
      <c r="M82" s="50" t="e">
        <f t="shared" si="6"/>
        <v>#REF!</v>
      </c>
      <c r="N82" s="47" t="e">
        <f t="shared" si="7"/>
        <v>#REF!</v>
      </c>
      <c r="O82" s="47" t="e">
        <f t="shared" si="8"/>
        <v>#REF!</v>
      </c>
      <c r="P82" s="45">
        <v>-7.7625388888888889</v>
      </c>
      <c r="Q82" s="45">
        <v>-77.596466666666657</v>
      </c>
      <c r="R82" s="45" t="s">
        <v>687</v>
      </c>
      <c r="S82" s="51" t="s">
        <v>688</v>
      </c>
      <c r="U82" s="52"/>
    </row>
    <row r="83" spans="1:21" ht="17.25" customHeight="1" x14ac:dyDescent="0.3">
      <c r="A83" s="45">
        <v>82</v>
      </c>
      <c r="B83" s="46" t="e">
        <f t="array" ref="B83">INDEX('informe de Gestión 2021-2025'!C:C, MATCH(S83,#REF!, 0), )</f>
        <v>#REF!</v>
      </c>
      <c r="C83" s="47" t="e">
        <f t="array" ref="C83">INDEX('informe de Gestión 2021-2025'!D:D, MATCH(S83,#REF!, 0), )</f>
        <v>#REF!</v>
      </c>
      <c r="D83" s="47" t="e">
        <f t="array" ref="D83">INDEX('informe de Gestión 2021-2025'!I:I, MATCH(S83,#REF!, 0), )</f>
        <v>#REF!</v>
      </c>
      <c r="E83" s="47" t="e">
        <f t="array" ref="E83">INDEX('informe de Gestión 2021-2025'!K:K, MATCH(S83,#REF!, 0), )</f>
        <v>#REF!</v>
      </c>
      <c r="F83" s="47" t="e">
        <f t="shared" si="0"/>
        <v>#REF!</v>
      </c>
      <c r="G83" s="45" t="e">
        <f t="array" ref="G83">INDEX('informe de Gestión 2021-2025'!#REF!, MATCH(S83,#REF!, 0), )</f>
        <v>#REF!</v>
      </c>
      <c r="H83" s="48" t="e">
        <f t="shared" si="1"/>
        <v>#REF!</v>
      </c>
      <c r="I83" s="49" t="e">
        <f t="shared" si="2"/>
        <v>#REF!</v>
      </c>
      <c r="J83" s="47" t="e">
        <f t="shared" si="3"/>
        <v>#REF!</v>
      </c>
      <c r="K83" s="47" t="e">
        <f t="shared" si="4"/>
        <v>#REF!</v>
      </c>
      <c r="L83" s="50" t="e">
        <f t="shared" si="5"/>
        <v>#REF!</v>
      </c>
      <c r="M83" s="50" t="e">
        <f t="shared" si="6"/>
        <v>#REF!</v>
      </c>
      <c r="N83" s="47" t="e">
        <f t="shared" si="7"/>
        <v>#REF!</v>
      </c>
      <c r="O83" s="47" t="e">
        <f t="shared" si="8"/>
        <v>#REF!</v>
      </c>
      <c r="P83" s="45">
        <v>-7.334888888888889</v>
      </c>
      <c r="Q83" s="45">
        <v>-78.17391666666667</v>
      </c>
      <c r="R83" s="45" t="s">
        <v>689</v>
      </c>
      <c r="S83" s="51" t="s">
        <v>690</v>
      </c>
      <c r="U83" s="52"/>
    </row>
    <row r="84" spans="1:21" ht="17.25" customHeight="1" x14ac:dyDescent="0.3">
      <c r="A84" s="45">
        <v>83</v>
      </c>
      <c r="B84" s="46" t="e">
        <f t="array" ref="B84">INDEX('informe de Gestión 2021-2025'!C:C, MATCH(S84,#REF!, 0), )</f>
        <v>#REF!</v>
      </c>
      <c r="C84" s="47" t="e">
        <f t="array" ref="C84">INDEX('informe de Gestión 2021-2025'!D:D, MATCH(S84,#REF!, 0), )</f>
        <v>#REF!</v>
      </c>
      <c r="D84" s="47" t="e">
        <f t="array" ref="D84">INDEX('informe de Gestión 2021-2025'!I:I, MATCH(S84,#REF!, 0), )</f>
        <v>#REF!</v>
      </c>
      <c r="E84" s="47" t="e">
        <f t="array" ref="E84">INDEX('informe de Gestión 2021-2025'!K:K, MATCH(S84,#REF!, 0), )</f>
        <v>#REF!</v>
      </c>
      <c r="F84" s="47" t="e">
        <f t="shared" si="0"/>
        <v>#REF!</v>
      </c>
      <c r="G84" s="45" t="e">
        <f t="array" ref="G84">INDEX('informe de Gestión 2021-2025'!#REF!, MATCH(S84,#REF!, 0), )</f>
        <v>#REF!</v>
      </c>
      <c r="H84" s="48" t="e">
        <f t="shared" si="1"/>
        <v>#REF!</v>
      </c>
      <c r="I84" s="49" t="e">
        <f t="shared" si="2"/>
        <v>#REF!</v>
      </c>
      <c r="J84" s="47" t="e">
        <f t="shared" si="3"/>
        <v>#REF!</v>
      </c>
      <c r="K84" s="47" t="e">
        <f t="shared" si="4"/>
        <v>#REF!</v>
      </c>
      <c r="L84" s="50" t="e">
        <f t="shared" si="5"/>
        <v>#REF!</v>
      </c>
      <c r="M84" s="50" t="e">
        <f t="shared" si="6"/>
        <v>#REF!</v>
      </c>
      <c r="N84" s="47" t="e">
        <f t="shared" si="7"/>
        <v>#REF!</v>
      </c>
      <c r="O84" s="47" t="e">
        <f t="shared" si="8"/>
        <v>#REF!</v>
      </c>
      <c r="P84" s="45">
        <v>-7.3811138888888888</v>
      </c>
      <c r="Q84" s="45">
        <v>-78.09963888888889</v>
      </c>
      <c r="R84" s="45" t="s">
        <v>691</v>
      </c>
      <c r="S84" s="51" t="s">
        <v>692</v>
      </c>
      <c r="U84" s="52"/>
    </row>
    <row r="85" spans="1:21" ht="17.25" customHeight="1" x14ac:dyDescent="0.3">
      <c r="A85" s="45">
        <v>84</v>
      </c>
      <c r="B85" s="46" t="e">
        <f t="array" ref="B85">INDEX('informe de Gestión 2021-2025'!C:C, MATCH(S85,#REF!, 0), )</f>
        <v>#REF!</v>
      </c>
      <c r="C85" s="47" t="e">
        <f t="array" ref="C85">INDEX('informe de Gestión 2021-2025'!D:D, MATCH(S85,#REF!, 0), )</f>
        <v>#REF!</v>
      </c>
      <c r="D85" s="47" t="e">
        <f t="array" ref="D85">INDEX('informe de Gestión 2021-2025'!I:I, MATCH(S85,#REF!, 0), )</f>
        <v>#REF!</v>
      </c>
      <c r="E85" s="47" t="e">
        <f t="array" ref="E85">INDEX('informe de Gestión 2021-2025'!K:K, MATCH(S85,#REF!, 0), )</f>
        <v>#REF!</v>
      </c>
      <c r="F85" s="47" t="e">
        <f t="shared" si="0"/>
        <v>#REF!</v>
      </c>
      <c r="G85" s="45" t="e">
        <f t="array" ref="G85">INDEX('informe de Gestión 2021-2025'!#REF!, MATCH(S85,#REF!, 0), )</f>
        <v>#REF!</v>
      </c>
      <c r="H85" s="48" t="e">
        <f t="shared" si="1"/>
        <v>#REF!</v>
      </c>
      <c r="I85" s="49" t="e">
        <f t="shared" si="2"/>
        <v>#REF!</v>
      </c>
      <c r="J85" s="47" t="e">
        <f t="shared" si="3"/>
        <v>#REF!</v>
      </c>
      <c r="K85" s="47" t="e">
        <f t="shared" si="4"/>
        <v>#REF!</v>
      </c>
      <c r="L85" s="50" t="e">
        <f t="shared" si="5"/>
        <v>#REF!</v>
      </c>
      <c r="M85" s="50" t="e">
        <f t="shared" si="6"/>
        <v>#REF!</v>
      </c>
      <c r="N85" s="47" t="e">
        <f t="shared" si="7"/>
        <v>#REF!</v>
      </c>
      <c r="O85" s="47" t="e">
        <f t="shared" si="8"/>
        <v>#REF!</v>
      </c>
      <c r="P85" s="45">
        <v>-6.9244166666666667</v>
      </c>
      <c r="Q85" s="45">
        <v>-76.330916666666667</v>
      </c>
      <c r="R85" s="45" t="s">
        <v>693</v>
      </c>
      <c r="S85" s="51" t="s">
        <v>694</v>
      </c>
      <c r="U85" s="52"/>
    </row>
    <row r="86" spans="1:21" ht="17.25" customHeight="1" x14ac:dyDescent="0.3">
      <c r="A86" s="45">
        <v>85</v>
      </c>
      <c r="B86" s="46" t="e">
        <f t="array" ref="B86">INDEX('informe de Gestión 2021-2025'!C:C, MATCH(S86,#REF!, 0), )</f>
        <v>#REF!</v>
      </c>
      <c r="C86" s="47" t="e">
        <f t="array" ref="C86">INDEX('informe de Gestión 2021-2025'!D:D, MATCH(S86,#REF!, 0), )</f>
        <v>#REF!</v>
      </c>
      <c r="D86" s="47" t="e">
        <f t="array" ref="D86">INDEX('informe de Gestión 2021-2025'!I:I, MATCH(S86,#REF!, 0), )</f>
        <v>#REF!</v>
      </c>
      <c r="E86" s="47" t="e">
        <f t="array" ref="E86">INDEX('informe de Gestión 2021-2025'!K:K, MATCH(S86,#REF!, 0), )</f>
        <v>#REF!</v>
      </c>
      <c r="F86" s="47" t="e">
        <f t="shared" si="0"/>
        <v>#REF!</v>
      </c>
      <c r="G86" s="45" t="e">
        <f t="array" ref="G86">INDEX('informe de Gestión 2021-2025'!#REF!, MATCH(S86,#REF!, 0), )</f>
        <v>#REF!</v>
      </c>
      <c r="H86" s="48" t="e">
        <f t="shared" si="1"/>
        <v>#REF!</v>
      </c>
      <c r="I86" s="49" t="e">
        <f t="shared" si="2"/>
        <v>#REF!</v>
      </c>
      <c r="J86" s="47" t="e">
        <f t="shared" si="3"/>
        <v>#REF!</v>
      </c>
      <c r="K86" s="47" t="e">
        <f t="shared" si="4"/>
        <v>#REF!</v>
      </c>
      <c r="L86" s="50" t="e">
        <f t="shared" si="5"/>
        <v>#REF!</v>
      </c>
      <c r="M86" s="50" t="e">
        <f t="shared" si="6"/>
        <v>#REF!</v>
      </c>
      <c r="N86" s="47" t="e">
        <f t="shared" si="7"/>
        <v>#REF!</v>
      </c>
      <c r="O86" s="47" t="e">
        <f t="shared" si="8"/>
        <v>#REF!</v>
      </c>
      <c r="R86" s="45"/>
      <c r="S86" s="51" t="s">
        <v>695</v>
      </c>
      <c r="U86" s="52"/>
    </row>
    <row r="87" spans="1:21" ht="17.25" customHeight="1" x14ac:dyDescent="0.3">
      <c r="A87" s="45">
        <v>86</v>
      </c>
      <c r="B87" s="46" t="e">
        <f t="array" ref="B87">INDEX('informe de Gestión 2021-2025'!C:C, MATCH(S87,#REF!, 0), )</f>
        <v>#REF!</v>
      </c>
      <c r="C87" s="47" t="e">
        <f t="array" ref="C87">INDEX('informe de Gestión 2021-2025'!D:D, MATCH(S87,#REF!, 0), )</f>
        <v>#REF!</v>
      </c>
      <c r="D87" s="47" t="e">
        <f t="array" ref="D87">INDEX('informe de Gestión 2021-2025'!I:I, MATCH(S87,#REF!, 0), )</f>
        <v>#REF!</v>
      </c>
      <c r="E87" s="47" t="e">
        <f t="array" ref="E87">INDEX('informe de Gestión 2021-2025'!K:K, MATCH(S87,#REF!, 0), )</f>
        <v>#REF!</v>
      </c>
      <c r="F87" s="47" t="e">
        <f t="shared" si="0"/>
        <v>#REF!</v>
      </c>
      <c r="G87" s="45" t="e">
        <f t="array" ref="G87">INDEX('informe de Gestión 2021-2025'!#REF!, MATCH(S87,#REF!, 0), )</f>
        <v>#REF!</v>
      </c>
      <c r="H87" s="48" t="e">
        <f t="shared" si="1"/>
        <v>#REF!</v>
      </c>
      <c r="I87" s="49" t="e">
        <f t="shared" si="2"/>
        <v>#REF!</v>
      </c>
      <c r="J87" s="47" t="e">
        <f t="shared" si="3"/>
        <v>#REF!</v>
      </c>
      <c r="K87" s="47" t="e">
        <f t="shared" si="4"/>
        <v>#REF!</v>
      </c>
      <c r="L87" s="50" t="e">
        <f t="shared" si="5"/>
        <v>#REF!</v>
      </c>
      <c r="M87" s="50" t="e">
        <f t="shared" si="6"/>
        <v>#REF!</v>
      </c>
      <c r="N87" s="47" t="e">
        <f t="shared" si="7"/>
        <v>#REF!</v>
      </c>
      <c r="O87" s="47" t="e">
        <f t="shared" si="8"/>
        <v>#REF!</v>
      </c>
      <c r="P87" s="45">
        <v>-8.8637611111111099</v>
      </c>
      <c r="Q87" s="45">
        <v>-77.368547222222219</v>
      </c>
      <c r="R87" s="45" t="s">
        <v>696</v>
      </c>
      <c r="S87" s="51" t="s">
        <v>697</v>
      </c>
      <c r="U87" s="52"/>
    </row>
    <row r="88" spans="1:21" ht="17.25" customHeight="1" x14ac:dyDescent="0.3">
      <c r="A88" s="45">
        <v>87</v>
      </c>
      <c r="B88" s="46" t="e">
        <f t="array" ref="B88">INDEX('informe de Gestión 2021-2025'!C:C, MATCH(S88,#REF!, 0), )</f>
        <v>#REF!</v>
      </c>
      <c r="C88" s="47" t="e">
        <f t="array" ref="C88">INDEX('informe de Gestión 2021-2025'!D:D, MATCH(S88,#REF!, 0), )</f>
        <v>#REF!</v>
      </c>
      <c r="D88" s="47" t="e">
        <f t="array" ref="D88">INDEX('informe de Gestión 2021-2025'!I:I, MATCH(S88,#REF!, 0), )</f>
        <v>#REF!</v>
      </c>
      <c r="E88" s="47" t="e">
        <f t="array" ref="E88">INDEX('informe de Gestión 2021-2025'!K:K, MATCH(S88,#REF!, 0), )</f>
        <v>#REF!</v>
      </c>
      <c r="F88" s="47" t="e">
        <f t="shared" si="0"/>
        <v>#REF!</v>
      </c>
      <c r="G88" s="45" t="e">
        <f t="array" ref="G88">INDEX('informe de Gestión 2021-2025'!#REF!, MATCH(S88,#REF!, 0), )</f>
        <v>#REF!</v>
      </c>
      <c r="H88" s="48" t="e">
        <f t="shared" si="1"/>
        <v>#REF!</v>
      </c>
      <c r="I88" s="49" t="e">
        <f t="shared" si="2"/>
        <v>#REF!</v>
      </c>
      <c r="J88" s="47" t="e">
        <f t="shared" si="3"/>
        <v>#REF!</v>
      </c>
      <c r="K88" s="47" t="e">
        <f t="shared" si="4"/>
        <v>#REF!</v>
      </c>
      <c r="L88" s="50" t="e">
        <f t="shared" si="5"/>
        <v>#REF!</v>
      </c>
      <c r="M88" s="50" t="e">
        <f t="shared" si="6"/>
        <v>#REF!</v>
      </c>
      <c r="N88" s="47" t="e">
        <f t="shared" si="7"/>
        <v>#REF!</v>
      </c>
      <c r="O88" s="47" t="e">
        <f t="shared" si="8"/>
        <v>#REF!</v>
      </c>
      <c r="P88" s="45">
        <v>-5.2031444444444448</v>
      </c>
      <c r="Q88" s="45">
        <v>-80.632061111111099</v>
      </c>
      <c r="R88" s="45" t="s">
        <v>698</v>
      </c>
      <c r="S88" s="51" t="s">
        <v>699</v>
      </c>
      <c r="U88" s="52"/>
    </row>
    <row r="89" spans="1:21" ht="17.25" customHeight="1" x14ac:dyDescent="0.3">
      <c r="A89" s="45">
        <v>88</v>
      </c>
      <c r="B89" s="46" t="e">
        <f t="array" ref="B89">INDEX('informe de Gestión 2021-2025'!C:C, MATCH(S89,#REF!, 0), )</f>
        <v>#REF!</v>
      </c>
      <c r="C89" s="47" t="e">
        <f t="array" ref="C89">INDEX('informe de Gestión 2021-2025'!D:D, MATCH(S89,#REF!, 0), )</f>
        <v>#REF!</v>
      </c>
      <c r="D89" s="47" t="e">
        <f t="array" ref="D89">INDEX('informe de Gestión 2021-2025'!I:I, MATCH(S89,#REF!, 0), )</f>
        <v>#REF!</v>
      </c>
      <c r="E89" s="47" t="e">
        <f t="array" ref="E89">INDEX('informe de Gestión 2021-2025'!K:K, MATCH(S89,#REF!, 0), )</f>
        <v>#REF!</v>
      </c>
      <c r="F89" s="47" t="e">
        <f t="shared" si="0"/>
        <v>#REF!</v>
      </c>
      <c r="G89" s="45" t="e">
        <f t="array" ref="G89">INDEX('informe de Gestión 2021-2025'!#REF!, MATCH(S89,#REF!, 0), )</f>
        <v>#REF!</v>
      </c>
      <c r="H89" s="48" t="e">
        <f t="shared" si="1"/>
        <v>#REF!</v>
      </c>
      <c r="I89" s="49" t="e">
        <f t="shared" si="2"/>
        <v>#REF!</v>
      </c>
      <c r="J89" s="47" t="e">
        <f t="shared" si="3"/>
        <v>#REF!</v>
      </c>
      <c r="K89" s="47" t="e">
        <f t="shared" si="4"/>
        <v>#REF!</v>
      </c>
      <c r="L89" s="50" t="e">
        <f t="shared" si="5"/>
        <v>#REF!</v>
      </c>
      <c r="M89" s="50" t="e">
        <f t="shared" si="6"/>
        <v>#REF!</v>
      </c>
      <c r="N89" s="47" t="e">
        <f t="shared" si="7"/>
        <v>#REF!</v>
      </c>
      <c r="O89" s="47" t="e">
        <f t="shared" si="8"/>
        <v>#REF!</v>
      </c>
      <c r="P89" s="45">
        <v>-5.1332499999999994</v>
      </c>
      <c r="Q89" s="45">
        <v>-80.642638888888897</v>
      </c>
      <c r="R89" s="45" t="s">
        <v>700</v>
      </c>
      <c r="S89" s="51" t="s">
        <v>701</v>
      </c>
      <c r="U89" s="52"/>
    </row>
    <row r="90" spans="1:21" ht="17.25" customHeight="1" x14ac:dyDescent="0.3">
      <c r="A90" s="45">
        <v>89</v>
      </c>
      <c r="B90" s="46" t="e">
        <f t="array" ref="B90">INDEX('informe de Gestión 2021-2025'!C:C, MATCH(S90,#REF!, 0), )</f>
        <v>#REF!</v>
      </c>
      <c r="C90" s="47" t="e">
        <f t="array" ref="C90">INDEX('informe de Gestión 2021-2025'!D:D, MATCH(S90,#REF!, 0), )</f>
        <v>#REF!</v>
      </c>
      <c r="D90" s="47" t="e">
        <f t="array" ref="D90">INDEX('informe de Gestión 2021-2025'!I:I, MATCH(S90,#REF!, 0), )</f>
        <v>#REF!</v>
      </c>
      <c r="E90" s="47" t="e">
        <f t="array" ref="E90">INDEX('informe de Gestión 2021-2025'!K:K, MATCH(S90,#REF!, 0), )</f>
        <v>#REF!</v>
      </c>
      <c r="F90" s="47" t="e">
        <f t="shared" si="0"/>
        <v>#REF!</v>
      </c>
      <c r="G90" s="45" t="e">
        <f t="array" ref="G90">INDEX('informe de Gestión 2021-2025'!#REF!, MATCH(S90,#REF!, 0), )</f>
        <v>#REF!</v>
      </c>
      <c r="H90" s="48" t="e">
        <f t="shared" si="1"/>
        <v>#REF!</v>
      </c>
      <c r="I90" s="49" t="e">
        <f t="shared" si="2"/>
        <v>#REF!</v>
      </c>
      <c r="J90" s="47" t="e">
        <f t="shared" si="3"/>
        <v>#REF!</v>
      </c>
      <c r="K90" s="47" t="e">
        <f t="shared" si="4"/>
        <v>#REF!</v>
      </c>
      <c r="L90" s="50" t="e">
        <f t="shared" si="5"/>
        <v>#REF!</v>
      </c>
      <c r="M90" s="50" t="e">
        <f t="shared" si="6"/>
        <v>#REF!</v>
      </c>
      <c r="N90" s="47" t="e">
        <f t="shared" si="7"/>
        <v>#REF!</v>
      </c>
      <c r="O90" s="47" t="e">
        <f t="shared" si="8"/>
        <v>#REF!</v>
      </c>
      <c r="P90" s="45">
        <v>-5.1335277777777781</v>
      </c>
      <c r="Q90" s="45">
        <v>-80.641861111111112</v>
      </c>
      <c r="R90" s="45" t="s">
        <v>702</v>
      </c>
      <c r="S90" s="51" t="s">
        <v>703</v>
      </c>
      <c r="U90" s="52"/>
    </row>
    <row r="91" spans="1:21" ht="17.25" customHeight="1" x14ac:dyDescent="0.3">
      <c r="A91" s="45">
        <v>90</v>
      </c>
      <c r="B91" s="46" t="e">
        <f t="array" ref="B91">INDEX('informe de Gestión 2021-2025'!C:C, MATCH(S91,#REF!, 0), )</f>
        <v>#REF!</v>
      </c>
      <c r="C91" s="47" t="e">
        <f t="array" ref="C91">INDEX('informe de Gestión 2021-2025'!D:D, MATCH(S91,#REF!, 0), )</f>
        <v>#REF!</v>
      </c>
      <c r="D91" s="47" t="e">
        <f t="array" ref="D91">INDEX('informe de Gestión 2021-2025'!I:I, MATCH(S91,#REF!, 0), )</f>
        <v>#REF!</v>
      </c>
      <c r="E91" s="47" t="e">
        <f t="array" ref="E91">INDEX('informe de Gestión 2021-2025'!K:K, MATCH(S91,#REF!, 0), )</f>
        <v>#REF!</v>
      </c>
      <c r="F91" s="47" t="e">
        <f t="shared" si="0"/>
        <v>#REF!</v>
      </c>
      <c r="G91" s="45" t="e">
        <f t="array" ref="G91">INDEX('informe de Gestión 2021-2025'!#REF!, MATCH(S91,#REF!, 0), )</f>
        <v>#REF!</v>
      </c>
      <c r="H91" s="48" t="e">
        <f t="shared" si="1"/>
        <v>#REF!</v>
      </c>
      <c r="I91" s="49" t="e">
        <f t="shared" si="2"/>
        <v>#REF!</v>
      </c>
      <c r="J91" s="47" t="e">
        <f t="shared" si="3"/>
        <v>#REF!</v>
      </c>
      <c r="K91" s="47" t="e">
        <f t="shared" si="4"/>
        <v>#REF!</v>
      </c>
      <c r="L91" s="50" t="e">
        <f t="shared" si="5"/>
        <v>#REF!</v>
      </c>
      <c r="M91" s="50" t="e">
        <f t="shared" si="6"/>
        <v>#REF!</v>
      </c>
      <c r="N91" s="47" t="e">
        <f t="shared" si="7"/>
        <v>#REF!</v>
      </c>
      <c r="O91" s="47" t="e">
        <f t="shared" si="8"/>
        <v>#REF!</v>
      </c>
      <c r="P91" s="45">
        <v>-8.8196583333333329</v>
      </c>
      <c r="Q91" s="45">
        <v>-77.467883333333333</v>
      </c>
      <c r="R91" s="45" t="s">
        <v>704</v>
      </c>
      <c r="S91" s="51" t="s">
        <v>705</v>
      </c>
      <c r="U91" s="52"/>
    </row>
    <row r="92" spans="1:21" ht="17.25" customHeight="1" x14ac:dyDescent="0.3">
      <c r="A92" s="45">
        <v>91</v>
      </c>
      <c r="B92" s="46" t="e">
        <f t="array" ref="B92">INDEX('informe de Gestión 2021-2025'!C:C, MATCH(S92,#REF!, 0), )</f>
        <v>#REF!</v>
      </c>
      <c r="C92" s="47" t="e">
        <f t="array" ref="C92">INDEX('informe de Gestión 2021-2025'!D:D, MATCH(S92,#REF!, 0), )</f>
        <v>#REF!</v>
      </c>
      <c r="D92" s="47" t="e">
        <f t="array" ref="D92">INDEX('informe de Gestión 2021-2025'!I:I, MATCH(S92,#REF!, 0), )</f>
        <v>#REF!</v>
      </c>
      <c r="E92" s="47" t="e">
        <f t="array" ref="E92">INDEX('informe de Gestión 2021-2025'!K:K, MATCH(S92,#REF!, 0), )</f>
        <v>#REF!</v>
      </c>
      <c r="F92" s="47" t="e">
        <f t="shared" si="0"/>
        <v>#REF!</v>
      </c>
      <c r="G92" s="45" t="e">
        <f t="array" ref="G92">INDEX('informe de Gestión 2021-2025'!#REF!, MATCH(S92,#REF!, 0), )</f>
        <v>#REF!</v>
      </c>
      <c r="H92" s="48" t="e">
        <f t="shared" si="1"/>
        <v>#REF!</v>
      </c>
      <c r="I92" s="49" t="e">
        <f t="shared" si="2"/>
        <v>#REF!</v>
      </c>
      <c r="J92" s="47" t="e">
        <f t="shared" si="3"/>
        <v>#REF!</v>
      </c>
      <c r="K92" s="47" t="e">
        <f t="shared" si="4"/>
        <v>#REF!</v>
      </c>
      <c r="L92" s="50" t="e">
        <f t="shared" si="5"/>
        <v>#REF!</v>
      </c>
      <c r="M92" s="50" t="e">
        <f t="shared" si="6"/>
        <v>#REF!</v>
      </c>
      <c r="N92" s="47" t="e">
        <f t="shared" si="7"/>
        <v>#REF!</v>
      </c>
      <c r="O92" s="47" t="e">
        <f t="shared" si="8"/>
        <v>#REF!</v>
      </c>
      <c r="P92" s="45">
        <v>-8.0590222222222234</v>
      </c>
      <c r="Q92" s="45">
        <v>-78.807583333333326</v>
      </c>
      <c r="R92" s="45" t="s">
        <v>706</v>
      </c>
      <c r="S92" s="51" t="s">
        <v>707</v>
      </c>
      <c r="U92" s="52"/>
    </row>
    <row r="93" spans="1:21" ht="17.25" customHeight="1" x14ac:dyDescent="0.3">
      <c r="A93" s="45">
        <v>92</v>
      </c>
      <c r="B93" s="46" t="e">
        <f t="array" ref="B93">INDEX('informe de Gestión 2021-2025'!C:C, MATCH(S93,#REF!, 0), )</f>
        <v>#REF!</v>
      </c>
      <c r="C93" s="47" t="e">
        <f t="array" ref="C93">INDEX('informe de Gestión 2021-2025'!D:D, MATCH(S93,#REF!, 0), )</f>
        <v>#REF!</v>
      </c>
      <c r="D93" s="47" t="e">
        <f t="array" ref="D93">INDEX('informe de Gestión 2021-2025'!I:I, MATCH(S93,#REF!, 0), )</f>
        <v>#REF!</v>
      </c>
      <c r="E93" s="47" t="e">
        <f t="array" ref="E93">INDEX('informe de Gestión 2021-2025'!K:K, MATCH(S93,#REF!, 0), )</f>
        <v>#REF!</v>
      </c>
      <c r="F93" s="47" t="e">
        <f t="shared" si="0"/>
        <v>#REF!</v>
      </c>
      <c r="G93" s="45" t="e">
        <f t="array" ref="G93">INDEX('informe de Gestión 2021-2025'!#REF!, MATCH(S93,#REF!, 0), )</f>
        <v>#REF!</v>
      </c>
      <c r="H93" s="48" t="e">
        <f t="shared" si="1"/>
        <v>#REF!</v>
      </c>
      <c r="I93" s="49" t="e">
        <f t="shared" si="2"/>
        <v>#REF!</v>
      </c>
      <c r="J93" s="47" t="e">
        <f t="shared" si="3"/>
        <v>#REF!</v>
      </c>
      <c r="K93" s="47" t="e">
        <f t="shared" si="4"/>
        <v>#REF!</v>
      </c>
      <c r="L93" s="50" t="e">
        <f t="shared" si="5"/>
        <v>#REF!</v>
      </c>
      <c r="M93" s="50" t="e">
        <f t="shared" si="6"/>
        <v>#REF!</v>
      </c>
      <c r="N93" s="47" t="e">
        <f t="shared" si="7"/>
        <v>#REF!</v>
      </c>
      <c r="O93" s="47" t="e">
        <f t="shared" si="8"/>
        <v>#REF!</v>
      </c>
      <c r="P93" s="45">
        <v>-8.0014833333333328</v>
      </c>
      <c r="Q93" s="45">
        <v>-78.306550000000001</v>
      </c>
      <c r="R93" s="45" t="s">
        <v>708</v>
      </c>
      <c r="S93" s="51" t="s">
        <v>709</v>
      </c>
      <c r="U93" s="52"/>
    </row>
    <row r="94" spans="1:21" ht="17.25" customHeight="1" x14ac:dyDescent="0.3">
      <c r="A94" s="45">
        <v>93</v>
      </c>
      <c r="B94" s="46" t="e">
        <f t="array" ref="B94">INDEX('informe de Gestión 2021-2025'!C:C, MATCH(S94,#REF!, 0), )</f>
        <v>#REF!</v>
      </c>
      <c r="C94" s="47" t="e">
        <f t="array" ref="C94">INDEX('informe de Gestión 2021-2025'!D:D, MATCH(S94,#REF!, 0), )</f>
        <v>#REF!</v>
      </c>
      <c r="D94" s="47" t="e">
        <f t="array" ref="D94">INDEX('informe de Gestión 2021-2025'!I:I, MATCH(S94,#REF!, 0), )</f>
        <v>#REF!</v>
      </c>
      <c r="E94" s="47" t="e">
        <f t="array" ref="E94">INDEX('informe de Gestión 2021-2025'!K:K, MATCH(S94,#REF!, 0), )</f>
        <v>#REF!</v>
      </c>
      <c r="F94" s="47" t="e">
        <f t="shared" si="0"/>
        <v>#REF!</v>
      </c>
      <c r="G94" s="45" t="e">
        <f t="array" ref="G94">INDEX('informe de Gestión 2021-2025'!#REF!, MATCH(S94,#REF!, 0), )</f>
        <v>#REF!</v>
      </c>
      <c r="H94" s="48" t="e">
        <f t="shared" si="1"/>
        <v>#REF!</v>
      </c>
      <c r="I94" s="49" t="e">
        <f t="shared" si="2"/>
        <v>#REF!</v>
      </c>
      <c r="J94" s="47" t="e">
        <f t="shared" si="3"/>
        <v>#REF!</v>
      </c>
      <c r="K94" s="47" t="e">
        <f t="shared" si="4"/>
        <v>#REF!</v>
      </c>
      <c r="L94" s="50" t="e">
        <f t="shared" si="5"/>
        <v>#REF!</v>
      </c>
      <c r="M94" s="50" t="e">
        <f t="shared" si="6"/>
        <v>#REF!</v>
      </c>
      <c r="N94" s="47" t="e">
        <f t="shared" si="7"/>
        <v>#REF!</v>
      </c>
      <c r="O94" s="47" t="e">
        <f t="shared" si="8"/>
        <v>#REF!</v>
      </c>
      <c r="P94" s="45">
        <v>-6.3282638888888885</v>
      </c>
      <c r="Q94" s="45">
        <v>-76.761936111111112</v>
      </c>
      <c r="R94" s="45" t="s">
        <v>710</v>
      </c>
      <c r="S94" s="51" t="s">
        <v>711</v>
      </c>
      <c r="U94" s="52"/>
    </row>
    <row r="95" spans="1:21" ht="17.25" customHeight="1" x14ac:dyDescent="0.3">
      <c r="A95" s="45">
        <v>94</v>
      </c>
      <c r="B95" s="46" t="e">
        <f t="array" ref="B95">INDEX('informe de Gestión 2021-2025'!C:C, MATCH(S95,#REF!, 0), )</f>
        <v>#REF!</v>
      </c>
      <c r="C95" s="47" t="e">
        <f t="array" ref="C95">INDEX('informe de Gestión 2021-2025'!D:D, MATCH(S95,#REF!, 0), )</f>
        <v>#REF!</v>
      </c>
      <c r="D95" s="47" t="e">
        <f t="array" ref="D95">INDEX('informe de Gestión 2021-2025'!I:I, MATCH(S95,#REF!, 0), )</f>
        <v>#REF!</v>
      </c>
      <c r="E95" s="47" t="e">
        <f t="array" ref="E95">INDEX('informe de Gestión 2021-2025'!K:K, MATCH(S95,#REF!, 0), )</f>
        <v>#REF!</v>
      </c>
      <c r="F95" s="47" t="e">
        <f t="shared" si="0"/>
        <v>#REF!</v>
      </c>
      <c r="G95" s="45" t="e">
        <f t="array" ref="G95">INDEX('informe de Gestión 2021-2025'!#REF!, MATCH(S95,#REF!, 0), )</f>
        <v>#REF!</v>
      </c>
      <c r="H95" s="48" t="e">
        <f t="shared" si="1"/>
        <v>#REF!</v>
      </c>
      <c r="I95" s="49" t="e">
        <f t="shared" si="2"/>
        <v>#REF!</v>
      </c>
      <c r="J95" s="47" t="e">
        <f t="shared" si="3"/>
        <v>#REF!</v>
      </c>
      <c r="K95" s="47" t="e">
        <f t="shared" si="4"/>
        <v>#REF!</v>
      </c>
      <c r="L95" s="50" t="e">
        <f t="shared" si="5"/>
        <v>#REF!</v>
      </c>
      <c r="M95" s="50" t="e">
        <f t="shared" si="6"/>
        <v>#REF!</v>
      </c>
      <c r="N95" s="47" t="e">
        <f t="shared" si="7"/>
        <v>#REF!</v>
      </c>
      <c r="O95" s="47" t="e">
        <f t="shared" si="8"/>
        <v>#REF!</v>
      </c>
      <c r="P95" s="45">
        <v>-5.125166666666666</v>
      </c>
      <c r="Q95" s="45">
        <v>-79.011750000000006</v>
      </c>
      <c r="R95" s="45" t="s">
        <v>712</v>
      </c>
      <c r="S95" s="51" t="s">
        <v>713</v>
      </c>
      <c r="U95" s="52"/>
    </row>
    <row r="96" spans="1:21" ht="17.25" customHeight="1" x14ac:dyDescent="0.3">
      <c r="A96" s="45">
        <v>95</v>
      </c>
      <c r="B96" s="46" t="e">
        <f t="array" ref="B96">INDEX('informe de Gestión 2021-2025'!C:C, MATCH(S96,#REF!, 0), )</f>
        <v>#REF!</v>
      </c>
      <c r="C96" s="47" t="e">
        <f t="array" ref="C96">INDEX('informe de Gestión 2021-2025'!D:D, MATCH(S96,#REF!, 0), )</f>
        <v>#REF!</v>
      </c>
      <c r="D96" s="47" t="e">
        <f t="array" ref="D96">INDEX('informe de Gestión 2021-2025'!I:I, MATCH(S96,#REF!, 0), )</f>
        <v>#REF!</v>
      </c>
      <c r="E96" s="47" t="e">
        <f t="array" ref="E96">INDEX('informe de Gestión 2021-2025'!K:K, MATCH(S96,#REF!, 0), )</f>
        <v>#REF!</v>
      </c>
      <c r="F96" s="47" t="e">
        <f t="shared" si="0"/>
        <v>#REF!</v>
      </c>
      <c r="G96" s="45" t="e">
        <f t="array" ref="G96">INDEX('informe de Gestión 2021-2025'!#REF!, MATCH(S96,#REF!, 0), )</f>
        <v>#REF!</v>
      </c>
      <c r="H96" s="48" t="e">
        <f t="shared" si="1"/>
        <v>#REF!</v>
      </c>
      <c r="I96" s="49" t="e">
        <f t="shared" si="2"/>
        <v>#REF!</v>
      </c>
      <c r="J96" s="47" t="e">
        <f t="shared" si="3"/>
        <v>#REF!</v>
      </c>
      <c r="K96" s="47" t="e">
        <f t="shared" si="4"/>
        <v>#REF!</v>
      </c>
      <c r="L96" s="50" t="e">
        <f t="shared" si="5"/>
        <v>#REF!</v>
      </c>
      <c r="M96" s="50" t="e">
        <f t="shared" si="6"/>
        <v>#REF!</v>
      </c>
      <c r="N96" s="47" t="e">
        <f t="shared" si="7"/>
        <v>#REF!</v>
      </c>
      <c r="O96" s="47" t="e">
        <f t="shared" si="8"/>
        <v>#REF!</v>
      </c>
      <c r="P96" s="45">
        <v>-4.8468888888888886</v>
      </c>
      <c r="Q96" s="45">
        <v>-80.878194444444432</v>
      </c>
      <c r="R96" s="45" t="s">
        <v>714</v>
      </c>
      <c r="S96" s="51" t="s">
        <v>715</v>
      </c>
      <c r="U96" s="52"/>
    </row>
    <row r="97" spans="1:21" ht="17.25" customHeight="1" x14ac:dyDescent="0.3">
      <c r="A97" s="45">
        <v>96</v>
      </c>
      <c r="B97" s="46" t="e">
        <f t="array" ref="B97">INDEX('informe de Gestión 2021-2025'!C:C, MATCH(S97,#REF!, 0), )</f>
        <v>#REF!</v>
      </c>
      <c r="C97" s="47" t="e">
        <f t="array" ref="C97">INDEX('informe de Gestión 2021-2025'!D:D, MATCH(S97,#REF!, 0), )</f>
        <v>#REF!</v>
      </c>
      <c r="D97" s="47" t="e">
        <f t="array" ref="D97">INDEX('informe de Gestión 2021-2025'!I:I, MATCH(S97,#REF!, 0), )</f>
        <v>#REF!</v>
      </c>
      <c r="E97" s="47" t="e">
        <f t="array" ref="E97">INDEX('informe de Gestión 2021-2025'!K:K, MATCH(S97,#REF!, 0), )</f>
        <v>#REF!</v>
      </c>
      <c r="F97" s="47" t="e">
        <f t="shared" si="0"/>
        <v>#REF!</v>
      </c>
      <c r="G97" s="45" t="e">
        <f t="array" ref="G97">INDEX('informe de Gestión 2021-2025'!#REF!, MATCH(S97,#REF!, 0), )</f>
        <v>#REF!</v>
      </c>
      <c r="H97" s="48" t="e">
        <f t="shared" si="1"/>
        <v>#REF!</v>
      </c>
      <c r="I97" s="49" t="e">
        <f t="shared" si="2"/>
        <v>#REF!</v>
      </c>
      <c r="J97" s="47" t="e">
        <f t="shared" si="3"/>
        <v>#REF!</v>
      </c>
      <c r="K97" s="47" t="e">
        <f t="shared" si="4"/>
        <v>#REF!</v>
      </c>
      <c r="L97" s="50" t="e">
        <f t="shared" si="5"/>
        <v>#REF!</v>
      </c>
      <c r="M97" s="50" t="e">
        <f t="shared" si="6"/>
        <v>#REF!</v>
      </c>
      <c r="N97" s="47" t="e">
        <f t="shared" si="7"/>
        <v>#REF!</v>
      </c>
      <c r="O97" s="47" t="e">
        <f t="shared" si="8"/>
        <v>#REF!</v>
      </c>
      <c r="P97" s="45">
        <v>-6.6202777777777779</v>
      </c>
      <c r="Q97" s="45">
        <v>-76.687452777777779</v>
      </c>
      <c r="R97" s="45" t="s">
        <v>716</v>
      </c>
      <c r="S97" s="51" t="s">
        <v>717</v>
      </c>
      <c r="U97" s="52"/>
    </row>
    <row r="98" spans="1:21" ht="17.25" customHeight="1" x14ac:dyDescent="0.3">
      <c r="A98" s="45">
        <v>97</v>
      </c>
      <c r="B98" s="46" t="e">
        <f t="array" ref="B98">INDEX('informe de Gestión 2021-2025'!C:C, MATCH(S98,#REF!, 0), )</f>
        <v>#REF!</v>
      </c>
      <c r="C98" s="47" t="e">
        <f t="array" ref="C98">INDEX('informe de Gestión 2021-2025'!D:D, MATCH(S98,#REF!, 0), )</f>
        <v>#REF!</v>
      </c>
      <c r="D98" s="47" t="e">
        <f t="array" ref="D98">INDEX('informe de Gestión 2021-2025'!I:I, MATCH(S98,#REF!, 0), )</f>
        <v>#REF!</v>
      </c>
      <c r="E98" s="47" t="e">
        <f t="array" ref="E98">INDEX('informe de Gestión 2021-2025'!K:K, MATCH(S98,#REF!, 0), )</f>
        <v>#REF!</v>
      </c>
      <c r="F98" s="47" t="e">
        <f t="shared" si="0"/>
        <v>#REF!</v>
      </c>
      <c r="G98" s="45" t="e">
        <f t="array" ref="G98">INDEX('informe de Gestión 2021-2025'!#REF!, MATCH(S98,#REF!, 0), )</f>
        <v>#REF!</v>
      </c>
      <c r="H98" s="48" t="e">
        <f t="shared" si="1"/>
        <v>#REF!</v>
      </c>
      <c r="I98" s="49" t="e">
        <f t="shared" si="2"/>
        <v>#REF!</v>
      </c>
      <c r="J98" s="47" t="e">
        <f t="shared" si="3"/>
        <v>#REF!</v>
      </c>
      <c r="K98" s="47" t="e">
        <f t="shared" si="4"/>
        <v>#REF!</v>
      </c>
      <c r="L98" s="50" t="e">
        <f t="shared" si="5"/>
        <v>#REF!</v>
      </c>
      <c r="M98" s="50" t="e">
        <f t="shared" si="6"/>
        <v>#REF!</v>
      </c>
      <c r="N98" s="47" t="e">
        <f t="shared" si="7"/>
        <v>#REF!</v>
      </c>
      <c r="O98" s="47" t="e">
        <f t="shared" si="8"/>
        <v>#REF!</v>
      </c>
      <c r="P98" s="45">
        <v>-5.3244249999999997</v>
      </c>
      <c r="Q98" s="45">
        <v>-79.840658333333323</v>
      </c>
      <c r="R98" s="45" t="s">
        <v>718</v>
      </c>
      <c r="S98" s="51" t="s">
        <v>719</v>
      </c>
      <c r="U98" s="52"/>
    </row>
    <row r="99" spans="1:21" ht="17.25" customHeight="1" x14ac:dyDescent="0.3">
      <c r="A99" s="45">
        <v>98</v>
      </c>
      <c r="B99" s="46" t="e">
        <f t="array" ref="B99">INDEX('informe de Gestión 2021-2025'!C:C, MATCH(S99,#REF!, 0), )</f>
        <v>#REF!</v>
      </c>
      <c r="C99" s="47" t="e">
        <f t="array" ref="C99">INDEX('informe de Gestión 2021-2025'!D:D, MATCH(S99,#REF!, 0), )</f>
        <v>#REF!</v>
      </c>
      <c r="D99" s="47" t="e">
        <f t="array" ref="D99">INDEX('informe de Gestión 2021-2025'!I:I, MATCH(S99,#REF!, 0), )</f>
        <v>#REF!</v>
      </c>
      <c r="E99" s="47" t="e">
        <f t="array" ref="E99">INDEX('informe de Gestión 2021-2025'!K:K, MATCH(S99,#REF!, 0), )</f>
        <v>#REF!</v>
      </c>
      <c r="F99" s="47" t="e">
        <f t="shared" si="0"/>
        <v>#REF!</v>
      </c>
      <c r="G99" s="45" t="e">
        <f t="array" ref="G99">INDEX('informe de Gestión 2021-2025'!#REF!, MATCH(S99,#REF!, 0), )</f>
        <v>#REF!</v>
      </c>
      <c r="H99" s="48" t="e">
        <f t="shared" si="1"/>
        <v>#REF!</v>
      </c>
      <c r="I99" s="49" t="e">
        <f t="shared" si="2"/>
        <v>#REF!</v>
      </c>
      <c r="J99" s="47" t="e">
        <f t="shared" si="3"/>
        <v>#REF!</v>
      </c>
      <c r="K99" s="47" t="e">
        <f t="shared" si="4"/>
        <v>#REF!</v>
      </c>
      <c r="L99" s="50" t="e">
        <f t="shared" si="5"/>
        <v>#REF!</v>
      </c>
      <c r="M99" s="50" t="e">
        <f t="shared" si="6"/>
        <v>#REF!</v>
      </c>
      <c r="N99" s="47" t="e">
        <f t="shared" si="7"/>
        <v>#REF!</v>
      </c>
      <c r="O99" s="47" t="e">
        <f t="shared" si="8"/>
        <v>#REF!</v>
      </c>
      <c r="P99" s="45">
        <v>-6.9994083333333332</v>
      </c>
      <c r="Q99" s="45">
        <v>-78.823780555555558</v>
      </c>
      <c r="R99" s="45" t="s">
        <v>720</v>
      </c>
      <c r="S99" s="51" t="s">
        <v>721</v>
      </c>
      <c r="U99" s="52"/>
    </row>
    <row r="100" spans="1:21" ht="17.25" customHeight="1" x14ac:dyDescent="0.3">
      <c r="A100" s="45">
        <v>99</v>
      </c>
      <c r="B100" s="46" t="e">
        <f t="array" ref="B100">INDEX('informe de Gestión 2021-2025'!C:C, MATCH(S100,#REF!, 0), )</f>
        <v>#REF!</v>
      </c>
      <c r="C100" s="47" t="e">
        <f t="array" ref="C100">INDEX('informe de Gestión 2021-2025'!D:D, MATCH(S100,#REF!, 0), )</f>
        <v>#REF!</v>
      </c>
      <c r="D100" s="47" t="e">
        <f t="array" ref="D100">INDEX('informe de Gestión 2021-2025'!I:I, MATCH(S100,#REF!, 0), )</f>
        <v>#REF!</v>
      </c>
      <c r="E100" s="47" t="e">
        <f t="array" ref="E100">INDEX('informe de Gestión 2021-2025'!K:K, MATCH(S100,#REF!, 0), )</f>
        <v>#REF!</v>
      </c>
      <c r="F100" s="47" t="e">
        <f t="shared" si="0"/>
        <v>#REF!</v>
      </c>
      <c r="G100" s="45" t="e">
        <f t="array" ref="G100">INDEX('informe de Gestión 2021-2025'!#REF!, MATCH(S100,#REF!, 0), )</f>
        <v>#REF!</v>
      </c>
      <c r="H100" s="48" t="e">
        <f t="shared" si="1"/>
        <v>#REF!</v>
      </c>
      <c r="I100" s="49" t="e">
        <f t="shared" si="2"/>
        <v>#REF!</v>
      </c>
      <c r="J100" s="47" t="e">
        <f t="shared" si="3"/>
        <v>#REF!</v>
      </c>
      <c r="K100" s="47" t="e">
        <f t="shared" si="4"/>
        <v>#REF!</v>
      </c>
      <c r="L100" s="50" t="e">
        <f t="shared" si="5"/>
        <v>#REF!</v>
      </c>
      <c r="M100" s="50" t="e">
        <f t="shared" si="6"/>
        <v>#REF!</v>
      </c>
      <c r="N100" s="47" t="e">
        <f t="shared" si="7"/>
        <v>#REF!</v>
      </c>
      <c r="O100" s="47" t="e">
        <f t="shared" si="8"/>
        <v>#REF!</v>
      </c>
      <c r="P100" s="45">
        <v>-8.9894527777777764</v>
      </c>
      <c r="Q100" s="45">
        <v>-78.614683333333332</v>
      </c>
      <c r="R100" s="45" t="s">
        <v>722</v>
      </c>
      <c r="S100" s="51" t="s">
        <v>723</v>
      </c>
      <c r="U100" s="52"/>
    </row>
    <row r="101" spans="1:21" ht="17.25" customHeight="1" x14ac:dyDescent="0.3">
      <c r="A101" s="45">
        <v>100</v>
      </c>
      <c r="B101" s="46" t="e">
        <f t="array" ref="B101">INDEX('informe de Gestión 2021-2025'!C:C, MATCH(S101,#REF!, 0), )</f>
        <v>#REF!</v>
      </c>
      <c r="C101" s="47" t="e">
        <f t="array" ref="C101">INDEX('informe de Gestión 2021-2025'!D:D, MATCH(S101,#REF!, 0), )</f>
        <v>#REF!</v>
      </c>
      <c r="D101" s="47" t="e">
        <f t="array" ref="D101">INDEX('informe de Gestión 2021-2025'!I:I, MATCH(S101,#REF!, 0), )</f>
        <v>#REF!</v>
      </c>
      <c r="E101" s="47" t="e">
        <f t="array" ref="E101">INDEX('informe de Gestión 2021-2025'!K:K, MATCH(S101,#REF!, 0), )</f>
        <v>#REF!</v>
      </c>
      <c r="F101" s="47" t="e">
        <f t="shared" si="0"/>
        <v>#REF!</v>
      </c>
      <c r="G101" s="45" t="e">
        <f t="array" ref="G101">INDEX('informe de Gestión 2021-2025'!#REF!, MATCH(S101,#REF!, 0), )</f>
        <v>#REF!</v>
      </c>
      <c r="H101" s="48" t="e">
        <f t="shared" si="1"/>
        <v>#REF!</v>
      </c>
      <c r="I101" s="49" t="e">
        <f t="shared" si="2"/>
        <v>#REF!</v>
      </c>
      <c r="J101" s="47" t="e">
        <f t="shared" si="3"/>
        <v>#REF!</v>
      </c>
      <c r="K101" s="47" t="e">
        <f t="shared" si="4"/>
        <v>#REF!</v>
      </c>
      <c r="L101" s="50" t="e">
        <f t="shared" si="5"/>
        <v>#REF!</v>
      </c>
      <c r="M101" s="50" t="e">
        <f t="shared" si="6"/>
        <v>#REF!</v>
      </c>
      <c r="N101" s="47" t="e">
        <f t="shared" si="7"/>
        <v>#REF!</v>
      </c>
      <c r="O101" s="47" t="e">
        <f t="shared" si="8"/>
        <v>#REF!</v>
      </c>
      <c r="P101" s="45">
        <v>-6.6362333333333332</v>
      </c>
      <c r="Q101" s="45">
        <v>-78.95738333333334</v>
      </c>
      <c r="R101" s="45" t="s">
        <v>724</v>
      </c>
      <c r="S101" s="51" t="s">
        <v>725</v>
      </c>
      <c r="U101" s="52"/>
    </row>
    <row r="102" spans="1:21" ht="17.25" customHeight="1" x14ac:dyDescent="0.3">
      <c r="A102" s="45">
        <v>101</v>
      </c>
      <c r="B102" s="46" t="e">
        <f t="array" ref="B102">INDEX('informe de Gestión 2021-2025'!C:C, MATCH(S102,#REF!, 0), )</f>
        <v>#REF!</v>
      </c>
      <c r="C102" s="47" t="e">
        <f t="array" ref="C102">INDEX('informe de Gestión 2021-2025'!D:D, MATCH(S102,#REF!, 0), )</f>
        <v>#REF!</v>
      </c>
      <c r="D102" s="47" t="e">
        <f t="array" ref="D102">INDEX('informe de Gestión 2021-2025'!I:I, MATCH(S102,#REF!, 0), )</f>
        <v>#REF!</v>
      </c>
      <c r="E102" s="47" t="e">
        <f t="array" ref="E102">INDEX('informe de Gestión 2021-2025'!K:K, MATCH(S102,#REF!, 0), )</f>
        <v>#REF!</v>
      </c>
      <c r="F102" s="47" t="e">
        <f t="shared" si="0"/>
        <v>#REF!</v>
      </c>
      <c r="G102" s="45" t="e">
        <f t="array" ref="G102">INDEX('informe de Gestión 2021-2025'!#REF!, MATCH(S102,#REF!, 0), )</f>
        <v>#REF!</v>
      </c>
      <c r="H102" s="48" t="e">
        <f t="shared" si="1"/>
        <v>#REF!</v>
      </c>
      <c r="I102" s="49" t="e">
        <f t="shared" si="2"/>
        <v>#REF!</v>
      </c>
      <c r="J102" s="47" t="e">
        <f t="shared" si="3"/>
        <v>#REF!</v>
      </c>
      <c r="K102" s="47" t="e">
        <f t="shared" si="4"/>
        <v>#REF!</v>
      </c>
      <c r="L102" s="50" t="e">
        <f t="shared" si="5"/>
        <v>#REF!</v>
      </c>
      <c r="M102" s="50" t="e">
        <f t="shared" si="6"/>
        <v>#REF!</v>
      </c>
      <c r="N102" s="47" t="e">
        <f t="shared" si="7"/>
        <v>#REF!</v>
      </c>
      <c r="O102" s="47" t="e">
        <f t="shared" si="8"/>
        <v>#REF!</v>
      </c>
      <c r="P102" s="45">
        <v>-8.1643333333333334</v>
      </c>
      <c r="Q102" s="45">
        <v>-78.191833333333335</v>
      </c>
      <c r="R102" s="45" t="s">
        <v>726</v>
      </c>
      <c r="S102" s="51" t="s">
        <v>727</v>
      </c>
      <c r="U102" s="52"/>
    </row>
    <row r="103" spans="1:21" ht="17.25" customHeight="1" x14ac:dyDescent="0.3">
      <c r="A103" s="45">
        <v>102</v>
      </c>
      <c r="B103" s="46" t="e">
        <f t="array" ref="B103">INDEX('informe de Gestión 2021-2025'!C:C, MATCH(S103,#REF!, 0), )</f>
        <v>#REF!</v>
      </c>
      <c r="C103" s="47" t="e">
        <f t="array" ref="C103">INDEX('informe de Gestión 2021-2025'!D:D, MATCH(S103,#REF!, 0), )</f>
        <v>#REF!</v>
      </c>
      <c r="D103" s="47" t="e">
        <f t="array" ref="D103">INDEX('informe de Gestión 2021-2025'!I:I, MATCH(S103,#REF!, 0), )</f>
        <v>#REF!</v>
      </c>
      <c r="E103" s="47" t="e">
        <f t="array" ref="E103">INDEX('informe de Gestión 2021-2025'!K:K, MATCH(S103,#REF!, 0), )</f>
        <v>#REF!</v>
      </c>
      <c r="F103" s="47" t="e">
        <f t="shared" si="0"/>
        <v>#REF!</v>
      </c>
      <c r="G103" s="45" t="e">
        <f t="array" ref="G103">INDEX('informe de Gestión 2021-2025'!#REF!, MATCH(S103,#REF!, 0), )</f>
        <v>#REF!</v>
      </c>
      <c r="H103" s="48" t="e">
        <f t="shared" si="1"/>
        <v>#REF!</v>
      </c>
      <c r="I103" s="49" t="e">
        <f t="shared" si="2"/>
        <v>#REF!</v>
      </c>
      <c r="J103" s="47" t="e">
        <f t="shared" si="3"/>
        <v>#REF!</v>
      </c>
      <c r="K103" s="47" t="e">
        <f t="shared" si="4"/>
        <v>#REF!</v>
      </c>
      <c r="L103" s="50" t="e">
        <f t="shared" si="5"/>
        <v>#REF!</v>
      </c>
      <c r="M103" s="50" t="e">
        <f t="shared" si="6"/>
        <v>#REF!</v>
      </c>
      <c r="N103" s="47" t="e">
        <f t="shared" si="7"/>
        <v>#REF!</v>
      </c>
      <c r="O103" s="47" t="e">
        <f t="shared" si="8"/>
        <v>#REF!</v>
      </c>
      <c r="P103" s="45">
        <v>-5.5709999999999997</v>
      </c>
      <c r="Q103" s="45">
        <v>-80.81883333333333</v>
      </c>
      <c r="R103" s="45" t="s">
        <v>728</v>
      </c>
      <c r="S103" s="51" t="s">
        <v>729</v>
      </c>
      <c r="U103" s="52"/>
    </row>
    <row r="104" spans="1:21" ht="17.25" customHeight="1" x14ac:dyDescent="0.3">
      <c r="A104" s="45">
        <v>103</v>
      </c>
      <c r="B104" s="46" t="e">
        <f t="array" ref="B104">INDEX('informe de Gestión 2021-2025'!C:C, MATCH(S104,#REF!, 0), )</f>
        <v>#REF!</v>
      </c>
      <c r="C104" s="47" t="e">
        <f t="array" ref="C104">INDEX('informe de Gestión 2021-2025'!D:D, MATCH(S104,#REF!, 0), )</f>
        <v>#REF!</v>
      </c>
      <c r="D104" s="47" t="e">
        <f t="array" ref="D104">INDEX('informe de Gestión 2021-2025'!I:I, MATCH(S104,#REF!, 0), )</f>
        <v>#REF!</v>
      </c>
      <c r="E104" s="47" t="e">
        <f t="array" ref="E104">INDEX('informe de Gestión 2021-2025'!K:K, MATCH(S104,#REF!, 0), )</f>
        <v>#REF!</v>
      </c>
      <c r="F104" s="47" t="e">
        <f t="shared" si="0"/>
        <v>#REF!</v>
      </c>
      <c r="G104" s="45" t="e">
        <f t="array" ref="G104">INDEX('informe de Gestión 2021-2025'!#REF!, MATCH(S104,#REF!, 0), )</f>
        <v>#REF!</v>
      </c>
      <c r="H104" s="48" t="e">
        <f t="shared" si="1"/>
        <v>#REF!</v>
      </c>
      <c r="I104" s="49" t="e">
        <f t="shared" si="2"/>
        <v>#REF!</v>
      </c>
      <c r="J104" s="47" t="e">
        <f t="shared" si="3"/>
        <v>#REF!</v>
      </c>
      <c r="K104" s="47" t="e">
        <f t="shared" si="4"/>
        <v>#REF!</v>
      </c>
      <c r="L104" s="50" t="e">
        <f t="shared" si="5"/>
        <v>#REF!</v>
      </c>
      <c r="M104" s="50" t="e">
        <f t="shared" si="6"/>
        <v>#REF!</v>
      </c>
      <c r="N104" s="47" t="e">
        <f t="shared" si="7"/>
        <v>#REF!</v>
      </c>
      <c r="O104" s="47" t="e">
        <f t="shared" si="8"/>
        <v>#REF!</v>
      </c>
      <c r="P104" s="45">
        <v>-5.5717222222222222</v>
      </c>
      <c r="Q104" s="45">
        <v>-80.817972222222224</v>
      </c>
      <c r="R104" s="45" t="s">
        <v>730</v>
      </c>
      <c r="S104" s="51" t="s">
        <v>731</v>
      </c>
      <c r="U104" s="52"/>
    </row>
    <row r="105" spans="1:21" ht="17.25" customHeight="1" x14ac:dyDescent="0.3">
      <c r="A105" s="45">
        <v>104</v>
      </c>
      <c r="B105" s="46" t="e">
        <f t="array" ref="B105">INDEX('informe de Gestión 2021-2025'!C:C, MATCH(S105,#REF!, 0), )</f>
        <v>#REF!</v>
      </c>
      <c r="C105" s="47" t="e">
        <f t="array" ref="C105">INDEX('informe de Gestión 2021-2025'!D:D, MATCH(S105,#REF!, 0), )</f>
        <v>#REF!</v>
      </c>
      <c r="D105" s="47" t="e">
        <f t="array" ref="D105">INDEX('informe de Gestión 2021-2025'!I:I, MATCH(S105,#REF!, 0), )</f>
        <v>#REF!</v>
      </c>
      <c r="E105" s="47" t="e">
        <f t="array" ref="E105">INDEX('informe de Gestión 2021-2025'!K:K, MATCH(S105,#REF!, 0), )</f>
        <v>#REF!</v>
      </c>
      <c r="F105" s="47" t="e">
        <f t="shared" si="0"/>
        <v>#REF!</v>
      </c>
      <c r="G105" s="45" t="e">
        <f t="array" ref="G105">INDEX('informe de Gestión 2021-2025'!#REF!, MATCH(S105,#REF!, 0), )</f>
        <v>#REF!</v>
      </c>
      <c r="H105" s="48" t="e">
        <f t="shared" si="1"/>
        <v>#REF!</v>
      </c>
      <c r="I105" s="49" t="e">
        <f t="shared" si="2"/>
        <v>#REF!</v>
      </c>
      <c r="J105" s="47" t="e">
        <f t="shared" si="3"/>
        <v>#REF!</v>
      </c>
      <c r="K105" s="47" t="e">
        <f t="shared" si="4"/>
        <v>#REF!</v>
      </c>
      <c r="L105" s="50" t="e">
        <f t="shared" si="5"/>
        <v>#REF!</v>
      </c>
      <c r="M105" s="50" t="e">
        <f t="shared" si="6"/>
        <v>#REF!</v>
      </c>
      <c r="N105" s="47" t="e">
        <f t="shared" si="7"/>
        <v>#REF!</v>
      </c>
      <c r="O105" s="47" t="e">
        <f t="shared" si="8"/>
        <v>#REF!</v>
      </c>
      <c r="P105" s="45">
        <v>-8.5316111111111113</v>
      </c>
      <c r="Q105" s="45">
        <v>-77.664975000000013</v>
      </c>
      <c r="R105" s="45" t="s">
        <v>732</v>
      </c>
      <c r="S105" s="51" t="s">
        <v>733</v>
      </c>
      <c r="U105" s="52"/>
    </row>
    <row r="106" spans="1:21" ht="17.25" customHeight="1" x14ac:dyDescent="0.3">
      <c r="A106" s="45">
        <v>105</v>
      </c>
      <c r="B106" s="46" t="e">
        <f t="array" ref="B106">INDEX('informe de Gestión 2021-2025'!C:C, MATCH(S106,#REF!, 0), )</f>
        <v>#REF!</v>
      </c>
      <c r="C106" s="47" t="e">
        <f t="array" ref="C106">INDEX('informe de Gestión 2021-2025'!D:D, MATCH(S106,#REF!, 0), )</f>
        <v>#REF!</v>
      </c>
      <c r="D106" s="47" t="e">
        <f t="array" ref="D106">INDEX('informe de Gestión 2021-2025'!I:I, MATCH(S106,#REF!, 0), )</f>
        <v>#REF!</v>
      </c>
      <c r="E106" s="47" t="e">
        <f t="array" ref="E106">INDEX('informe de Gestión 2021-2025'!K:K, MATCH(S106,#REF!, 0), )</f>
        <v>#REF!</v>
      </c>
      <c r="F106" s="47" t="e">
        <f t="shared" si="0"/>
        <v>#REF!</v>
      </c>
      <c r="G106" s="45" t="e">
        <f t="array" ref="G106">INDEX('informe de Gestión 2021-2025'!#REF!, MATCH(S106,#REF!, 0), )</f>
        <v>#REF!</v>
      </c>
      <c r="H106" s="48" t="e">
        <f t="shared" si="1"/>
        <v>#REF!</v>
      </c>
      <c r="I106" s="49" t="e">
        <f t="shared" si="2"/>
        <v>#REF!</v>
      </c>
      <c r="J106" s="47" t="e">
        <f t="shared" si="3"/>
        <v>#REF!</v>
      </c>
      <c r="K106" s="47" t="e">
        <f t="shared" si="4"/>
        <v>#REF!</v>
      </c>
      <c r="L106" s="50" t="e">
        <f t="shared" si="5"/>
        <v>#REF!</v>
      </c>
      <c r="M106" s="50" t="e">
        <f t="shared" si="6"/>
        <v>#REF!</v>
      </c>
      <c r="N106" s="47" t="e">
        <f t="shared" si="7"/>
        <v>#REF!</v>
      </c>
      <c r="O106" s="47" t="e">
        <f t="shared" si="8"/>
        <v>#REF!</v>
      </c>
      <c r="P106" s="45">
        <v>-8.5589722222222235</v>
      </c>
      <c r="Q106" s="45">
        <v>-77.628916666666655</v>
      </c>
      <c r="R106" s="45" t="s">
        <v>734</v>
      </c>
      <c r="S106" s="51" t="s">
        <v>735</v>
      </c>
      <c r="U106" s="52"/>
    </row>
    <row r="107" spans="1:21" ht="17.25" customHeight="1" x14ac:dyDescent="0.3">
      <c r="A107" s="45">
        <v>106</v>
      </c>
      <c r="B107" s="46" t="e">
        <f t="array" ref="B107">INDEX('informe de Gestión 2021-2025'!C:C, MATCH(S107,#REF!, 0), )</f>
        <v>#REF!</v>
      </c>
      <c r="C107" s="47" t="e">
        <f t="array" ref="C107">INDEX('informe de Gestión 2021-2025'!D:D, MATCH(S107,#REF!, 0), )</f>
        <v>#REF!</v>
      </c>
      <c r="D107" s="47" t="e">
        <f t="array" ref="D107">INDEX('informe de Gestión 2021-2025'!I:I, MATCH(S107,#REF!, 0), )</f>
        <v>#REF!</v>
      </c>
      <c r="E107" s="47" t="e">
        <f t="array" ref="E107">INDEX('informe de Gestión 2021-2025'!K:K, MATCH(S107,#REF!, 0), )</f>
        <v>#REF!</v>
      </c>
      <c r="F107" s="47" t="e">
        <f t="shared" si="0"/>
        <v>#REF!</v>
      </c>
      <c r="G107" s="45" t="e">
        <f t="array" ref="G107">INDEX('informe de Gestión 2021-2025'!#REF!, MATCH(S107,#REF!, 0), )</f>
        <v>#REF!</v>
      </c>
      <c r="H107" s="48" t="e">
        <f t="shared" si="1"/>
        <v>#REF!</v>
      </c>
      <c r="I107" s="49" t="e">
        <f t="shared" si="2"/>
        <v>#REF!</v>
      </c>
      <c r="J107" s="47" t="e">
        <f t="shared" si="3"/>
        <v>#REF!</v>
      </c>
      <c r="K107" s="47" t="e">
        <f t="shared" si="4"/>
        <v>#REF!</v>
      </c>
      <c r="L107" s="50" t="e">
        <f t="shared" si="5"/>
        <v>#REF!</v>
      </c>
      <c r="M107" s="50" t="e">
        <f t="shared" si="6"/>
        <v>#REF!</v>
      </c>
      <c r="N107" s="47" t="e">
        <f t="shared" si="7"/>
        <v>#REF!</v>
      </c>
      <c r="O107" s="47" t="e">
        <f t="shared" si="8"/>
        <v>#REF!</v>
      </c>
      <c r="P107" s="45">
        <v>-5.3383333333333329</v>
      </c>
      <c r="Q107" s="45">
        <v>-79.491388888888892</v>
      </c>
      <c r="R107" s="45" t="s">
        <v>736</v>
      </c>
      <c r="S107" s="51" t="s">
        <v>737</v>
      </c>
      <c r="U107" s="52"/>
    </row>
    <row r="108" spans="1:21" ht="17.25" customHeight="1" x14ac:dyDescent="0.3">
      <c r="A108" s="45">
        <v>107</v>
      </c>
      <c r="B108" s="46" t="e">
        <f t="array" ref="B108">INDEX('informe de Gestión 2021-2025'!C:C, MATCH(S108,#REF!, 0), )</f>
        <v>#REF!</v>
      </c>
      <c r="C108" s="47" t="e">
        <f t="array" ref="C108">INDEX('informe de Gestión 2021-2025'!D:D, MATCH(S108,#REF!, 0), )</f>
        <v>#REF!</v>
      </c>
      <c r="D108" s="47" t="e">
        <f t="array" ref="D108">INDEX('informe de Gestión 2021-2025'!I:I, MATCH(S108,#REF!, 0), )</f>
        <v>#REF!</v>
      </c>
      <c r="E108" s="47" t="e">
        <f t="array" ref="E108">INDEX('informe de Gestión 2021-2025'!K:K, MATCH(S108,#REF!, 0), )</f>
        <v>#REF!</v>
      </c>
      <c r="F108" s="47" t="e">
        <f t="shared" si="0"/>
        <v>#REF!</v>
      </c>
      <c r="G108" s="45" t="e">
        <f t="array" ref="G108">INDEX('informe de Gestión 2021-2025'!#REF!, MATCH(S108,#REF!, 0), )</f>
        <v>#REF!</v>
      </c>
      <c r="H108" s="48" t="e">
        <f t="shared" si="1"/>
        <v>#REF!</v>
      </c>
      <c r="I108" s="49" t="e">
        <f t="shared" si="2"/>
        <v>#REF!</v>
      </c>
      <c r="J108" s="47" t="e">
        <f t="shared" si="3"/>
        <v>#REF!</v>
      </c>
      <c r="K108" s="47" t="e">
        <f t="shared" si="4"/>
        <v>#REF!</v>
      </c>
      <c r="L108" s="50" t="e">
        <f t="shared" si="5"/>
        <v>#REF!</v>
      </c>
      <c r="M108" s="50" t="e">
        <f t="shared" si="6"/>
        <v>#REF!</v>
      </c>
      <c r="N108" s="47" t="e">
        <f t="shared" si="7"/>
        <v>#REF!</v>
      </c>
      <c r="O108" s="47" t="e">
        <f t="shared" si="8"/>
        <v>#REF!</v>
      </c>
      <c r="P108" s="45">
        <v>-9.8251666666666662</v>
      </c>
      <c r="Q108" s="45">
        <v>-77.649166666666673</v>
      </c>
      <c r="R108" s="45" t="s">
        <v>738</v>
      </c>
      <c r="S108" s="51" t="s">
        <v>739</v>
      </c>
      <c r="U108" s="52"/>
    </row>
    <row r="109" spans="1:21" ht="17.25" customHeight="1" x14ac:dyDescent="0.3">
      <c r="A109" s="45">
        <v>108</v>
      </c>
      <c r="B109" s="46" t="e">
        <f t="array" ref="B109">INDEX('informe de Gestión 2021-2025'!C:C, MATCH(S109,#REF!, 0), )</f>
        <v>#REF!</v>
      </c>
      <c r="C109" s="47" t="e">
        <f t="array" ref="C109">INDEX('informe de Gestión 2021-2025'!D:D, MATCH(S109,#REF!, 0), )</f>
        <v>#REF!</v>
      </c>
      <c r="D109" s="47" t="e">
        <f t="array" ref="D109">INDEX('informe de Gestión 2021-2025'!I:I, MATCH(S109,#REF!, 0), )</f>
        <v>#REF!</v>
      </c>
      <c r="E109" s="47" t="e">
        <f t="array" ref="E109">INDEX('informe de Gestión 2021-2025'!K:K, MATCH(S109,#REF!, 0), )</f>
        <v>#REF!</v>
      </c>
      <c r="F109" s="47" t="e">
        <f t="shared" si="0"/>
        <v>#REF!</v>
      </c>
      <c r="G109" s="45" t="e">
        <f t="array" ref="G109">INDEX('informe de Gestión 2021-2025'!#REF!, MATCH(S109,#REF!, 0), )</f>
        <v>#REF!</v>
      </c>
      <c r="H109" s="48" t="e">
        <f t="shared" si="1"/>
        <v>#REF!</v>
      </c>
      <c r="I109" s="49" t="e">
        <f t="shared" si="2"/>
        <v>#REF!</v>
      </c>
      <c r="J109" s="47" t="e">
        <f t="shared" si="3"/>
        <v>#REF!</v>
      </c>
      <c r="K109" s="47" t="e">
        <f t="shared" si="4"/>
        <v>#REF!</v>
      </c>
      <c r="L109" s="50" t="e">
        <f t="shared" si="5"/>
        <v>#REF!</v>
      </c>
      <c r="M109" s="50" t="e">
        <f t="shared" si="6"/>
        <v>#REF!</v>
      </c>
      <c r="N109" s="47" t="e">
        <f t="shared" si="7"/>
        <v>#REF!</v>
      </c>
      <c r="O109" s="47" t="e">
        <f t="shared" si="8"/>
        <v>#REF!</v>
      </c>
      <c r="P109" s="45">
        <v>-4.8978055555555553</v>
      </c>
      <c r="Q109" s="45">
        <v>-80.697833333333335</v>
      </c>
      <c r="R109" s="45" t="s">
        <v>740</v>
      </c>
      <c r="S109" s="51" t="s">
        <v>741</v>
      </c>
      <c r="U109" s="52"/>
    </row>
    <row r="110" spans="1:21" ht="17.25" customHeight="1" x14ac:dyDescent="0.3">
      <c r="A110" s="45">
        <v>109</v>
      </c>
      <c r="B110" s="46" t="e">
        <f t="array" ref="B110">INDEX('informe de Gestión 2021-2025'!C:C, MATCH(S110,#REF!, 0), )</f>
        <v>#REF!</v>
      </c>
      <c r="C110" s="47" t="e">
        <f t="array" ref="C110">INDEX('informe de Gestión 2021-2025'!D:D, MATCH(S110,#REF!, 0), )</f>
        <v>#REF!</v>
      </c>
      <c r="D110" s="47" t="e">
        <f t="array" ref="D110">INDEX('informe de Gestión 2021-2025'!I:I, MATCH(S110,#REF!, 0), )</f>
        <v>#REF!</v>
      </c>
      <c r="E110" s="47" t="e">
        <f t="array" ref="E110">INDEX('informe de Gestión 2021-2025'!K:K, MATCH(S110,#REF!, 0), )</f>
        <v>#REF!</v>
      </c>
      <c r="F110" s="47" t="e">
        <f t="shared" si="0"/>
        <v>#REF!</v>
      </c>
      <c r="G110" s="45" t="e">
        <f t="array" ref="G110">INDEX('informe de Gestión 2021-2025'!#REF!, MATCH(S110,#REF!, 0), )</f>
        <v>#REF!</v>
      </c>
      <c r="H110" s="48" t="e">
        <f t="shared" si="1"/>
        <v>#REF!</v>
      </c>
      <c r="I110" s="49" t="e">
        <f t="shared" si="2"/>
        <v>#REF!</v>
      </c>
      <c r="J110" s="47" t="e">
        <f t="shared" si="3"/>
        <v>#REF!</v>
      </c>
      <c r="K110" s="47" t="e">
        <f t="shared" si="4"/>
        <v>#REF!</v>
      </c>
      <c r="L110" s="50" t="e">
        <f t="shared" si="5"/>
        <v>#REF!</v>
      </c>
      <c r="M110" s="50" t="e">
        <f t="shared" si="6"/>
        <v>#REF!</v>
      </c>
      <c r="N110" s="47" t="e">
        <f t="shared" si="7"/>
        <v>#REF!</v>
      </c>
      <c r="O110" s="47" t="e">
        <f t="shared" si="8"/>
        <v>#REF!</v>
      </c>
      <c r="P110" s="45">
        <v>-6.3883611111111112</v>
      </c>
      <c r="Q110" s="45">
        <v>-76.641833333333338</v>
      </c>
      <c r="R110" s="45" t="s">
        <v>742</v>
      </c>
      <c r="S110" s="51" t="s">
        <v>743</v>
      </c>
      <c r="U110" s="52"/>
    </row>
    <row r="111" spans="1:21" ht="17.25" customHeight="1" x14ac:dyDescent="0.3">
      <c r="A111" s="45">
        <v>110</v>
      </c>
      <c r="B111" s="46" t="e">
        <f t="array" ref="B111">INDEX('informe de Gestión 2021-2025'!C:C, MATCH(S111,#REF!, 0), )</f>
        <v>#REF!</v>
      </c>
      <c r="C111" s="47" t="e">
        <f t="array" ref="C111">INDEX('informe de Gestión 2021-2025'!D:D, MATCH(S111,#REF!, 0), )</f>
        <v>#REF!</v>
      </c>
      <c r="D111" s="47" t="e">
        <f t="array" ref="D111">INDEX('informe de Gestión 2021-2025'!I:I, MATCH(S111,#REF!, 0), )</f>
        <v>#REF!</v>
      </c>
      <c r="E111" s="47" t="e">
        <f t="array" ref="E111">INDEX('informe de Gestión 2021-2025'!K:K, MATCH(S111,#REF!, 0), )</f>
        <v>#REF!</v>
      </c>
      <c r="F111" s="47" t="e">
        <f t="shared" si="0"/>
        <v>#REF!</v>
      </c>
      <c r="G111" s="45" t="e">
        <f t="array" ref="G111">INDEX('informe de Gestión 2021-2025'!#REF!, MATCH(S111,#REF!, 0), )</f>
        <v>#REF!</v>
      </c>
      <c r="H111" s="48" t="e">
        <f t="shared" si="1"/>
        <v>#REF!</v>
      </c>
      <c r="I111" s="49" t="e">
        <f t="shared" si="2"/>
        <v>#REF!</v>
      </c>
      <c r="J111" s="47" t="e">
        <f t="shared" si="3"/>
        <v>#REF!</v>
      </c>
      <c r="K111" s="47" t="e">
        <f t="shared" si="4"/>
        <v>#REF!</v>
      </c>
      <c r="L111" s="50" t="e">
        <f t="shared" si="5"/>
        <v>#REF!</v>
      </c>
      <c r="M111" s="50" t="e">
        <f t="shared" si="6"/>
        <v>#REF!</v>
      </c>
      <c r="N111" s="47" t="e">
        <f t="shared" si="7"/>
        <v>#REF!</v>
      </c>
      <c r="O111" s="47" t="e">
        <f t="shared" si="8"/>
        <v>#REF!</v>
      </c>
      <c r="P111" s="45">
        <v>-4.5923611111111109</v>
      </c>
      <c r="Q111" s="45">
        <v>-81.254861111111111</v>
      </c>
      <c r="R111" s="45" t="s">
        <v>744</v>
      </c>
      <c r="S111" s="51" t="s">
        <v>745</v>
      </c>
      <c r="U111" s="52"/>
    </row>
    <row r="112" spans="1:21" ht="17.25" customHeight="1" x14ac:dyDescent="0.3">
      <c r="A112" s="45">
        <v>111</v>
      </c>
      <c r="B112" s="46" t="e">
        <f t="array" ref="B112">INDEX('informe de Gestión 2021-2025'!C:C, MATCH(S112,#REF!, 0), )</f>
        <v>#REF!</v>
      </c>
      <c r="C112" s="47" t="e">
        <f t="array" ref="C112">INDEX('informe de Gestión 2021-2025'!D:D, MATCH(S112,#REF!, 0), )</f>
        <v>#REF!</v>
      </c>
      <c r="D112" s="47" t="e">
        <f t="array" ref="D112">INDEX('informe de Gestión 2021-2025'!I:I, MATCH(S112,#REF!, 0), )</f>
        <v>#REF!</v>
      </c>
      <c r="E112" s="47" t="e">
        <f t="array" ref="E112">INDEX('informe de Gestión 2021-2025'!K:K, MATCH(S112,#REF!, 0), )</f>
        <v>#REF!</v>
      </c>
      <c r="F112" s="47" t="e">
        <f t="shared" si="0"/>
        <v>#REF!</v>
      </c>
      <c r="G112" s="45" t="e">
        <f t="array" ref="G112">INDEX('informe de Gestión 2021-2025'!#REF!, MATCH(S112,#REF!, 0), )</f>
        <v>#REF!</v>
      </c>
      <c r="H112" s="48" t="e">
        <f t="shared" si="1"/>
        <v>#REF!</v>
      </c>
      <c r="I112" s="49" t="e">
        <f t="shared" si="2"/>
        <v>#REF!</v>
      </c>
      <c r="J112" s="47" t="e">
        <f t="shared" si="3"/>
        <v>#REF!</v>
      </c>
      <c r="K112" s="47" t="e">
        <f t="shared" si="4"/>
        <v>#REF!</v>
      </c>
      <c r="L112" s="50" t="e">
        <f t="shared" si="5"/>
        <v>#REF!</v>
      </c>
      <c r="M112" s="50" t="e">
        <f t="shared" si="6"/>
        <v>#REF!</v>
      </c>
      <c r="N112" s="47" t="e">
        <f t="shared" si="7"/>
        <v>#REF!</v>
      </c>
      <c r="O112" s="47" t="e">
        <f t="shared" si="8"/>
        <v>#REF!</v>
      </c>
      <c r="P112" s="45">
        <v>-6.4586111111111109</v>
      </c>
      <c r="Q112" s="45">
        <v>-76.358474999999999</v>
      </c>
      <c r="R112" s="45" t="s">
        <v>746</v>
      </c>
      <c r="S112" s="51" t="s">
        <v>747</v>
      </c>
      <c r="U112" s="52"/>
    </row>
    <row r="113" spans="1:21" ht="17.25" customHeight="1" x14ac:dyDescent="0.3">
      <c r="A113" s="45">
        <v>112</v>
      </c>
      <c r="B113" s="46" t="e">
        <f t="array" ref="B113">INDEX('informe de Gestión 2021-2025'!C:C, MATCH(S113,#REF!, 0), )</f>
        <v>#REF!</v>
      </c>
      <c r="C113" s="47" t="e">
        <f t="array" ref="C113">INDEX('informe de Gestión 2021-2025'!D:D, MATCH(S113,#REF!, 0), )</f>
        <v>#REF!</v>
      </c>
      <c r="D113" s="47" t="e">
        <f t="array" ref="D113">INDEX('informe de Gestión 2021-2025'!I:I, MATCH(S113,#REF!, 0), )</f>
        <v>#REF!</v>
      </c>
      <c r="E113" s="47" t="e">
        <f t="array" ref="E113">INDEX('informe de Gestión 2021-2025'!K:K, MATCH(S113,#REF!, 0), )</f>
        <v>#REF!</v>
      </c>
      <c r="F113" s="47" t="e">
        <f t="shared" si="0"/>
        <v>#REF!</v>
      </c>
      <c r="G113" s="45" t="e">
        <f t="array" ref="G113">INDEX('informe de Gestión 2021-2025'!#REF!, MATCH(S113,#REF!, 0), )</f>
        <v>#REF!</v>
      </c>
      <c r="H113" s="48" t="e">
        <f t="shared" si="1"/>
        <v>#REF!</v>
      </c>
      <c r="I113" s="49" t="e">
        <f t="shared" si="2"/>
        <v>#REF!</v>
      </c>
      <c r="J113" s="47" t="e">
        <f t="shared" si="3"/>
        <v>#REF!</v>
      </c>
      <c r="K113" s="47" t="e">
        <f t="shared" si="4"/>
        <v>#REF!</v>
      </c>
      <c r="L113" s="50" t="e">
        <f t="shared" si="5"/>
        <v>#REF!</v>
      </c>
      <c r="M113" s="50" t="e">
        <f t="shared" si="6"/>
        <v>#REF!</v>
      </c>
      <c r="N113" s="47" t="e">
        <f t="shared" si="7"/>
        <v>#REF!</v>
      </c>
      <c r="O113" s="47" t="e">
        <f t="shared" si="8"/>
        <v>#REF!</v>
      </c>
      <c r="P113" s="45">
        <v>-6.4586111111111109</v>
      </c>
      <c r="Q113" s="45">
        <v>-76.358474999999999</v>
      </c>
      <c r="R113" s="45" t="s">
        <v>746</v>
      </c>
      <c r="S113" s="51" t="s">
        <v>748</v>
      </c>
      <c r="U113" s="52"/>
    </row>
    <row r="114" spans="1:21" ht="17.25" customHeight="1" x14ac:dyDescent="0.3">
      <c r="A114" s="45">
        <v>113</v>
      </c>
      <c r="B114" s="46" t="e">
        <f t="array" ref="B114">INDEX('informe de Gestión 2021-2025'!C:C, MATCH(S114,#REF!, 0), )</f>
        <v>#REF!</v>
      </c>
      <c r="C114" s="47" t="e">
        <f t="array" ref="C114">INDEX('informe de Gestión 2021-2025'!D:D, MATCH(S114,#REF!, 0), )</f>
        <v>#REF!</v>
      </c>
      <c r="D114" s="47" t="e">
        <f t="array" ref="D114">INDEX('informe de Gestión 2021-2025'!I:I, MATCH(S114,#REF!, 0), )</f>
        <v>#REF!</v>
      </c>
      <c r="E114" s="47" t="e">
        <f t="array" ref="E114">INDEX('informe de Gestión 2021-2025'!K:K, MATCH(S114,#REF!, 0), )</f>
        <v>#REF!</v>
      </c>
      <c r="F114" s="47" t="e">
        <f t="shared" si="0"/>
        <v>#REF!</v>
      </c>
      <c r="G114" s="45" t="e">
        <f t="array" ref="G114">INDEX('informe de Gestión 2021-2025'!#REF!, MATCH(S114,#REF!, 0), )</f>
        <v>#REF!</v>
      </c>
      <c r="H114" s="48" t="e">
        <f t="shared" si="1"/>
        <v>#REF!</v>
      </c>
      <c r="I114" s="49" t="e">
        <f t="shared" si="2"/>
        <v>#REF!</v>
      </c>
      <c r="J114" s="47" t="e">
        <f t="shared" si="3"/>
        <v>#REF!</v>
      </c>
      <c r="K114" s="47" t="e">
        <f t="shared" si="4"/>
        <v>#REF!</v>
      </c>
      <c r="L114" s="50" t="e">
        <f t="shared" si="5"/>
        <v>#REF!</v>
      </c>
      <c r="M114" s="50" t="e">
        <f t="shared" si="6"/>
        <v>#REF!</v>
      </c>
      <c r="N114" s="47" t="e">
        <f t="shared" si="7"/>
        <v>#REF!</v>
      </c>
      <c r="O114" s="47" t="e">
        <f t="shared" si="8"/>
        <v>#REF!</v>
      </c>
      <c r="P114" s="45">
        <v>-8.3065500000000014</v>
      </c>
      <c r="Q114" s="45">
        <v>-77.42261666666667</v>
      </c>
      <c r="R114" s="45" t="s">
        <v>749</v>
      </c>
      <c r="S114" s="51" t="s">
        <v>750</v>
      </c>
      <c r="U114" s="52"/>
    </row>
    <row r="115" spans="1:21" ht="17.25" customHeight="1" x14ac:dyDescent="0.3">
      <c r="A115" s="45">
        <v>114</v>
      </c>
      <c r="B115" s="46" t="e">
        <f t="array" ref="B115">INDEX('informe de Gestión 2021-2025'!C:C, MATCH(S115,#REF!, 0), )</f>
        <v>#REF!</v>
      </c>
      <c r="C115" s="47" t="e">
        <f t="array" ref="C115">INDEX('informe de Gestión 2021-2025'!D:D, MATCH(S115,#REF!, 0), )</f>
        <v>#REF!</v>
      </c>
      <c r="D115" s="47" t="e">
        <f t="array" ref="D115">INDEX('informe de Gestión 2021-2025'!I:I, MATCH(S115,#REF!, 0), )</f>
        <v>#REF!</v>
      </c>
      <c r="E115" s="47" t="e">
        <f t="array" ref="E115">INDEX('informe de Gestión 2021-2025'!K:K, MATCH(S115,#REF!, 0), )</f>
        <v>#REF!</v>
      </c>
      <c r="F115" s="47" t="e">
        <f t="shared" si="0"/>
        <v>#REF!</v>
      </c>
      <c r="G115" s="45" t="e">
        <f t="array" ref="G115">INDEX('informe de Gestión 2021-2025'!#REF!, MATCH(S115,#REF!, 0), )</f>
        <v>#REF!</v>
      </c>
      <c r="H115" s="48" t="e">
        <f t="shared" si="1"/>
        <v>#REF!</v>
      </c>
      <c r="I115" s="49" t="e">
        <f t="shared" si="2"/>
        <v>#REF!</v>
      </c>
      <c r="J115" s="47" t="e">
        <f t="shared" si="3"/>
        <v>#REF!</v>
      </c>
      <c r="K115" s="47" t="e">
        <f t="shared" si="4"/>
        <v>#REF!</v>
      </c>
      <c r="L115" s="50" t="e">
        <f t="shared" si="5"/>
        <v>#REF!</v>
      </c>
      <c r="M115" s="50" t="e">
        <f t="shared" si="6"/>
        <v>#REF!</v>
      </c>
      <c r="N115" s="47" t="e">
        <f t="shared" si="7"/>
        <v>#REF!</v>
      </c>
      <c r="O115" s="47" t="e">
        <f t="shared" si="8"/>
        <v>#REF!</v>
      </c>
      <c r="P115" s="45">
        <v>-8.2513333333333332</v>
      </c>
      <c r="Q115" s="45">
        <v>-77.324233333333325</v>
      </c>
      <c r="R115" s="45" t="s">
        <v>751</v>
      </c>
      <c r="S115" s="51" t="s">
        <v>752</v>
      </c>
      <c r="U115" s="52"/>
    </row>
    <row r="116" spans="1:21" ht="17.25" customHeight="1" x14ac:dyDescent="0.3">
      <c r="A116" s="45">
        <v>115</v>
      </c>
      <c r="B116" s="46" t="e">
        <f t="array" ref="B116">INDEX('informe de Gestión 2021-2025'!C:C, MATCH(S116,#REF!, 0), )</f>
        <v>#REF!</v>
      </c>
      <c r="C116" s="47" t="e">
        <f t="array" ref="C116">INDEX('informe de Gestión 2021-2025'!D:D, MATCH(S116,#REF!, 0), )</f>
        <v>#REF!</v>
      </c>
      <c r="D116" s="47" t="e">
        <f t="array" ref="D116">INDEX('informe de Gestión 2021-2025'!I:I, MATCH(S116,#REF!, 0), )</f>
        <v>#REF!</v>
      </c>
      <c r="E116" s="47" t="e">
        <f t="array" ref="E116">INDEX('informe de Gestión 2021-2025'!K:K, MATCH(S116,#REF!, 0), )</f>
        <v>#REF!</v>
      </c>
      <c r="F116" s="47" t="e">
        <f t="shared" si="0"/>
        <v>#REF!</v>
      </c>
      <c r="G116" s="45" t="e">
        <f t="array" ref="G116">INDEX('informe de Gestión 2021-2025'!#REF!, MATCH(S116,#REF!, 0), )</f>
        <v>#REF!</v>
      </c>
      <c r="H116" s="48" t="e">
        <f t="shared" si="1"/>
        <v>#REF!</v>
      </c>
      <c r="I116" s="49" t="e">
        <f t="shared" si="2"/>
        <v>#REF!</v>
      </c>
      <c r="J116" s="47" t="e">
        <f t="shared" si="3"/>
        <v>#REF!</v>
      </c>
      <c r="K116" s="47" t="e">
        <f t="shared" si="4"/>
        <v>#REF!</v>
      </c>
      <c r="L116" s="50" t="e">
        <f t="shared" si="5"/>
        <v>#REF!</v>
      </c>
      <c r="M116" s="50" t="e">
        <f t="shared" si="6"/>
        <v>#REF!</v>
      </c>
      <c r="N116" s="47" t="e">
        <f t="shared" si="7"/>
        <v>#REF!</v>
      </c>
      <c r="O116" s="47" t="e">
        <f t="shared" si="8"/>
        <v>#REF!</v>
      </c>
      <c r="P116" s="45">
        <v>-7.2531166666666671</v>
      </c>
      <c r="Q116" s="45">
        <v>-79.132316666666654</v>
      </c>
      <c r="R116" s="45" t="s">
        <v>753</v>
      </c>
      <c r="S116" s="51" t="s">
        <v>754</v>
      </c>
      <c r="U116" s="52"/>
    </row>
    <row r="117" spans="1:21" ht="17.25" customHeight="1" x14ac:dyDescent="0.3">
      <c r="A117" s="45">
        <v>116</v>
      </c>
      <c r="B117" s="46" t="e">
        <f t="array" ref="B117">INDEX('informe de Gestión 2021-2025'!C:C, MATCH(S117,#REF!, 0), )</f>
        <v>#REF!</v>
      </c>
      <c r="C117" s="47" t="e">
        <f t="array" ref="C117">INDEX('informe de Gestión 2021-2025'!D:D, MATCH(S117,#REF!, 0), )</f>
        <v>#REF!</v>
      </c>
      <c r="D117" s="47" t="e">
        <f t="array" ref="D117">INDEX('informe de Gestión 2021-2025'!I:I, MATCH(S117,#REF!, 0), )</f>
        <v>#REF!</v>
      </c>
      <c r="E117" s="47" t="e">
        <f t="array" ref="E117">INDEX('informe de Gestión 2021-2025'!K:K, MATCH(S117,#REF!, 0), )</f>
        <v>#REF!</v>
      </c>
      <c r="F117" s="47" t="e">
        <f t="shared" si="0"/>
        <v>#REF!</v>
      </c>
      <c r="G117" s="45" t="e">
        <f t="array" ref="G117">INDEX('informe de Gestión 2021-2025'!#REF!, MATCH(S117,#REF!, 0), )</f>
        <v>#REF!</v>
      </c>
      <c r="H117" s="48" t="e">
        <f t="shared" si="1"/>
        <v>#REF!</v>
      </c>
      <c r="I117" s="49" t="e">
        <f t="shared" si="2"/>
        <v>#REF!</v>
      </c>
      <c r="J117" s="47" t="e">
        <f t="shared" si="3"/>
        <v>#REF!</v>
      </c>
      <c r="K117" s="47" t="e">
        <f t="shared" si="4"/>
        <v>#REF!</v>
      </c>
      <c r="L117" s="50" t="e">
        <f t="shared" si="5"/>
        <v>#REF!</v>
      </c>
      <c r="M117" s="50" t="e">
        <f t="shared" si="6"/>
        <v>#REF!</v>
      </c>
      <c r="N117" s="47" t="e">
        <f t="shared" si="7"/>
        <v>#REF!</v>
      </c>
      <c r="O117" s="47" t="e">
        <f t="shared" si="8"/>
        <v>#REF!</v>
      </c>
      <c r="P117" s="45">
        <v>-9.7580555555555559</v>
      </c>
      <c r="Q117" s="45">
        <v>-77.430555555555557</v>
      </c>
      <c r="R117" s="45" t="s">
        <v>755</v>
      </c>
      <c r="S117" s="51" t="s">
        <v>756</v>
      </c>
      <c r="U117" s="52"/>
    </row>
    <row r="118" spans="1:21" ht="17.25" customHeight="1" x14ac:dyDescent="0.3">
      <c r="A118" s="45">
        <v>117</v>
      </c>
      <c r="B118" s="46" t="e">
        <f t="array" ref="B118">INDEX('informe de Gestión 2021-2025'!C:C, MATCH(S118,#REF!, 0), )</f>
        <v>#REF!</v>
      </c>
      <c r="C118" s="47" t="e">
        <f t="array" ref="C118">INDEX('informe de Gestión 2021-2025'!D:D, MATCH(S118,#REF!, 0), )</f>
        <v>#REF!</v>
      </c>
      <c r="D118" s="47" t="e">
        <f t="array" ref="D118">INDEX('informe de Gestión 2021-2025'!I:I, MATCH(S118,#REF!, 0), )</f>
        <v>#REF!</v>
      </c>
      <c r="E118" s="47" t="e">
        <f t="array" ref="E118">INDEX('informe de Gestión 2021-2025'!K:K, MATCH(S118,#REF!, 0), )</f>
        <v>#REF!</v>
      </c>
      <c r="F118" s="47" t="e">
        <f t="shared" si="0"/>
        <v>#REF!</v>
      </c>
      <c r="G118" s="45" t="e">
        <f t="array" ref="G118">INDEX('informe de Gestión 2021-2025'!#REF!, MATCH(S118,#REF!, 0), )</f>
        <v>#REF!</v>
      </c>
      <c r="H118" s="48" t="e">
        <f t="shared" si="1"/>
        <v>#REF!</v>
      </c>
      <c r="I118" s="49" t="e">
        <f t="shared" si="2"/>
        <v>#REF!</v>
      </c>
      <c r="J118" s="47" t="e">
        <f t="shared" si="3"/>
        <v>#REF!</v>
      </c>
      <c r="K118" s="47" t="e">
        <f t="shared" si="4"/>
        <v>#REF!</v>
      </c>
      <c r="L118" s="50" t="e">
        <f t="shared" si="5"/>
        <v>#REF!</v>
      </c>
      <c r="M118" s="50" t="e">
        <f t="shared" si="6"/>
        <v>#REF!</v>
      </c>
      <c r="N118" s="47" t="e">
        <f t="shared" si="7"/>
        <v>#REF!</v>
      </c>
      <c r="O118" s="47" t="e">
        <f t="shared" si="8"/>
        <v>#REF!</v>
      </c>
      <c r="P118" s="45">
        <v>-9.7609722222222217</v>
      </c>
      <c r="Q118" s="45">
        <v>-77.435722222222225</v>
      </c>
      <c r="R118" s="45" t="s">
        <v>757</v>
      </c>
      <c r="S118" s="51" t="s">
        <v>758</v>
      </c>
      <c r="U118" s="52"/>
    </row>
    <row r="119" spans="1:21" ht="17.25" customHeight="1" x14ac:dyDescent="0.3">
      <c r="A119" s="45">
        <v>118</v>
      </c>
      <c r="B119" s="46" t="e">
        <f t="array" ref="B119">INDEX('informe de Gestión 2021-2025'!C:C, MATCH(S119,#REF!, 0), )</f>
        <v>#REF!</v>
      </c>
      <c r="C119" s="47" t="e">
        <f t="array" ref="C119">INDEX('informe de Gestión 2021-2025'!D:D, MATCH(S119,#REF!, 0), )</f>
        <v>#REF!</v>
      </c>
      <c r="D119" s="47" t="e">
        <f t="array" ref="D119">INDEX('informe de Gestión 2021-2025'!I:I, MATCH(S119,#REF!, 0), )</f>
        <v>#REF!</v>
      </c>
      <c r="E119" s="47" t="e">
        <f t="array" ref="E119">INDEX('informe de Gestión 2021-2025'!K:K, MATCH(S119,#REF!, 0), )</f>
        <v>#REF!</v>
      </c>
      <c r="F119" s="47" t="e">
        <f t="shared" si="0"/>
        <v>#REF!</v>
      </c>
      <c r="G119" s="45" t="e">
        <f t="array" ref="G119">INDEX('informe de Gestión 2021-2025'!#REF!, MATCH(S119,#REF!, 0), )</f>
        <v>#REF!</v>
      </c>
      <c r="H119" s="48" t="e">
        <f t="shared" si="1"/>
        <v>#REF!</v>
      </c>
      <c r="I119" s="49" t="e">
        <f t="shared" si="2"/>
        <v>#REF!</v>
      </c>
      <c r="J119" s="47" t="e">
        <f t="shared" si="3"/>
        <v>#REF!</v>
      </c>
      <c r="K119" s="47" t="e">
        <f t="shared" si="4"/>
        <v>#REF!</v>
      </c>
      <c r="L119" s="50" t="e">
        <f t="shared" si="5"/>
        <v>#REF!</v>
      </c>
      <c r="M119" s="50" t="e">
        <f t="shared" si="6"/>
        <v>#REF!</v>
      </c>
      <c r="N119" s="47" t="e">
        <f t="shared" si="7"/>
        <v>#REF!</v>
      </c>
      <c r="O119" s="47" t="e">
        <f t="shared" si="8"/>
        <v>#REF!</v>
      </c>
      <c r="P119" s="45">
        <v>-8.1855555555555561</v>
      </c>
      <c r="Q119" s="45">
        <v>-76.504444444444445</v>
      </c>
      <c r="R119" s="45" t="s">
        <v>759</v>
      </c>
      <c r="S119" s="51" t="s">
        <v>760</v>
      </c>
      <c r="U119" s="52"/>
    </row>
    <row r="120" spans="1:21" ht="17.25" customHeight="1" x14ac:dyDescent="0.3">
      <c r="A120" s="45">
        <v>119</v>
      </c>
      <c r="B120" s="46" t="e">
        <f t="array" ref="B120">INDEX('informe de Gestión 2021-2025'!C:C, MATCH(S120,#REF!, 0), )</f>
        <v>#REF!</v>
      </c>
      <c r="C120" s="47" t="e">
        <f t="array" ref="C120">INDEX('informe de Gestión 2021-2025'!D:D, MATCH(S120,#REF!, 0), )</f>
        <v>#REF!</v>
      </c>
      <c r="D120" s="47" t="e">
        <f t="array" ref="D120">INDEX('informe de Gestión 2021-2025'!I:I, MATCH(S120,#REF!, 0), )</f>
        <v>#REF!</v>
      </c>
      <c r="E120" s="47" t="e">
        <f t="array" ref="E120">INDEX('informe de Gestión 2021-2025'!K:K, MATCH(S120,#REF!, 0), )</f>
        <v>#REF!</v>
      </c>
      <c r="F120" s="47" t="e">
        <f t="shared" si="0"/>
        <v>#REF!</v>
      </c>
      <c r="G120" s="45" t="e">
        <f t="array" ref="G120">INDEX('informe de Gestión 2021-2025'!#REF!, MATCH(S120,#REF!, 0), )</f>
        <v>#REF!</v>
      </c>
      <c r="H120" s="48" t="e">
        <f t="shared" si="1"/>
        <v>#REF!</v>
      </c>
      <c r="I120" s="49" t="e">
        <f t="shared" si="2"/>
        <v>#REF!</v>
      </c>
      <c r="J120" s="47" t="e">
        <f t="shared" si="3"/>
        <v>#REF!</v>
      </c>
      <c r="K120" s="47" t="e">
        <f t="shared" si="4"/>
        <v>#REF!</v>
      </c>
      <c r="L120" s="50" t="e">
        <f t="shared" si="5"/>
        <v>#REF!</v>
      </c>
      <c r="M120" s="50" t="e">
        <f t="shared" si="6"/>
        <v>#REF!</v>
      </c>
      <c r="N120" s="47" t="e">
        <f t="shared" si="7"/>
        <v>#REF!</v>
      </c>
      <c r="O120" s="47" t="e">
        <f t="shared" si="8"/>
        <v>#REF!</v>
      </c>
      <c r="P120" s="45">
        <v>-8.1072083333333325</v>
      </c>
      <c r="Q120" s="45">
        <v>-79.016908333333333</v>
      </c>
      <c r="R120" s="45" t="s">
        <v>761</v>
      </c>
      <c r="S120" s="51" t="s">
        <v>762</v>
      </c>
      <c r="U120" s="52"/>
    </row>
    <row r="121" spans="1:21" ht="17.25" customHeight="1" x14ac:dyDescent="0.3">
      <c r="A121" s="45">
        <v>120</v>
      </c>
      <c r="B121" s="46" t="e">
        <f t="array" ref="B121">INDEX('informe de Gestión 2021-2025'!C:C, MATCH(S121,#REF!, 0), )</f>
        <v>#REF!</v>
      </c>
      <c r="C121" s="47" t="e">
        <f t="array" ref="C121">INDEX('informe de Gestión 2021-2025'!D:D, MATCH(S121,#REF!, 0), )</f>
        <v>#REF!</v>
      </c>
      <c r="D121" s="47" t="e">
        <f t="array" ref="D121">INDEX('informe de Gestión 2021-2025'!I:I, MATCH(S121,#REF!, 0), )</f>
        <v>#REF!</v>
      </c>
      <c r="E121" s="47" t="e">
        <f t="array" ref="E121">INDEX('informe de Gestión 2021-2025'!K:K, MATCH(S121,#REF!, 0), )</f>
        <v>#REF!</v>
      </c>
      <c r="F121" s="47" t="e">
        <f t="shared" si="0"/>
        <v>#REF!</v>
      </c>
      <c r="G121" s="45" t="e">
        <f t="array" ref="G121">INDEX('informe de Gestión 2021-2025'!#REF!, MATCH(S121,#REF!, 0), )</f>
        <v>#REF!</v>
      </c>
      <c r="H121" s="48" t="e">
        <f t="shared" si="1"/>
        <v>#REF!</v>
      </c>
      <c r="I121" s="49" t="e">
        <f t="shared" si="2"/>
        <v>#REF!</v>
      </c>
      <c r="J121" s="47" t="e">
        <f t="shared" si="3"/>
        <v>#REF!</v>
      </c>
      <c r="K121" s="47" t="e">
        <f t="shared" si="4"/>
        <v>#REF!</v>
      </c>
      <c r="L121" s="50" t="e">
        <f t="shared" si="5"/>
        <v>#REF!</v>
      </c>
      <c r="M121" s="50" t="e">
        <f t="shared" si="6"/>
        <v>#REF!</v>
      </c>
      <c r="N121" s="47" t="e">
        <f t="shared" si="7"/>
        <v>#REF!</v>
      </c>
      <c r="O121" s="47" t="e">
        <f t="shared" si="8"/>
        <v>#REF!</v>
      </c>
      <c r="P121" s="45">
        <v>-8.1072083333333325</v>
      </c>
      <c r="Q121" s="45">
        <v>-79.016908333333333</v>
      </c>
      <c r="R121" s="45" t="s">
        <v>761</v>
      </c>
      <c r="S121" s="51" t="s">
        <v>763</v>
      </c>
      <c r="U121" s="52"/>
    </row>
    <row r="122" spans="1:21" ht="17.25" customHeight="1" x14ac:dyDescent="0.3">
      <c r="A122" s="45">
        <v>121</v>
      </c>
      <c r="B122" s="46" t="e">
        <f t="array" ref="B122">INDEX('informe de Gestión 2021-2025'!C:C, MATCH(S122,#REF!, 0), )</f>
        <v>#REF!</v>
      </c>
      <c r="C122" s="47" t="e">
        <f t="array" ref="C122">INDEX('informe de Gestión 2021-2025'!D:D, MATCH(S122,#REF!, 0), )</f>
        <v>#REF!</v>
      </c>
      <c r="D122" s="47" t="e">
        <f t="array" ref="D122">INDEX('informe de Gestión 2021-2025'!I:I, MATCH(S122,#REF!, 0), )</f>
        <v>#REF!</v>
      </c>
      <c r="E122" s="47" t="e">
        <f t="array" ref="E122">INDEX('informe de Gestión 2021-2025'!K:K, MATCH(S122,#REF!, 0), )</f>
        <v>#REF!</v>
      </c>
      <c r="F122" s="47" t="e">
        <f t="shared" si="0"/>
        <v>#REF!</v>
      </c>
      <c r="G122" s="45" t="e">
        <f t="array" ref="G122">INDEX('informe de Gestión 2021-2025'!#REF!, MATCH(S122,#REF!, 0), )</f>
        <v>#REF!</v>
      </c>
      <c r="H122" s="48" t="e">
        <f t="shared" si="1"/>
        <v>#REF!</v>
      </c>
      <c r="I122" s="49" t="e">
        <f t="shared" si="2"/>
        <v>#REF!</v>
      </c>
      <c r="J122" s="47" t="e">
        <f t="shared" si="3"/>
        <v>#REF!</v>
      </c>
      <c r="K122" s="47" t="e">
        <f t="shared" si="4"/>
        <v>#REF!</v>
      </c>
      <c r="L122" s="50" t="e">
        <f t="shared" si="5"/>
        <v>#REF!</v>
      </c>
      <c r="M122" s="50" t="e">
        <f t="shared" si="6"/>
        <v>#REF!</v>
      </c>
      <c r="N122" s="47" t="e">
        <f t="shared" si="7"/>
        <v>#REF!</v>
      </c>
      <c r="O122" s="47" t="e">
        <f t="shared" si="8"/>
        <v>#REF!</v>
      </c>
      <c r="P122" s="45">
        <v>-3.5728805555555554</v>
      </c>
      <c r="Q122" s="45">
        <v>-80.415111111111116</v>
      </c>
      <c r="R122" s="45" t="s">
        <v>764</v>
      </c>
      <c r="S122" s="51" t="s">
        <v>765</v>
      </c>
      <c r="U122" s="52"/>
    </row>
    <row r="123" spans="1:21" ht="17.25" customHeight="1" x14ac:dyDescent="0.3">
      <c r="A123" s="45">
        <v>122</v>
      </c>
      <c r="B123" s="46" t="e">
        <f t="array" ref="B123">INDEX('informe de Gestión 2021-2025'!C:C, MATCH(S123,#REF!, 0), )</f>
        <v>#REF!</v>
      </c>
      <c r="C123" s="47" t="e">
        <f t="array" ref="C123">INDEX('informe de Gestión 2021-2025'!D:D, MATCH(S123,#REF!, 0), )</f>
        <v>#REF!</v>
      </c>
      <c r="D123" s="47" t="e">
        <f t="array" ref="D123">INDEX('informe de Gestión 2021-2025'!I:I, MATCH(S123,#REF!, 0), )</f>
        <v>#REF!</v>
      </c>
      <c r="E123" s="47" t="e">
        <f t="array" ref="E123">INDEX('informe de Gestión 2021-2025'!K:K, MATCH(S123,#REF!, 0), )</f>
        <v>#REF!</v>
      </c>
      <c r="F123" s="47" t="e">
        <f t="shared" si="0"/>
        <v>#REF!</v>
      </c>
      <c r="G123" s="45" t="e">
        <f t="array" ref="G123">INDEX('informe de Gestión 2021-2025'!#REF!, MATCH(S123,#REF!, 0), )</f>
        <v>#REF!</v>
      </c>
      <c r="H123" s="48" t="e">
        <f t="shared" si="1"/>
        <v>#REF!</v>
      </c>
      <c r="I123" s="49" t="e">
        <f t="shared" si="2"/>
        <v>#REF!</v>
      </c>
      <c r="J123" s="47" t="e">
        <f t="shared" si="3"/>
        <v>#REF!</v>
      </c>
      <c r="K123" s="47" t="e">
        <f t="shared" si="4"/>
        <v>#REF!</v>
      </c>
      <c r="L123" s="50" t="e">
        <f t="shared" si="5"/>
        <v>#REF!</v>
      </c>
      <c r="M123" s="50" t="e">
        <f t="shared" si="6"/>
        <v>#REF!</v>
      </c>
      <c r="N123" s="47" t="e">
        <f t="shared" si="7"/>
        <v>#REF!</v>
      </c>
      <c r="O123" s="47" t="e">
        <f t="shared" si="8"/>
        <v>#REF!</v>
      </c>
      <c r="P123" s="45">
        <v>-3.5728805555555554</v>
      </c>
      <c r="Q123" s="45">
        <v>-80.415111111111116</v>
      </c>
      <c r="R123" s="45" t="s">
        <v>764</v>
      </c>
      <c r="S123" s="51" t="s">
        <v>766</v>
      </c>
      <c r="U123" s="52"/>
    </row>
    <row r="124" spans="1:21" ht="17.25" customHeight="1" x14ac:dyDescent="0.3">
      <c r="A124" s="45">
        <v>123</v>
      </c>
      <c r="B124" s="46" t="e">
        <f t="array" ref="B124">INDEX('informe de Gestión 2021-2025'!C:C, MATCH(S124,#REF!, 0), )</f>
        <v>#REF!</v>
      </c>
      <c r="C124" s="47" t="e">
        <f t="array" ref="C124">INDEX('informe de Gestión 2021-2025'!D:D, MATCH(S124,#REF!, 0), )</f>
        <v>#REF!</v>
      </c>
      <c r="D124" s="47" t="e">
        <f t="array" ref="D124">INDEX('informe de Gestión 2021-2025'!I:I, MATCH(S124,#REF!, 0), )</f>
        <v>#REF!</v>
      </c>
      <c r="E124" s="47" t="e">
        <f t="array" ref="E124">INDEX('informe de Gestión 2021-2025'!K:K, MATCH(S124,#REF!, 0), )</f>
        <v>#REF!</v>
      </c>
      <c r="F124" s="47" t="e">
        <f t="shared" si="0"/>
        <v>#REF!</v>
      </c>
      <c r="G124" s="45" t="e">
        <f t="array" ref="G124">INDEX('informe de Gestión 2021-2025'!#REF!, MATCH(S124,#REF!, 0), )</f>
        <v>#REF!</v>
      </c>
      <c r="H124" s="48" t="e">
        <f t="shared" si="1"/>
        <v>#REF!</v>
      </c>
      <c r="I124" s="49" t="e">
        <f t="shared" si="2"/>
        <v>#REF!</v>
      </c>
      <c r="J124" s="47" t="e">
        <f t="shared" si="3"/>
        <v>#REF!</v>
      </c>
      <c r="K124" s="47" t="e">
        <f t="shared" si="4"/>
        <v>#REF!</v>
      </c>
      <c r="L124" s="50" t="e">
        <f t="shared" si="5"/>
        <v>#REF!</v>
      </c>
      <c r="M124" s="50" t="e">
        <f t="shared" si="6"/>
        <v>#REF!</v>
      </c>
      <c r="N124" s="47" t="e">
        <f t="shared" si="7"/>
        <v>#REF!</v>
      </c>
      <c r="O124" s="47" t="e">
        <f t="shared" si="8"/>
        <v>#REF!</v>
      </c>
      <c r="P124" s="45">
        <v>-7.8135861111111113</v>
      </c>
      <c r="Q124" s="45">
        <v>-78.413602777777783</v>
      </c>
      <c r="R124" s="45" t="s">
        <v>767</v>
      </c>
      <c r="S124" s="51" t="s">
        <v>768</v>
      </c>
      <c r="U124" s="52"/>
    </row>
    <row r="125" spans="1:21" ht="17.25" customHeight="1" x14ac:dyDescent="0.3">
      <c r="A125" s="45">
        <v>124</v>
      </c>
      <c r="B125" s="46" t="e">
        <f t="array" ref="B125">INDEX('informe de Gestión 2021-2025'!C:C, MATCH(S125,#REF!, 0), )</f>
        <v>#REF!</v>
      </c>
      <c r="C125" s="47" t="e">
        <f t="array" ref="C125">INDEX('informe de Gestión 2021-2025'!D:D, MATCH(S125,#REF!, 0), )</f>
        <v>#REF!</v>
      </c>
      <c r="D125" s="47" t="e">
        <f t="array" ref="D125">INDEX('informe de Gestión 2021-2025'!I:I, MATCH(S125,#REF!, 0), )</f>
        <v>#REF!</v>
      </c>
      <c r="E125" s="47" t="e">
        <f t="array" ref="E125">INDEX('informe de Gestión 2021-2025'!K:K, MATCH(S125,#REF!, 0), )</f>
        <v>#REF!</v>
      </c>
      <c r="F125" s="47" t="e">
        <f t="shared" si="0"/>
        <v>#REF!</v>
      </c>
      <c r="G125" s="45" t="e">
        <f t="array" ref="G125">INDEX('informe de Gestión 2021-2025'!#REF!, MATCH(S125,#REF!, 0), )</f>
        <v>#REF!</v>
      </c>
      <c r="H125" s="48" t="e">
        <f t="shared" si="1"/>
        <v>#REF!</v>
      </c>
      <c r="I125" s="49" t="e">
        <f t="shared" si="2"/>
        <v>#REF!</v>
      </c>
      <c r="J125" s="47" t="e">
        <f t="shared" si="3"/>
        <v>#REF!</v>
      </c>
      <c r="K125" s="47" t="e">
        <f t="shared" si="4"/>
        <v>#REF!</v>
      </c>
      <c r="L125" s="50" t="e">
        <f t="shared" si="5"/>
        <v>#REF!</v>
      </c>
      <c r="M125" s="50" t="e">
        <f t="shared" si="6"/>
        <v>#REF!</v>
      </c>
      <c r="N125" s="47" t="e">
        <f t="shared" si="7"/>
        <v>#REF!</v>
      </c>
      <c r="O125" s="47" t="e">
        <f t="shared" si="8"/>
        <v>#REF!</v>
      </c>
      <c r="P125" s="45">
        <v>-8.4175555555555555</v>
      </c>
      <c r="Q125" s="45">
        <v>-78.750749999999996</v>
      </c>
      <c r="R125" s="45" t="s">
        <v>769</v>
      </c>
      <c r="S125" s="51" t="s">
        <v>770</v>
      </c>
      <c r="U125" s="52"/>
    </row>
    <row r="126" spans="1:21" ht="17.25" customHeight="1" x14ac:dyDescent="0.3">
      <c r="A126" s="45">
        <v>125</v>
      </c>
      <c r="B126" s="46" t="e">
        <f t="array" ref="B126">INDEX('informe de Gestión 2021-2025'!C:C, MATCH(S126,#REF!, 0), )</f>
        <v>#REF!</v>
      </c>
      <c r="C126" s="47" t="e">
        <f t="array" ref="C126">INDEX('informe de Gestión 2021-2025'!D:D, MATCH(S126,#REF!, 0), )</f>
        <v>#REF!</v>
      </c>
      <c r="D126" s="47" t="e">
        <f t="array" ref="D126">INDEX('informe de Gestión 2021-2025'!I:I, MATCH(S126,#REF!, 0), )</f>
        <v>#REF!</v>
      </c>
      <c r="E126" s="47" t="e">
        <f t="array" ref="E126">INDEX('informe de Gestión 2021-2025'!K:K, MATCH(S126,#REF!, 0), )</f>
        <v>#REF!</v>
      </c>
      <c r="F126" s="47" t="e">
        <f t="shared" si="0"/>
        <v>#REF!</v>
      </c>
      <c r="G126" s="45" t="e">
        <f t="array" ref="G126">INDEX('informe de Gestión 2021-2025'!#REF!, MATCH(S126,#REF!, 0), )</f>
        <v>#REF!</v>
      </c>
      <c r="H126" s="48" t="e">
        <f t="shared" si="1"/>
        <v>#REF!</v>
      </c>
      <c r="I126" s="49" t="e">
        <f t="shared" si="2"/>
        <v>#REF!</v>
      </c>
      <c r="J126" s="47" t="e">
        <f t="shared" si="3"/>
        <v>#REF!</v>
      </c>
      <c r="K126" s="47" t="e">
        <f t="shared" si="4"/>
        <v>#REF!</v>
      </c>
      <c r="L126" s="50" t="e">
        <f t="shared" si="5"/>
        <v>#REF!</v>
      </c>
      <c r="M126" s="50" t="e">
        <f t="shared" si="6"/>
        <v>#REF!</v>
      </c>
      <c r="N126" s="47" t="e">
        <f t="shared" si="7"/>
        <v>#REF!</v>
      </c>
      <c r="O126" s="47" t="e">
        <f t="shared" si="8"/>
        <v>#REF!</v>
      </c>
      <c r="P126" s="45">
        <v>-9.1305444444444444</v>
      </c>
      <c r="Q126" s="45">
        <v>-77.727461111111111</v>
      </c>
      <c r="R126" s="45" t="s">
        <v>771</v>
      </c>
      <c r="S126" s="51" t="s">
        <v>772</v>
      </c>
      <c r="U126" s="52"/>
    </row>
    <row r="127" spans="1:21" ht="17.25" customHeight="1" x14ac:dyDescent="0.3">
      <c r="A127" s="45">
        <v>126</v>
      </c>
      <c r="B127" s="46" t="e">
        <f t="array" ref="B127">INDEX('informe de Gestión 2021-2025'!C:C, MATCH(S127,#REF!, 0), )</f>
        <v>#REF!</v>
      </c>
      <c r="C127" s="47" t="e">
        <f t="array" ref="C127">INDEX('informe de Gestión 2021-2025'!D:D, MATCH(S127,#REF!, 0), )</f>
        <v>#REF!</v>
      </c>
      <c r="D127" s="47" t="e">
        <f t="array" ref="D127">INDEX('informe de Gestión 2021-2025'!I:I, MATCH(S127,#REF!, 0), )</f>
        <v>#REF!</v>
      </c>
      <c r="E127" s="47" t="e">
        <f t="array" ref="E127">INDEX('informe de Gestión 2021-2025'!K:K, MATCH(S127,#REF!, 0), )</f>
        <v>#REF!</v>
      </c>
      <c r="F127" s="47" t="e">
        <f t="shared" si="0"/>
        <v>#REF!</v>
      </c>
      <c r="G127" s="45" t="e">
        <f t="array" ref="G127">INDEX('informe de Gestión 2021-2025'!#REF!, MATCH(S127,#REF!, 0), )</f>
        <v>#REF!</v>
      </c>
      <c r="H127" s="48" t="e">
        <f t="shared" si="1"/>
        <v>#REF!</v>
      </c>
      <c r="I127" s="49" t="e">
        <f t="shared" si="2"/>
        <v>#REF!</v>
      </c>
      <c r="J127" s="47" t="e">
        <f t="shared" si="3"/>
        <v>#REF!</v>
      </c>
      <c r="K127" s="47" t="e">
        <f t="shared" si="4"/>
        <v>#REF!</v>
      </c>
      <c r="L127" s="50" t="e">
        <f t="shared" si="5"/>
        <v>#REF!</v>
      </c>
      <c r="M127" s="50" t="e">
        <f t="shared" si="6"/>
        <v>#REF!</v>
      </c>
      <c r="N127" s="47" t="e">
        <f t="shared" si="7"/>
        <v>#REF!</v>
      </c>
      <c r="O127" s="47" t="e">
        <f t="shared" si="8"/>
        <v>#REF!</v>
      </c>
      <c r="P127" s="45">
        <v>-9.1305444444444444</v>
      </c>
      <c r="Q127" s="45">
        <v>-77.727461111111111</v>
      </c>
      <c r="R127" s="45" t="s">
        <v>771</v>
      </c>
      <c r="S127" s="51" t="s">
        <v>773</v>
      </c>
      <c r="U127" s="52"/>
    </row>
    <row r="128" spans="1:21" ht="17.25" customHeight="1" x14ac:dyDescent="0.3">
      <c r="A128" s="45">
        <v>127</v>
      </c>
      <c r="B128" s="46" t="e">
        <f t="array" ref="B128">INDEX('informe de Gestión 2021-2025'!C:C, MATCH(S128,#REF!, 0), )</f>
        <v>#REF!</v>
      </c>
      <c r="C128" s="47" t="e">
        <f t="array" ref="C128">INDEX('informe de Gestión 2021-2025'!D:D, MATCH(S128,#REF!, 0), )</f>
        <v>#REF!</v>
      </c>
      <c r="D128" s="47" t="e">
        <f t="array" ref="D128">INDEX('informe de Gestión 2021-2025'!I:I, MATCH(S128,#REF!, 0), )</f>
        <v>#REF!</v>
      </c>
      <c r="E128" s="47" t="e">
        <f t="array" ref="E128">INDEX('informe de Gestión 2021-2025'!K:K, MATCH(S128,#REF!, 0), )</f>
        <v>#REF!</v>
      </c>
      <c r="F128" s="47" t="e">
        <f t="shared" si="0"/>
        <v>#REF!</v>
      </c>
      <c r="G128" s="45" t="e">
        <f t="array" ref="G128">INDEX('informe de Gestión 2021-2025'!#REF!, MATCH(S128,#REF!, 0), )</f>
        <v>#REF!</v>
      </c>
      <c r="H128" s="48" t="e">
        <f t="shared" si="1"/>
        <v>#REF!</v>
      </c>
      <c r="I128" s="49" t="e">
        <f t="shared" si="2"/>
        <v>#REF!</v>
      </c>
      <c r="J128" s="47" t="e">
        <f t="shared" si="3"/>
        <v>#REF!</v>
      </c>
      <c r="K128" s="47" t="e">
        <f t="shared" si="4"/>
        <v>#REF!</v>
      </c>
      <c r="L128" s="50" t="e">
        <f t="shared" si="5"/>
        <v>#REF!</v>
      </c>
      <c r="M128" s="50" t="e">
        <f t="shared" si="6"/>
        <v>#REF!</v>
      </c>
      <c r="N128" s="47" t="e">
        <f t="shared" si="7"/>
        <v>#REF!</v>
      </c>
      <c r="O128" s="47" t="e">
        <f t="shared" si="8"/>
        <v>#REF!</v>
      </c>
      <c r="P128" s="45">
        <v>-5.9055</v>
      </c>
      <c r="Q128" s="45">
        <v>-79.593055555555551</v>
      </c>
      <c r="R128" s="45" t="s">
        <v>774</v>
      </c>
      <c r="S128" s="51" t="s">
        <v>775</v>
      </c>
      <c r="U128" s="52"/>
    </row>
    <row r="129" spans="1:21" ht="17.25" customHeight="1" x14ac:dyDescent="0.3">
      <c r="A129" s="45">
        <v>128</v>
      </c>
      <c r="B129" s="46" t="e">
        <f t="array" ref="B129">INDEX('informe de Gestión 2021-2025'!C:C, MATCH(S129,#REF!, 0), )</f>
        <v>#REF!</v>
      </c>
      <c r="C129" s="47" t="e">
        <f t="array" ref="C129">INDEX('informe de Gestión 2021-2025'!D:D, MATCH(S129,#REF!, 0), )</f>
        <v>#REF!</v>
      </c>
      <c r="D129" s="47" t="e">
        <f t="array" ref="D129">INDEX('informe de Gestión 2021-2025'!I:I, MATCH(S129,#REF!, 0), )</f>
        <v>#REF!</v>
      </c>
      <c r="E129" s="47" t="e">
        <f t="array" ref="E129">INDEX('informe de Gestión 2021-2025'!K:K, MATCH(S129,#REF!, 0), )</f>
        <v>#REF!</v>
      </c>
      <c r="F129" s="47" t="e">
        <f t="shared" si="0"/>
        <v>#REF!</v>
      </c>
      <c r="G129" s="45" t="e">
        <f t="array" ref="G129">INDEX('informe de Gestión 2021-2025'!#REF!, MATCH(S129,#REF!, 0), )</f>
        <v>#REF!</v>
      </c>
      <c r="H129" s="48" t="e">
        <f t="shared" si="1"/>
        <v>#REF!</v>
      </c>
      <c r="I129" s="49" t="e">
        <f t="shared" si="2"/>
        <v>#REF!</v>
      </c>
      <c r="J129" s="47" t="e">
        <f t="shared" si="3"/>
        <v>#REF!</v>
      </c>
      <c r="K129" s="47" t="e">
        <f t="shared" si="4"/>
        <v>#REF!</v>
      </c>
      <c r="L129" s="50" t="e">
        <f t="shared" si="5"/>
        <v>#REF!</v>
      </c>
      <c r="M129" s="50" t="e">
        <f t="shared" si="6"/>
        <v>#REF!</v>
      </c>
      <c r="N129" s="47" t="e">
        <f t="shared" si="7"/>
        <v>#REF!</v>
      </c>
      <c r="O129" s="47" t="e">
        <f t="shared" si="8"/>
        <v>#REF!</v>
      </c>
      <c r="P129" s="45">
        <v>-3.5002777777777778</v>
      </c>
      <c r="Q129" s="45">
        <v>-80.265766666666664</v>
      </c>
      <c r="R129" s="45" t="s">
        <v>776</v>
      </c>
      <c r="S129" s="51" t="s">
        <v>777</v>
      </c>
      <c r="U129" s="52"/>
    </row>
    <row r="130" spans="1:21" ht="17.25" customHeight="1" x14ac:dyDescent="0.3">
      <c r="A130" s="45">
        <v>129</v>
      </c>
      <c r="B130" s="46" t="e">
        <f t="array" ref="B130">INDEX('informe de Gestión 2021-2025'!C:C, MATCH(S130,#REF!, 0), )</f>
        <v>#REF!</v>
      </c>
      <c r="C130" s="47" t="e">
        <f t="array" ref="C130">INDEX('informe de Gestión 2021-2025'!D:D, MATCH(S130,#REF!, 0), )</f>
        <v>#REF!</v>
      </c>
      <c r="D130" s="47" t="e">
        <f t="array" ref="D130">INDEX('informe de Gestión 2021-2025'!I:I, MATCH(S130,#REF!, 0), )</f>
        <v>#REF!</v>
      </c>
      <c r="E130" s="47" t="e">
        <f t="array" ref="E130">INDEX('informe de Gestión 2021-2025'!K:K, MATCH(S130,#REF!, 0), )</f>
        <v>#REF!</v>
      </c>
      <c r="F130" s="47" t="e">
        <f t="shared" si="0"/>
        <v>#REF!</v>
      </c>
      <c r="G130" s="45" t="e">
        <f t="array" ref="G130">INDEX('informe de Gestión 2021-2025'!#REF!, MATCH(S130,#REF!, 0), )</f>
        <v>#REF!</v>
      </c>
      <c r="H130" s="48" t="e">
        <f t="shared" si="1"/>
        <v>#REF!</v>
      </c>
      <c r="I130" s="49" t="e">
        <f t="shared" si="2"/>
        <v>#REF!</v>
      </c>
      <c r="J130" s="47" t="e">
        <f t="shared" si="3"/>
        <v>#REF!</v>
      </c>
      <c r="K130" s="47" t="e">
        <f t="shared" si="4"/>
        <v>#REF!</v>
      </c>
      <c r="L130" s="50" t="e">
        <f t="shared" si="5"/>
        <v>#REF!</v>
      </c>
      <c r="M130" s="50" t="e">
        <f t="shared" si="6"/>
        <v>#REF!</v>
      </c>
      <c r="N130" s="47" t="e">
        <f t="shared" si="7"/>
        <v>#REF!</v>
      </c>
      <c r="O130" s="47" t="e">
        <f t="shared" si="8"/>
        <v>#REF!</v>
      </c>
      <c r="P130" s="45">
        <v>-3.6872527777777782</v>
      </c>
      <c r="Q130" s="45">
        <v>-80.679444444444442</v>
      </c>
      <c r="R130" s="45" t="s">
        <v>778</v>
      </c>
      <c r="S130" s="51" t="s">
        <v>779</v>
      </c>
      <c r="U130" s="52"/>
    </row>
    <row r="131" spans="1:21" ht="17.25" customHeight="1" x14ac:dyDescent="0.3">
      <c r="A131" s="45">
        <v>130</v>
      </c>
      <c r="B131" s="53" t="s">
        <v>1379</v>
      </c>
      <c r="C131" s="47" t="s">
        <v>1379</v>
      </c>
      <c r="D131" s="47" t="s">
        <v>1379</v>
      </c>
      <c r="E131" s="47" t="s">
        <v>1379</v>
      </c>
      <c r="F131" s="47" t="s">
        <v>1379</v>
      </c>
      <c r="G131" s="45" t="s">
        <v>1379</v>
      </c>
      <c r="H131" s="48" t="s">
        <v>1379</v>
      </c>
      <c r="I131" s="49" t="s">
        <v>1379</v>
      </c>
      <c r="J131" s="47" t="s">
        <v>1379</v>
      </c>
      <c r="K131" s="47" t="s">
        <v>1379</v>
      </c>
      <c r="L131" s="45" t="s">
        <v>1379</v>
      </c>
      <c r="M131" s="50" t="s">
        <v>1379</v>
      </c>
      <c r="N131" s="47" t="s">
        <v>1379</v>
      </c>
      <c r="O131" s="45" t="s">
        <v>1379</v>
      </c>
      <c r="P131" s="45">
        <v>-12.847555555555557</v>
      </c>
      <c r="Q131" s="45">
        <v>-74.580194444444444</v>
      </c>
      <c r="R131" s="45" t="s">
        <v>780</v>
      </c>
      <c r="S131" s="51" t="s">
        <v>781</v>
      </c>
      <c r="U131" s="52"/>
    </row>
    <row r="132" spans="1:21" ht="17.25" customHeight="1" x14ac:dyDescent="0.3">
      <c r="A132" s="45">
        <v>131</v>
      </c>
      <c r="B132" s="53" t="s">
        <v>1379</v>
      </c>
      <c r="C132" s="47" t="s">
        <v>1379</v>
      </c>
      <c r="D132" s="47" t="s">
        <v>1379</v>
      </c>
      <c r="E132" s="47" t="s">
        <v>1379</v>
      </c>
      <c r="F132" s="47" t="s">
        <v>1379</v>
      </c>
      <c r="G132" s="45" t="s">
        <v>1379</v>
      </c>
      <c r="H132" s="48" t="s">
        <v>1379</v>
      </c>
      <c r="I132" s="49" t="s">
        <v>1379</v>
      </c>
      <c r="J132" s="47" t="s">
        <v>1379</v>
      </c>
      <c r="K132" s="47" t="s">
        <v>1379</v>
      </c>
      <c r="L132" s="45" t="s">
        <v>1379</v>
      </c>
      <c r="M132" s="50" t="s">
        <v>1379</v>
      </c>
      <c r="N132" s="47" t="s">
        <v>1379</v>
      </c>
      <c r="O132" s="45" t="s">
        <v>1379</v>
      </c>
      <c r="P132" s="45">
        <v>-11.351602777777778</v>
      </c>
      <c r="Q132" s="45">
        <v>-75.662977777777783</v>
      </c>
      <c r="R132" s="45" t="s">
        <v>782</v>
      </c>
      <c r="S132" s="51" t="s">
        <v>783</v>
      </c>
      <c r="U132" s="52"/>
    </row>
    <row r="133" spans="1:21" ht="17.25" customHeight="1" x14ac:dyDescent="0.3">
      <c r="A133" s="45">
        <v>132</v>
      </c>
      <c r="B133" s="53" t="s">
        <v>1379</v>
      </c>
      <c r="C133" s="47" t="s">
        <v>1379</v>
      </c>
      <c r="D133" s="47" t="s">
        <v>1379</v>
      </c>
      <c r="E133" s="47" t="s">
        <v>1379</v>
      </c>
      <c r="F133" s="47" t="s">
        <v>1379</v>
      </c>
      <c r="G133" s="45" t="s">
        <v>1379</v>
      </c>
      <c r="H133" s="48" t="s">
        <v>1379</v>
      </c>
      <c r="I133" s="49" t="s">
        <v>1379</v>
      </c>
      <c r="J133" s="47" t="s">
        <v>1379</v>
      </c>
      <c r="K133" s="47" t="s">
        <v>1379</v>
      </c>
      <c r="L133" s="45" t="s">
        <v>1379</v>
      </c>
      <c r="M133" s="50" t="s">
        <v>1379</v>
      </c>
      <c r="N133" s="47" t="s">
        <v>1379</v>
      </c>
      <c r="O133" s="45" t="s">
        <v>1379</v>
      </c>
      <c r="P133" s="45">
        <v>-9.0348055555555558</v>
      </c>
      <c r="Q133" s="45">
        <v>-75.516638888888892</v>
      </c>
      <c r="R133" s="45" t="s">
        <v>784</v>
      </c>
      <c r="S133" s="51" t="s">
        <v>785</v>
      </c>
      <c r="U133" s="52"/>
    </row>
    <row r="134" spans="1:21" ht="17.25" customHeight="1" x14ac:dyDescent="0.3">
      <c r="A134" s="45">
        <v>133</v>
      </c>
      <c r="B134" s="53" t="s">
        <v>1379</v>
      </c>
      <c r="C134" s="47" t="s">
        <v>1379</v>
      </c>
      <c r="D134" s="47" t="s">
        <v>1379</v>
      </c>
      <c r="E134" s="47" t="s">
        <v>1379</v>
      </c>
      <c r="F134" s="47" t="s">
        <v>1379</v>
      </c>
      <c r="G134" s="45" t="s">
        <v>1379</v>
      </c>
      <c r="H134" s="48" t="s">
        <v>1379</v>
      </c>
      <c r="I134" s="49" t="s">
        <v>1379</v>
      </c>
      <c r="J134" s="47" t="s">
        <v>1379</v>
      </c>
      <c r="K134" s="47" t="s">
        <v>1379</v>
      </c>
      <c r="L134" s="45" t="s">
        <v>1379</v>
      </c>
      <c r="M134" s="50" t="s">
        <v>1379</v>
      </c>
      <c r="N134" s="47" t="s">
        <v>1379</v>
      </c>
      <c r="O134" s="45" t="s">
        <v>1379</v>
      </c>
      <c r="P134" s="45">
        <v>-10.129166666666666</v>
      </c>
      <c r="Q134" s="45">
        <v>-76.197613888888895</v>
      </c>
      <c r="R134" s="45" t="s">
        <v>786</v>
      </c>
      <c r="S134" s="51" t="s">
        <v>787</v>
      </c>
      <c r="U134" s="52"/>
    </row>
    <row r="135" spans="1:21" ht="17.25" customHeight="1" x14ac:dyDescent="0.3">
      <c r="A135" s="45">
        <v>134</v>
      </c>
      <c r="B135" s="53" t="s">
        <v>1379</v>
      </c>
      <c r="C135" s="47" t="s">
        <v>1379</v>
      </c>
      <c r="D135" s="47" t="s">
        <v>1379</v>
      </c>
      <c r="E135" s="47" t="s">
        <v>1379</v>
      </c>
      <c r="F135" s="47" t="s">
        <v>1379</v>
      </c>
      <c r="G135" s="45" t="s">
        <v>1379</v>
      </c>
      <c r="H135" s="48" t="s">
        <v>1379</v>
      </c>
      <c r="I135" s="49" t="s">
        <v>1379</v>
      </c>
      <c r="J135" s="47" t="s">
        <v>1379</v>
      </c>
      <c r="K135" s="47" t="s">
        <v>1379</v>
      </c>
      <c r="L135" s="45" t="s">
        <v>1379</v>
      </c>
      <c r="M135" s="50" t="s">
        <v>1379</v>
      </c>
      <c r="N135" s="47" t="s">
        <v>1379</v>
      </c>
      <c r="O135" s="45" t="s">
        <v>1379</v>
      </c>
      <c r="P135" s="45">
        <v>-10.790749999999999</v>
      </c>
      <c r="Q135" s="45">
        <v>-76.91402777777779</v>
      </c>
      <c r="R135" s="45" t="s">
        <v>788</v>
      </c>
      <c r="S135" s="51" t="s">
        <v>789</v>
      </c>
      <c r="U135" s="52"/>
    </row>
    <row r="136" spans="1:21" ht="17.25" customHeight="1" x14ac:dyDescent="0.3">
      <c r="A136" s="45">
        <v>135</v>
      </c>
      <c r="B136" s="53" t="s">
        <v>1379</v>
      </c>
      <c r="C136" s="47" t="s">
        <v>1379</v>
      </c>
      <c r="D136" s="47" t="s">
        <v>1379</v>
      </c>
      <c r="E136" s="47" t="s">
        <v>1379</v>
      </c>
      <c r="F136" s="47" t="s">
        <v>1379</v>
      </c>
      <c r="G136" s="45" t="s">
        <v>1379</v>
      </c>
      <c r="H136" s="48" t="s">
        <v>1379</v>
      </c>
      <c r="I136" s="49" t="s">
        <v>1379</v>
      </c>
      <c r="J136" s="47" t="s">
        <v>1379</v>
      </c>
      <c r="K136" s="47" t="s">
        <v>1379</v>
      </c>
      <c r="L136" s="45" t="s">
        <v>1379</v>
      </c>
      <c r="M136" s="50" t="s">
        <v>1379</v>
      </c>
      <c r="N136" s="47" t="s">
        <v>1379</v>
      </c>
      <c r="O136" s="45" t="s">
        <v>1379</v>
      </c>
      <c r="R136" s="45"/>
      <c r="S136" s="51" t="s">
        <v>790</v>
      </c>
      <c r="U136" s="52"/>
    </row>
    <row r="137" spans="1:21" ht="17.25" customHeight="1" x14ac:dyDescent="0.3">
      <c r="A137" s="45">
        <v>136</v>
      </c>
      <c r="B137" s="53" t="s">
        <v>1379</v>
      </c>
      <c r="C137" s="47" t="s">
        <v>1379</v>
      </c>
      <c r="D137" s="47" t="s">
        <v>1379</v>
      </c>
      <c r="E137" s="47" t="s">
        <v>1379</v>
      </c>
      <c r="F137" s="47" t="s">
        <v>1379</v>
      </c>
      <c r="G137" s="45" t="s">
        <v>1379</v>
      </c>
      <c r="H137" s="48" t="s">
        <v>1379</v>
      </c>
      <c r="I137" s="49" t="s">
        <v>1379</v>
      </c>
      <c r="J137" s="47" t="s">
        <v>1379</v>
      </c>
      <c r="K137" s="47" t="s">
        <v>1379</v>
      </c>
      <c r="L137" s="45" t="s">
        <v>1379</v>
      </c>
      <c r="M137" s="50" t="s">
        <v>1379</v>
      </c>
      <c r="N137" s="47" t="s">
        <v>1379</v>
      </c>
      <c r="O137" s="45" t="s">
        <v>1379</v>
      </c>
      <c r="R137" s="45"/>
      <c r="S137" s="51" t="s">
        <v>791</v>
      </c>
      <c r="U137" s="52"/>
    </row>
    <row r="138" spans="1:21" ht="17.25" customHeight="1" x14ac:dyDescent="0.3">
      <c r="A138" s="45">
        <v>137</v>
      </c>
      <c r="B138" s="53" t="s">
        <v>1379</v>
      </c>
      <c r="C138" s="47" t="s">
        <v>1379</v>
      </c>
      <c r="D138" s="47" t="s">
        <v>1379</v>
      </c>
      <c r="E138" s="47" t="s">
        <v>1379</v>
      </c>
      <c r="F138" s="47" t="s">
        <v>1379</v>
      </c>
      <c r="G138" s="45" t="s">
        <v>1379</v>
      </c>
      <c r="H138" s="48" t="s">
        <v>1379</v>
      </c>
      <c r="I138" s="49" t="s">
        <v>1379</v>
      </c>
      <c r="J138" s="47" t="s">
        <v>1379</v>
      </c>
      <c r="K138" s="47" t="s">
        <v>1379</v>
      </c>
      <c r="L138" s="45" t="s">
        <v>1379</v>
      </c>
      <c r="M138" s="50" t="s">
        <v>1379</v>
      </c>
      <c r="N138" s="47" t="s">
        <v>1379</v>
      </c>
      <c r="O138" s="45" t="s">
        <v>1379</v>
      </c>
      <c r="P138" s="45">
        <v>-10.739805555555554</v>
      </c>
      <c r="Q138" s="45">
        <v>-73.758861111111116</v>
      </c>
      <c r="R138" s="45" t="s">
        <v>792</v>
      </c>
      <c r="S138" s="51" t="s">
        <v>793</v>
      </c>
      <c r="U138" s="52"/>
    </row>
    <row r="139" spans="1:21" ht="17.25" customHeight="1" x14ac:dyDescent="0.3">
      <c r="A139" s="45">
        <v>138</v>
      </c>
      <c r="B139" s="53" t="s">
        <v>1379</v>
      </c>
      <c r="C139" s="47" t="s">
        <v>1379</v>
      </c>
      <c r="D139" s="47" t="s">
        <v>1379</v>
      </c>
      <c r="E139" s="47" t="s">
        <v>1379</v>
      </c>
      <c r="F139" s="47" t="s">
        <v>1379</v>
      </c>
      <c r="G139" s="45" t="s">
        <v>1379</v>
      </c>
      <c r="H139" s="48" t="s">
        <v>1379</v>
      </c>
      <c r="I139" s="49" t="s">
        <v>1379</v>
      </c>
      <c r="J139" s="47" t="s">
        <v>1379</v>
      </c>
      <c r="K139" s="47" t="s">
        <v>1379</v>
      </c>
      <c r="L139" s="45" t="s">
        <v>1379</v>
      </c>
      <c r="M139" s="50" t="s">
        <v>1379</v>
      </c>
      <c r="N139" s="47" t="s">
        <v>1379</v>
      </c>
      <c r="O139" s="45" t="s">
        <v>1379</v>
      </c>
      <c r="P139" s="45">
        <v>-14.27975</v>
      </c>
      <c r="Q139" s="45">
        <v>-73.975222222222229</v>
      </c>
      <c r="R139" s="45" t="s">
        <v>794</v>
      </c>
      <c r="S139" s="51" t="s">
        <v>795</v>
      </c>
      <c r="U139" s="52"/>
    </row>
    <row r="140" spans="1:21" ht="17.25" customHeight="1" x14ac:dyDescent="0.3">
      <c r="A140" s="45">
        <v>139</v>
      </c>
      <c r="B140" s="53" t="s">
        <v>1379</v>
      </c>
      <c r="C140" s="47" t="s">
        <v>1379</v>
      </c>
      <c r="D140" s="47" t="s">
        <v>1379</v>
      </c>
      <c r="E140" s="47" t="s">
        <v>1379</v>
      </c>
      <c r="F140" s="47" t="s">
        <v>1379</v>
      </c>
      <c r="G140" s="45" t="s">
        <v>1379</v>
      </c>
      <c r="H140" s="48" t="s">
        <v>1379</v>
      </c>
      <c r="I140" s="49" t="s">
        <v>1379</v>
      </c>
      <c r="J140" s="47" t="s">
        <v>1379</v>
      </c>
      <c r="K140" s="47" t="s">
        <v>1379</v>
      </c>
      <c r="L140" s="45" t="s">
        <v>1379</v>
      </c>
      <c r="M140" s="50" t="s">
        <v>1379</v>
      </c>
      <c r="N140" s="47" t="s">
        <v>1379</v>
      </c>
      <c r="O140" s="45" t="s">
        <v>1379</v>
      </c>
      <c r="P140" s="45">
        <v>-8.930361111111111</v>
      </c>
      <c r="Q140" s="45">
        <v>-76.118722222222218</v>
      </c>
      <c r="R140" s="45" t="s">
        <v>796</v>
      </c>
      <c r="S140" s="51" t="s">
        <v>797</v>
      </c>
      <c r="U140" s="52"/>
    </row>
    <row r="141" spans="1:21" ht="17.25" customHeight="1" x14ac:dyDescent="0.3">
      <c r="A141" s="45">
        <v>140</v>
      </c>
      <c r="B141" s="53" t="s">
        <v>1379</v>
      </c>
      <c r="C141" s="47" t="s">
        <v>1379</v>
      </c>
      <c r="D141" s="47" t="s">
        <v>1379</v>
      </c>
      <c r="E141" s="47" t="s">
        <v>1379</v>
      </c>
      <c r="F141" s="47" t="s">
        <v>1379</v>
      </c>
      <c r="G141" s="45" t="s">
        <v>1379</v>
      </c>
      <c r="H141" s="48" t="s">
        <v>1379</v>
      </c>
      <c r="I141" s="49" t="s">
        <v>1379</v>
      </c>
      <c r="J141" s="47" t="s">
        <v>1379</v>
      </c>
      <c r="K141" s="47" t="s">
        <v>1379</v>
      </c>
      <c r="L141" s="45" t="s">
        <v>1379</v>
      </c>
      <c r="M141" s="50" t="s">
        <v>1379</v>
      </c>
      <c r="N141" s="47" t="s">
        <v>1379</v>
      </c>
      <c r="O141" s="45" t="s">
        <v>1379</v>
      </c>
      <c r="P141" s="45">
        <v>-8.9303055555555542</v>
      </c>
      <c r="Q141" s="45">
        <v>-76.118555555555545</v>
      </c>
      <c r="R141" s="45" t="s">
        <v>798</v>
      </c>
      <c r="S141" s="51" t="s">
        <v>799</v>
      </c>
      <c r="U141" s="52"/>
    </row>
    <row r="142" spans="1:21" ht="17.25" customHeight="1" x14ac:dyDescent="0.3">
      <c r="A142" s="45">
        <v>141</v>
      </c>
      <c r="B142" s="53" t="s">
        <v>1379</v>
      </c>
      <c r="C142" s="47" t="s">
        <v>1379</v>
      </c>
      <c r="D142" s="47" t="s">
        <v>1379</v>
      </c>
      <c r="E142" s="47" t="s">
        <v>1379</v>
      </c>
      <c r="F142" s="47" t="s">
        <v>1379</v>
      </c>
      <c r="G142" s="45" t="s">
        <v>1379</v>
      </c>
      <c r="H142" s="48" t="s">
        <v>1379</v>
      </c>
      <c r="I142" s="49" t="s">
        <v>1379</v>
      </c>
      <c r="J142" s="47" t="s">
        <v>1379</v>
      </c>
      <c r="K142" s="47" t="s">
        <v>1379</v>
      </c>
      <c r="L142" s="45" t="s">
        <v>1379</v>
      </c>
      <c r="M142" s="50" t="s">
        <v>1379</v>
      </c>
      <c r="N142" s="47" t="s">
        <v>1379</v>
      </c>
      <c r="O142" s="45" t="s">
        <v>1379</v>
      </c>
      <c r="P142" s="45">
        <v>-13.158444444444445</v>
      </c>
      <c r="Q142" s="45">
        <v>-74.24422222222222</v>
      </c>
      <c r="R142" s="45" t="s">
        <v>800</v>
      </c>
      <c r="S142" s="51" t="s">
        <v>801</v>
      </c>
      <c r="U142" s="52"/>
    </row>
    <row r="143" spans="1:21" ht="17.25" customHeight="1" x14ac:dyDescent="0.3">
      <c r="A143" s="45">
        <v>142</v>
      </c>
      <c r="B143" s="53" t="s">
        <v>1379</v>
      </c>
      <c r="C143" s="47" t="s">
        <v>1379</v>
      </c>
      <c r="D143" s="47" t="s">
        <v>1379</v>
      </c>
      <c r="E143" s="47" t="s">
        <v>1379</v>
      </c>
      <c r="F143" s="47" t="s">
        <v>1379</v>
      </c>
      <c r="G143" s="45" t="s">
        <v>1379</v>
      </c>
      <c r="H143" s="48" t="s">
        <v>1379</v>
      </c>
      <c r="I143" s="49" t="s">
        <v>1379</v>
      </c>
      <c r="J143" s="47" t="s">
        <v>1379</v>
      </c>
      <c r="K143" s="47" t="s">
        <v>1379</v>
      </c>
      <c r="L143" s="45" t="s">
        <v>1379</v>
      </c>
      <c r="M143" s="50" t="s">
        <v>1379</v>
      </c>
      <c r="N143" s="47" t="s">
        <v>1379</v>
      </c>
      <c r="O143" s="45" t="s">
        <v>1379</v>
      </c>
      <c r="P143" s="45">
        <v>-13.155000000000001</v>
      </c>
      <c r="Q143" s="45">
        <v>-74.241666666666674</v>
      </c>
      <c r="R143" s="45" t="s">
        <v>802</v>
      </c>
      <c r="S143" s="51" t="s">
        <v>803</v>
      </c>
      <c r="U143" s="52"/>
    </row>
    <row r="144" spans="1:21" ht="17.25" customHeight="1" x14ac:dyDescent="0.3">
      <c r="A144" s="45">
        <v>143</v>
      </c>
      <c r="B144" s="53" t="s">
        <v>1379</v>
      </c>
      <c r="C144" s="47" t="s">
        <v>1379</v>
      </c>
      <c r="D144" s="47" t="s">
        <v>1379</v>
      </c>
      <c r="E144" s="47" t="s">
        <v>1379</v>
      </c>
      <c r="F144" s="47" t="s">
        <v>1379</v>
      </c>
      <c r="G144" s="45" t="s">
        <v>1379</v>
      </c>
      <c r="H144" s="48" t="s">
        <v>1379</v>
      </c>
      <c r="I144" s="49" t="s">
        <v>1379</v>
      </c>
      <c r="J144" s="47" t="s">
        <v>1379</v>
      </c>
      <c r="K144" s="47" t="s">
        <v>1379</v>
      </c>
      <c r="L144" s="45" t="s">
        <v>1379</v>
      </c>
      <c r="M144" s="50" t="s">
        <v>1379</v>
      </c>
      <c r="N144" s="47" t="s">
        <v>1379</v>
      </c>
      <c r="O144" s="45" t="s">
        <v>1379</v>
      </c>
      <c r="P144" s="45">
        <v>-13.509313888888888</v>
      </c>
      <c r="Q144" s="45">
        <v>-74.193413888888898</v>
      </c>
      <c r="R144" s="45" t="s">
        <v>804</v>
      </c>
      <c r="S144" s="51" t="s">
        <v>805</v>
      </c>
      <c r="U144" s="52"/>
    </row>
    <row r="145" spans="1:21" ht="17.25" customHeight="1" x14ac:dyDescent="0.3">
      <c r="A145" s="45">
        <v>144</v>
      </c>
      <c r="B145" s="53" t="s">
        <v>1379</v>
      </c>
      <c r="C145" s="47" t="s">
        <v>1379</v>
      </c>
      <c r="D145" s="47" t="s">
        <v>1379</v>
      </c>
      <c r="E145" s="47" t="s">
        <v>1379</v>
      </c>
      <c r="F145" s="47" t="s">
        <v>1379</v>
      </c>
      <c r="G145" s="45" t="s">
        <v>1379</v>
      </c>
      <c r="H145" s="48" t="s">
        <v>1379</v>
      </c>
      <c r="I145" s="49" t="s">
        <v>1379</v>
      </c>
      <c r="J145" s="47" t="s">
        <v>1379</v>
      </c>
      <c r="K145" s="47" t="s">
        <v>1379</v>
      </c>
      <c r="L145" s="45" t="s">
        <v>1379</v>
      </c>
      <c r="M145" s="50" t="s">
        <v>1379</v>
      </c>
      <c r="N145" s="47" t="s">
        <v>1379</v>
      </c>
      <c r="O145" s="45" t="s">
        <v>1379</v>
      </c>
      <c r="P145" s="45">
        <v>-12.628847222222223</v>
      </c>
      <c r="Q145" s="45">
        <v>-73.788469444444445</v>
      </c>
      <c r="R145" s="45" t="s">
        <v>806</v>
      </c>
      <c r="S145" s="51" t="s">
        <v>807</v>
      </c>
      <c r="U145" s="52"/>
    </row>
    <row r="146" spans="1:21" ht="17.25" customHeight="1" x14ac:dyDescent="0.3">
      <c r="A146" s="45">
        <v>145</v>
      </c>
      <c r="B146" s="53" t="s">
        <v>1379</v>
      </c>
      <c r="C146" s="47" t="s">
        <v>1379</v>
      </c>
      <c r="D146" s="47" t="s">
        <v>1379</v>
      </c>
      <c r="E146" s="47" t="s">
        <v>1379</v>
      </c>
      <c r="F146" s="47" t="s">
        <v>1379</v>
      </c>
      <c r="G146" s="45" t="s">
        <v>1379</v>
      </c>
      <c r="H146" s="48" t="s">
        <v>1379</v>
      </c>
      <c r="I146" s="49" t="s">
        <v>1379</v>
      </c>
      <c r="J146" s="47" t="s">
        <v>1379</v>
      </c>
      <c r="K146" s="47" t="s">
        <v>1379</v>
      </c>
      <c r="L146" s="45" t="s">
        <v>1379</v>
      </c>
      <c r="M146" s="50" t="s">
        <v>1379</v>
      </c>
      <c r="N146" s="47" t="s">
        <v>1379</v>
      </c>
      <c r="O146" s="45" t="s">
        <v>1379</v>
      </c>
      <c r="P146" s="45">
        <v>-12.596333333333334</v>
      </c>
      <c r="Q146" s="45">
        <v>-73.830527777777775</v>
      </c>
      <c r="R146" s="45" t="s">
        <v>808</v>
      </c>
      <c r="S146" s="51" t="s">
        <v>809</v>
      </c>
      <c r="U146" s="52"/>
    </row>
    <row r="147" spans="1:21" ht="17.25" customHeight="1" x14ac:dyDescent="0.3">
      <c r="A147" s="45">
        <v>146</v>
      </c>
      <c r="B147" s="53" t="s">
        <v>1379</v>
      </c>
      <c r="C147" s="47" t="s">
        <v>1379</v>
      </c>
      <c r="D147" s="47" t="s">
        <v>1379</v>
      </c>
      <c r="E147" s="47" t="s">
        <v>1379</v>
      </c>
      <c r="F147" s="47" t="s">
        <v>1379</v>
      </c>
      <c r="G147" s="45" t="s">
        <v>1379</v>
      </c>
      <c r="H147" s="48" t="s">
        <v>1379</v>
      </c>
      <c r="I147" s="49" t="s">
        <v>1379</v>
      </c>
      <c r="J147" s="47" t="s">
        <v>1379</v>
      </c>
      <c r="K147" s="47" t="s">
        <v>1379</v>
      </c>
      <c r="L147" s="45" t="s">
        <v>1379</v>
      </c>
      <c r="M147" s="50" t="s">
        <v>1379</v>
      </c>
      <c r="N147" s="47" t="s">
        <v>1379</v>
      </c>
      <c r="O147" s="45" t="s">
        <v>1379</v>
      </c>
      <c r="P147" s="45">
        <v>-10.725861111111112</v>
      </c>
      <c r="Q147" s="45">
        <v>-77.74755555555555</v>
      </c>
      <c r="R147" s="45" t="s">
        <v>810</v>
      </c>
      <c r="S147" s="51" t="s">
        <v>811</v>
      </c>
      <c r="U147" s="52"/>
    </row>
    <row r="148" spans="1:21" ht="17.25" customHeight="1" x14ac:dyDescent="0.3">
      <c r="A148" s="45">
        <v>147</v>
      </c>
      <c r="B148" s="53" t="s">
        <v>1379</v>
      </c>
      <c r="C148" s="47" t="s">
        <v>1379</v>
      </c>
      <c r="D148" s="47" t="s">
        <v>1379</v>
      </c>
      <c r="E148" s="47" t="s">
        <v>1379</v>
      </c>
      <c r="F148" s="47" t="s">
        <v>1379</v>
      </c>
      <c r="G148" s="45" t="s">
        <v>1379</v>
      </c>
      <c r="H148" s="48" t="s">
        <v>1379</v>
      </c>
      <c r="I148" s="49" t="s">
        <v>1379</v>
      </c>
      <c r="J148" s="47" t="s">
        <v>1379</v>
      </c>
      <c r="K148" s="47" t="s">
        <v>1379</v>
      </c>
      <c r="L148" s="45" t="s">
        <v>1379</v>
      </c>
      <c r="M148" s="50" t="s">
        <v>1379</v>
      </c>
      <c r="N148" s="47" t="s">
        <v>1379</v>
      </c>
      <c r="O148" s="45" t="s">
        <v>1379</v>
      </c>
      <c r="P148" s="45">
        <v>-10.754972222222221</v>
      </c>
      <c r="Q148" s="45">
        <v>-77.759944444444443</v>
      </c>
      <c r="R148" s="45" t="s">
        <v>812</v>
      </c>
      <c r="S148" s="51" t="s">
        <v>813</v>
      </c>
      <c r="U148" s="52"/>
    </row>
    <row r="149" spans="1:21" ht="17.25" customHeight="1" x14ac:dyDescent="0.3">
      <c r="A149" s="45">
        <v>148</v>
      </c>
      <c r="B149" s="53" t="s">
        <v>1379</v>
      </c>
      <c r="C149" s="47" t="s">
        <v>1379</v>
      </c>
      <c r="D149" s="47" t="s">
        <v>1379</v>
      </c>
      <c r="E149" s="47" t="s">
        <v>1379</v>
      </c>
      <c r="F149" s="47" t="s">
        <v>1379</v>
      </c>
      <c r="G149" s="45" t="s">
        <v>1379</v>
      </c>
      <c r="H149" s="48" t="s">
        <v>1379</v>
      </c>
      <c r="I149" s="49" t="s">
        <v>1379</v>
      </c>
      <c r="J149" s="47" t="s">
        <v>1379</v>
      </c>
      <c r="K149" s="47" t="s">
        <v>1379</v>
      </c>
      <c r="L149" s="45" t="s">
        <v>1379</v>
      </c>
      <c r="M149" s="50" t="s">
        <v>1379</v>
      </c>
      <c r="N149" s="47" t="s">
        <v>1379</v>
      </c>
      <c r="O149" s="45" t="s">
        <v>1379</v>
      </c>
      <c r="P149" s="45">
        <v>-4.8344861111111106</v>
      </c>
      <c r="Q149" s="45">
        <v>-76.54057777777777</v>
      </c>
      <c r="R149" s="45" t="s">
        <v>814</v>
      </c>
      <c r="S149" s="51" t="s">
        <v>815</v>
      </c>
      <c r="U149" s="52"/>
    </row>
    <row r="150" spans="1:21" ht="17.25" customHeight="1" x14ac:dyDescent="0.3">
      <c r="A150" s="45">
        <v>149</v>
      </c>
      <c r="B150" s="53" t="s">
        <v>1379</v>
      </c>
      <c r="C150" s="47" t="s">
        <v>1379</v>
      </c>
      <c r="D150" s="47" t="s">
        <v>1379</v>
      </c>
      <c r="E150" s="47" t="s">
        <v>1379</v>
      </c>
      <c r="F150" s="47" t="s">
        <v>1379</v>
      </c>
      <c r="G150" s="45" t="s">
        <v>1379</v>
      </c>
      <c r="H150" s="48" t="s">
        <v>1379</v>
      </c>
      <c r="I150" s="49" t="s">
        <v>1379</v>
      </c>
      <c r="J150" s="47" t="s">
        <v>1379</v>
      </c>
      <c r="K150" s="47" t="s">
        <v>1379</v>
      </c>
      <c r="L150" s="45" t="s">
        <v>1379</v>
      </c>
      <c r="M150" s="50" t="s">
        <v>1379</v>
      </c>
      <c r="N150" s="47" t="s">
        <v>1379</v>
      </c>
      <c r="O150" s="45" t="s">
        <v>1379</v>
      </c>
      <c r="P150" s="45">
        <v>-3.9174027777777778</v>
      </c>
      <c r="Q150" s="45">
        <v>-70.51744444444445</v>
      </c>
      <c r="R150" s="45" t="s">
        <v>816</v>
      </c>
      <c r="S150" s="51" t="s">
        <v>817</v>
      </c>
      <c r="U150" s="52"/>
    </row>
    <row r="151" spans="1:21" ht="17.25" customHeight="1" x14ac:dyDescent="0.3">
      <c r="A151" s="45">
        <v>150</v>
      </c>
      <c r="B151" s="53" t="s">
        <v>1379</v>
      </c>
      <c r="C151" s="47" t="s">
        <v>1379</v>
      </c>
      <c r="D151" s="47" t="s">
        <v>1379</v>
      </c>
      <c r="E151" s="47" t="s">
        <v>1379</v>
      </c>
      <c r="F151" s="47" t="s">
        <v>1379</v>
      </c>
      <c r="G151" s="45" t="s">
        <v>1379</v>
      </c>
      <c r="H151" s="48" t="s">
        <v>1379</v>
      </c>
      <c r="I151" s="49" t="s">
        <v>1379</v>
      </c>
      <c r="J151" s="47" t="s">
        <v>1379</v>
      </c>
      <c r="K151" s="47" t="s">
        <v>1379</v>
      </c>
      <c r="L151" s="45" t="s">
        <v>1379</v>
      </c>
      <c r="M151" s="50" t="s">
        <v>1379</v>
      </c>
      <c r="N151" s="47" t="s">
        <v>1379</v>
      </c>
      <c r="O151" s="45" t="s">
        <v>1379</v>
      </c>
      <c r="P151" s="45">
        <v>-9.2156111111111105</v>
      </c>
      <c r="Q151" s="45">
        <v>-76.20986111111111</v>
      </c>
      <c r="R151" s="45" t="s">
        <v>818</v>
      </c>
      <c r="S151" s="51" t="s">
        <v>819</v>
      </c>
      <c r="U151" s="52"/>
    </row>
    <row r="152" spans="1:21" ht="17.25" customHeight="1" x14ac:dyDescent="0.3">
      <c r="A152" s="45">
        <v>151</v>
      </c>
      <c r="B152" s="53" t="s">
        <v>1379</v>
      </c>
      <c r="C152" s="47" t="s">
        <v>1379</v>
      </c>
      <c r="D152" s="47" t="s">
        <v>1379</v>
      </c>
      <c r="E152" s="47" t="s">
        <v>1379</v>
      </c>
      <c r="F152" s="47" t="s">
        <v>1379</v>
      </c>
      <c r="G152" s="45" t="s">
        <v>1379</v>
      </c>
      <c r="H152" s="48" t="s">
        <v>1379</v>
      </c>
      <c r="I152" s="49" t="s">
        <v>1379</v>
      </c>
      <c r="J152" s="47" t="s">
        <v>1379</v>
      </c>
      <c r="K152" s="47" t="s">
        <v>1379</v>
      </c>
      <c r="L152" s="45" t="s">
        <v>1379</v>
      </c>
      <c r="M152" s="50" t="s">
        <v>1379</v>
      </c>
      <c r="N152" s="47" t="s">
        <v>1379</v>
      </c>
      <c r="O152" s="45" t="s">
        <v>1379</v>
      </c>
      <c r="P152" s="45">
        <v>-8.4822500000000005</v>
      </c>
      <c r="Q152" s="45">
        <v>-74.812972222222214</v>
      </c>
      <c r="R152" s="45" t="s">
        <v>820</v>
      </c>
      <c r="S152" s="51" t="s">
        <v>821</v>
      </c>
      <c r="U152" s="52"/>
    </row>
    <row r="153" spans="1:21" ht="17.25" customHeight="1" x14ac:dyDescent="0.3">
      <c r="A153" s="45">
        <v>152</v>
      </c>
      <c r="B153" s="53" t="s">
        <v>1379</v>
      </c>
      <c r="C153" s="47" t="s">
        <v>1379</v>
      </c>
      <c r="D153" s="47" t="s">
        <v>1379</v>
      </c>
      <c r="E153" s="47" t="s">
        <v>1379</v>
      </c>
      <c r="F153" s="47" t="s">
        <v>1379</v>
      </c>
      <c r="G153" s="45" t="s">
        <v>1379</v>
      </c>
      <c r="H153" s="48" t="s">
        <v>1379</v>
      </c>
      <c r="I153" s="49" t="s">
        <v>1379</v>
      </c>
      <c r="J153" s="47" t="s">
        <v>1379</v>
      </c>
      <c r="K153" s="47" t="s">
        <v>1379</v>
      </c>
      <c r="L153" s="45" t="s">
        <v>1379</v>
      </c>
      <c r="M153" s="50" t="s">
        <v>1379</v>
      </c>
      <c r="N153" s="47" t="s">
        <v>1379</v>
      </c>
      <c r="O153" s="45" t="s">
        <v>1379</v>
      </c>
      <c r="P153" s="45">
        <v>-13.608669444444445</v>
      </c>
      <c r="Q153" s="45">
        <v>-74.140950000000004</v>
      </c>
      <c r="R153" s="45" t="s">
        <v>822</v>
      </c>
      <c r="S153" s="51" t="s">
        <v>823</v>
      </c>
      <c r="U153" s="52"/>
    </row>
    <row r="154" spans="1:21" ht="17.25" customHeight="1" x14ac:dyDescent="0.3">
      <c r="A154" s="45">
        <v>153</v>
      </c>
      <c r="B154" s="53" t="s">
        <v>1379</v>
      </c>
      <c r="C154" s="47" t="s">
        <v>1379</v>
      </c>
      <c r="D154" s="47" t="s">
        <v>1379</v>
      </c>
      <c r="E154" s="47" t="s">
        <v>1379</v>
      </c>
      <c r="F154" s="47" t="s">
        <v>1379</v>
      </c>
      <c r="G154" s="45" t="s">
        <v>1379</v>
      </c>
      <c r="H154" s="48" t="s">
        <v>1379</v>
      </c>
      <c r="I154" s="49" t="s">
        <v>1379</v>
      </c>
      <c r="J154" s="47" t="s">
        <v>1379</v>
      </c>
      <c r="K154" s="47" t="s">
        <v>1379</v>
      </c>
      <c r="L154" s="45" t="s">
        <v>1379</v>
      </c>
      <c r="M154" s="50" t="s">
        <v>1379</v>
      </c>
      <c r="N154" s="47" t="s">
        <v>1379</v>
      </c>
      <c r="O154" s="45" t="s">
        <v>1379</v>
      </c>
      <c r="P154" s="45">
        <v>-11.468463888888889</v>
      </c>
      <c r="Q154" s="45">
        <v>-76.622683333333327</v>
      </c>
      <c r="R154" s="45" t="s">
        <v>824</v>
      </c>
      <c r="S154" s="51" t="s">
        <v>825</v>
      </c>
      <c r="U154" s="52"/>
    </row>
    <row r="155" spans="1:21" ht="17.25" customHeight="1" x14ac:dyDescent="0.3">
      <c r="A155" s="45">
        <v>154</v>
      </c>
      <c r="B155" s="53" t="s">
        <v>1379</v>
      </c>
      <c r="C155" s="47" t="s">
        <v>1379</v>
      </c>
      <c r="D155" s="47" t="s">
        <v>1379</v>
      </c>
      <c r="E155" s="47" t="s">
        <v>1379</v>
      </c>
      <c r="F155" s="47" t="s">
        <v>1379</v>
      </c>
      <c r="G155" s="45" t="s">
        <v>1379</v>
      </c>
      <c r="H155" s="48" t="s">
        <v>1379</v>
      </c>
      <c r="I155" s="49" t="s">
        <v>1379</v>
      </c>
      <c r="J155" s="47" t="s">
        <v>1379</v>
      </c>
      <c r="K155" s="47" t="s">
        <v>1379</v>
      </c>
      <c r="L155" s="45" t="s">
        <v>1379</v>
      </c>
      <c r="M155" s="50" t="s">
        <v>1379</v>
      </c>
      <c r="N155" s="47" t="s">
        <v>1379</v>
      </c>
      <c r="O155" s="45" t="s">
        <v>1379</v>
      </c>
      <c r="P155" s="45">
        <v>-13.062330555555556</v>
      </c>
      <c r="Q155" s="45">
        <v>-76.374105555555545</v>
      </c>
      <c r="R155" s="45" t="s">
        <v>826</v>
      </c>
      <c r="S155" s="51" t="s">
        <v>827</v>
      </c>
      <c r="U155" s="52"/>
    </row>
    <row r="156" spans="1:21" ht="17.25" customHeight="1" x14ac:dyDescent="0.3">
      <c r="A156" s="45">
        <v>155</v>
      </c>
      <c r="B156" s="53" t="s">
        <v>1379</v>
      </c>
      <c r="C156" s="47" t="s">
        <v>1379</v>
      </c>
      <c r="D156" s="47" t="s">
        <v>1379</v>
      </c>
      <c r="E156" s="47" t="s">
        <v>1379</v>
      </c>
      <c r="F156" s="47" t="s">
        <v>1379</v>
      </c>
      <c r="G156" s="45" t="s">
        <v>1379</v>
      </c>
      <c r="H156" s="48" t="s">
        <v>1379</v>
      </c>
      <c r="I156" s="49" t="s">
        <v>1379</v>
      </c>
      <c r="J156" s="47" t="s">
        <v>1379</v>
      </c>
      <c r="K156" s="47" t="s">
        <v>1379</v>
      </c>
      <c r="L156" s="45" t="s">
        <v>1379</v>
      </c>
      <c r="M156" s="50" t="s">
        <v>1379</v>
      </c>
      <c r="N156" s="47" t="s">
        <v>1379</v>
      </c>
      <c r="O156" s="45" t="s">
        <v>1379</v>
      </c>
      <c r="P156" s="45">
        <v>-13.062330555555556</v>
      </c>
      <c r="Q156" s="45">
        <v>-76.374105555555545</v>
      </c>
      <c r="R156" s="45" t="s">
        <v>826</v>
      </c>
      <c r="S156" s="51" t="s">
        <v>828</v>
      </c>
      <c r="U156" s="52"/>
    </row>
    <row r="157" spans="1:21" ht="17.25" customHeight="1" x14ac:dyDescent="0.3">
      <c r="A157" s="45">
        <v>156</v>
      </c>
      <c r="B157" s="53" t="s">
        <v>1379</v>
      </c>
      <c r="C157" s="47" t="s">
        <v>1379</v>
      </c>
      <c r="D157" s="47" t="s">
        <v>1379</v>
      </c>
      <c r="E157" s="47" t="s">
        <v>1379</v>
      </c>
      <c r="F157" s="47" t="s">
        <v>1379</v>
      </c>
      <c r="G157" s="45" t="s">
        <v>1379</v>
      </c>
      <c r="H157" s="48" t="s">
        <v>1379</v>
      </c>
      <c r="I157" s="49" t="s">
        <v>1379</v>
      </c>
      <c r="J157" s="47" t="s">
        <v>1379</v>
      </c>
      <c r="K157" s="47" t="s">
        <v>1379</v>
      </c>
      <c r="L157" s="45" t="s">
        <v>1379</v>
      </c>
      <c r="M157" s="50" t="s">
        <v>1379</v>
      </c>
      <c r="N157" s="47" t="s">
        <v>1379</v>
      </c>
      <c r="O157" s="45" t="s">
        <v>1379</v>
      </c>
      <c r="P157" s="45">
        <v>-10.926058333333332</v>
      </c>
      <c r="Q157" s="45">
        <v>-76.057808333333327</v>
      </c>
      <c r="R157" s="45" t="s">
        <v>829</v>
      </c>
      <c r="S157" s="51" t="s">
        <v>830</v>
      </c>
      <c r="U157" s="52"/>
    </row>
    <row r="158" spans="1:21" ht="17.25" customHeight="1" x14ac:dyDescent="0.3">
      <c r="A158" s="45">
        <v>157</v>
      </c>
      <c r="B158" s="53" t="s">
        <v>1379</v>
      </c>
      <c r="C158" s="47" t="s">
        <v>1379</v>
      </c>
      <c r="D158" s="47" t="s">
        <v>1379</v>
      </c>
      <c r="E158" s="47" t="s">
        <v>1379</v>
      </c>
      <c r="F158" s="47" t="s">
        <v>1379</v>
      </c>
      <c r="G158" s="45" t="s">
        <v>1379</v>
      </c>
      <c r="H158" s="48" t="s">
        <v>1379</v>
      </c>
      <c r="I158" s="49" t="s">
        <v>1379</v>
      </c>
      <c r="J158" s="47" t="s">
        <v>1379</v>
      </c>
      <c r="K158" s="47" t="s">
        <v>1379</v>
      </c>
      <c r="L158" s="45" t="s">
        <v>1379</v>
      </c>
      <c r="M158" s="50" t="s">
        <v>1379</v>
      </c>
      <c r="N158" s="47" t="s">
        <v>1379</v>
      </c>
      <c r="O158" s="45" t="s">
        <v>1379</v>
      </c>
      <c r="P158" s="45">
        <v>-10.926058333333332</v>
      </c>
      <c r="Q158" s="45">
        <v>-76.057808333333327</v>
      </c>
      <c r="R158" s="45" t="s">
        <v>829</v>
      </c>
      <c r="S158" s="51" t="s">
        <v>831</v>
      </c>
      <c r="U158" s="52"/>
    </row>
    <row r="159" spans="1:21" ht="17.25" customHeight="1" x14ac:dyDescent="0.3">
      <c r="A159" s="45">
        <v>158</v>
      </c>
      <c r="B159" s="53" t="s">
        <v>1379</v>
      </c>
      <c r="C159" s="47" t="s">
        <v>1379</v>
      </c>
      <c r="D159" s="47" t="s">
        <v>1379</v>
      </c>
      <c r="E159" s="47" t="s">
        <v>1379</v>
      </c>
      <c r="F159" s="47" t="s">
        <v>1379</v>
      </c>
      <c r="G159" s="45" t="s">
        <v>1379</v>
      </c>
      <c r="H159" s="48" t="s">
        <v>1379</v>
      </c>
      <c r="I159" s="49" t="s">
        <v>1379</v>
      </c>
      <c r="J159" s="47" t="s">
        <v>1379</v>
      </c>
      <c r="K159" s="47" t="s">
        <v>1379</v>
      </c>
      <c r="L159" s="45" t="s">
        <v>1379</v>
      </c>
      <c r="M159" s="50" t="s">
        <v>1379</v>
      </c>
      <c r="N159" s="47" t="s">
        <v>1379</v>
      </c>
      <c r="O159" s="45" t="s">
        <v>1379</v>
      </c>
      <c r="P159" s="45">
        <v>-11.651305555555556</v>
      </c>
      <c r="Q159" s="45">
        <v>-76.23852222222223</v>
      </c>
      <c r="R159" s="45" t="s">
        <v>832</v>
      </c>
      <c r="S159" s="51" t="s">
        <v>833</v>
      </c>
      <c r="U159" s="52"/>
    </row>
    <row r="160" spans="1:21" ht="17.25" customHeight="1" x14ac:dyDescent="0.3">
      <c r="A160" s="45">
        <v>159</v>
      </c>
      <c r="B160" s="53" t="s">
        <v>1379</v>
      </c>
      <c r="C160" s="47" t="s">
        <v>1379</v>
      </c>
      <c r="D160" s="47" t="s">
        <v>1379</v>
      </c>
      <c r="E160" s="47" t="s">
        <v>1379</v>
      </c>
      <c r="F160" s="47" t="s">
        <v>1379</v>
      </c>
      <c r="G160" s="45" t="s">
        <v>1379</v>
      </c>
      <c r="H160" s="48" t="s">
        <v>1379</v>
      </c>
      <c r="I160" s="49" t="s">
        <v>1379</v>
      </c>
      <c r="J160" s="47" t="s">
        <v>1379</v>
      </c>
      <c r="K160" s="47" t="s">
        <v>1379</v>
      </c>
      <c r="L160" s="45" t="s">
        <v>1379</v>
      </c>
      <c r="M160" s="50" t="s">
        <v>1379</v>
      </c>
      <c r="N160" s="47" t="s">
        <v>1379</v>
      </c>
      <c r="O160" s="45" t="s">
        <v>1379</v>
      </c>
      <c r="P160" s="45">
        <v>-9.2313333333333336</v>
      </c>
      <c r="Q160" s="45">
        <v>-76.327083333333334</v>
      </c>
      <c r="R160" s="45" t="s">
        <v>834</v>
      </c>
      <c r="S160" s="51" t="s">
        <v>835</v>
      </c>
      <c r="U160" s="52"/>
    </row>
    <row r="161" spans="1:21" ht="17.25" customHeight="1" x14ac:dyDescent="0.3">
      <c r="A161" s="45">
        <v>160</v>
      </c>
      <c r="B161" s="53" t="s">
        <v>1379</v>
      </c>
      <c r="C161" s="47" t="s">
        <v>1379</v>
      </c>
      <c r="D161" s="47" t="s">
        <v>1379</v>
      </c>
      <c r="E161" s="47" t="s">
        <v>1379</v>
      </c>
      <c r="F161" s="47" t="s">
        <v>1379</v>
      </c>
      <c r="G161" s="45" t="s">
        <v>1379</v>
      </c>
      <c r="H161" s="48" t="s">
        <v>1379</v>
      </c>
      <c r="I161" s="49" t="s">
        <v>1379</v>
      </c>
      <c r="J161" s="47" t="s">
        <v>1379</v>
      </c>
      <c r="K161" s="47" t="s">
        <v>1379</v>
      </c>
      <c r="L161" s="45" t="s">
        <v>1379</v>
      </c>
      <c r="M161" s="50" t="s">
        <v>1379</v>
      </c>
      <c r="N161" s="47" t="s">
        <v>1379</v>
      </c>
      <c r="O161" s="45" t="s">
        <v>1379</v>
      </c>
      <c r="P161" s="45">
        <v>-10.275777777777778</v>
      </c>
      <c r="Q161" s="45">
        <v>-76.384361111111119</v>
      </c>
      <c r="R161" s="45" t="s">
        <v>836</v>
      </c>
      <c r="S161" s="51" t="s">
        <v>837</v>
      </c>
      <c r="U161" s="52"/>
    </row>
    <row r="162" spans="1:21" ht="17.25" customHeight="1" x14ac:dyDescent="0.3">
      <c r="A162" s="45">
        <v>161</v>
      </c>
      <c r="B162" s="53" t="s">
        <v>1379</v>
      </c>
      <c r="C162" s="47" t="s">
        <v>1379</v>
      </c>
      <c r="D162" s="47" t="s">
        <v>1379</v>
      </c>
      <c r="E162" s="47" t="s">
        <v>1379</v>
      </c>
      <c r="F162" s="47" t="s">
        <v>1379</v>
      </c>
      <c r="G162" s="45" t="s">
        <v>1379</v>
      </c>
      <c r="H162" s="48" t="s">
        <v>1379</v>
      </c>
      <c r="I162" s="49" t="s">
        <v>1379</v>
      </c>
      <c r="J162" s="47" t="s">
        <v>1379</v>
      </c>
      <c r="K162" s="47" t="s">
        <v>1379</v>
      </c>
      <c r="L162" s="45" t="s">
        <v>1379</v>
      </c>
      <c r="M162" s="50" t="s">
        <v>1379</v>
      </c>
      <c r="N162" s="47" t="s">
        <v>1379</v>
      </c>
      <c r="O162" s="45" t="s">
        <v>1379</v>
      </c>
      <c r="P162" s="45">
        <v>-9.5176444444444446</v>
      </c>
      <c r="Q162" s="45">
        <v>-76.799422222222219</v>
      </c>
      <c r="R162" s="45" t="s">
        <v>838</v>
      </c>
      <c r="S162" s="51" t="s">
        <v>839</v>
      </c>
      <c r="U162" s="52"/>
    </row>
    <row r="163" spans="1:21" ht="17.25" customHeight="1" x14ac:dyDescent="0.3">
      <c r="A163" s="45">
        <v>162</v>
      </c>
      <c r="B163" s="53" t="s">
        <v>1379</v>
      </c>
      <c r="C163" s="47" t="s">
        <v>1379</v>
      </c>
      <c r="D163" s="47" t="s">
        <v>1379</v>
      </c>
      <c r="E163" s="47" t="s">
        <v>1379</v>
      </c>
      <c r="F163" s="47" t="s">
        <v>1379</v>
      </c>
      <c r="G163" s="45" t="s">
        <v>1379</v>
      </c>
      <c r="H163" s="48" t="s">
        <v>1379</v>
      </c>
      <c r="I163" s="49" t="s">
        <v>1379</v>
      </c>
      <c r="J163" s="47" t="s">
        <v>1379</v>
      </c>
      <c r="K163" s="47" t="s">
        <v>1379</v>
      </c>
      <c r="L163" s="45" t="s">
        <v>1379</v>
      </c>
      <c r="M163" s="50" t="s">
        <v>1379</v>
      </c>
      <c r="N163" s="47" t="s">
        <v>1379</v>
      </c>
      <c r="O163" s="45" t="s">
        <v>1379</v>
      </c>
      <c r="P163" s="45">
        <v>-12.532272222222224</v>
      </c>
      <c r="Q163" s="45">
        <v>-74.595027777777773</v>
      </c>
      <c r="R163" s="45" t="s">
        <v>840</v>
      </c>
      <c r="S163" s="51" t="s">
        <v>841</v>
      </c>
      <c r="U163" s="52"/>
    </row>
    <row r="164" spans="1:21" ht="17.25" customHeight="1" x14ac:dyDescent="0.3">
      <c r="A164" s="45">
        <v>163</v>
      </c>
      <c r="B164" s="53" t="s">
        <v>1379</v>
      </c>
      <c r="C164" s="47" t="s">
        <v>1379</v>
      </c>
      <c r="D164" s="47" t="s">
        <v>1379</v>
      </c>
      <c r="E164" s="47" t="s">
        <v>1379</v>
      </c>
      <c r="F164" s="47" t="s">
        <v>1379</v>
      </c>
      <c r="G164" s="45" t="s">
        <v>1379</v>
      </c>
      <c r="H164" s="48" t="s">
        <v>1379</v>
      </c>
      <c r="I164" s="49" t="s">
        <v>1379</v>
      </c>
      <c r="J164" s="47" t="s">
        <v>1379</v>
      </c>
      <c r="K164" s="47" t="s">
        <v>1379</v>
      </c>
      <c r="L164" s="45" t="s">
        <v>1379</v>
      </c>
      <c r="M164" s="50" t="s">
        <v>1379</v>
      </c>
      <c r="N164" s="47" t="s">
        <v>1379</v>
      </c>
      <c r="O164" s="45" t="s">
        <v>1379</v>
      </c>
      <c r="P164" s="45">
        <v>-10.15538888888889</v>
      </c>
      <c r="Q164" s="45">
        <v>-77.159750000000003</v>
      </c>
      <c r="R164" s="45" t="s">
        <v>842</v>
      </c>
      <c r="S164" s="51" t="s">
        <v>843</v>
      </c>
      <c r="U164" s="52"/>
    </row>
    <row r="165" spans="1:21" ht="17.25" customHeight="1" x14ac:dyDescent="0.3">
      <c r="A165" s="45">
        <v>164</v>
      </c>
      <c r="B165" s="53" t="s">
        <v>1379</v>
      </c>
      <c r="C165" s="47" t="s">
        <v>1379</v>
      </c>
      <c r="D165" s="47" t="s">
        <v>1379</v>
      </c>
      <c r="E165" s="47" t="s">
        <v>1379</v>
      </c>
      <c r="F165" s="47" t="s">
        <v>1379</v>
      </c>
      <c r="G165" s="45" t="s">
        <v>1379</v>
      </c>
      <c r="H165" s="48" t="s">
        <v>1379</v>
      </c>
      <c r="I165" s="49" t="s">
        <v>1379</v>
      </c>
      <c r="J165" s="47" t="s">
        <v>1379</v>
      </c>
      <c r="K165" s="47" t="s">
        <v>1379</v>
      </c>
      <c r="L165" s="45" t="s">
        <v>1379</v>
      </c>
      <c r="M165" s="50" t="s">
        <v>1379</v>
      </c>
      <c r="N165" s="47" t="s">
        <v>1379</v>
      </c>
      <c r="O165" s="45" t="s">
        <v>1379</v>
      </c>
      <c r="P165" s="45">
        <v>-11.941041666666667</v>
      </c>
      <c r="Q165" s="45">
        <v>-76.699947222222221</v>
      </c>
      <c r="R165" s="45" t="s">
        <v>844</v>
      </c>
      <c r="S165" s="51" t="s">
        <v>845</v>
      </c>
      <c r="U165" s="52"/>
    </row>
    <row r="166" spans="1:21" ht="17.25" customHeight="1" x14ac:dyDescent="0.3">
      <c r="A166" s="45">
        <v>165</v>
      </c>
      <c r="B166" s="53" t="s">
        <v>1379</v>
      </c>
      <c r="C166" s="47" t="s">
        <v>1379</v>
      </c>
      <c r="D166" s="47" t="s">
        <v>1379</v>
      </c>
      <c r="E166" s="47" t="s">
        <v>1379</v>
      </c>
      <c r="F166" s="47" t="s">
        <v>1379</v>
      </c>
      <c r="G166" s="45" t="s">
        <v>1379</v>
      </c>
      <c r="H166" s="48" t="s">
        <v>1379</v>
      </c>
      <c r="I166" s="49" t="s">
        <v>1379</v>
      </c>
      <c r="J166" s="47" t="s">
        <v>1379</v>
      </c>
      <c r="K166" s="47" t="s">
        <v>1379</v>
      </c>
      <c r="L166" s="45" t="s">
        <v>1379</v>
      </c>
      <c r="M166" s="50" t="s">
        <v>1379</v>
      </c>
      <c r="N166" s="47" t="s">
        <v>1379</v>
      </c>
      <c r="O166" s="45" t="s">
        <v>1379</v>
      </c>
      <c r="P166" s="45">
        <v>-12.110805555555554</v>
      </c>
      <c r="Q166" s="45">
        <v>-76.817222222222213</v>
      </c>
      <c r="R166" s="45" t="s">
        <v>846</v>
      </c>
      <c r="S166" s="51" t="s">
        <v>847</v>
      </c>
      <c r="U166" s="52"/>
    </row>
    <row r="167" spans="1:21" ht="17.25" customHeight="1" x14ac:dyDescent="0.3">
      <c r="A167" s="45">
        <v>166</v>
      </c>
      <c r="B167" s="53" t="s">
        <v>1379</v>
      </c>
      <c r="C167" s="47" t="s">
        <v>1379</v>
      </c>
      <c r="D167" s="47" t="s">
        <v>1379</v>
      </c>
      <c r="E167" s="47" t="s">
        <v>1379</v>
      </c>
      <c r="F167" s="47" t="s">
        <v>1379</v>
      </c>
      <c r="G167" s="45" t="s">
        <v>1379</v>
      </c>
      <c r="H167" s="48" t="s">
        <v>1379</v>
      </c>
      <c r="I167" s="49" t="s">
        <v>1379</v>
      </c>
      <c r="J167" s="47" t="s">
        <v>1379</v>
      </c>
      <c r="K167" s="47" t="s">
        <v>1379</v>
      </c>
      <c r="L167" s="45" t="s">
        <v>1379</v>
      </c>
      <c r="M167" s="50" t="s">
        <v>1379</v>
      </c>
      <c r="N167" s="47" t="s">
        <v>1379</v>
      </c>
      <c r="O167" s="45" t="s">
        <v>1379</v>
      </c>
      <c r="P167" s="45">
        <v>-9.6712777777777763</v>
      </c>
      <c r="Q167" s="45">
        <v>-75.464250000000007</v>
      </c>
      <c r="R167" s="45" t="s">
        <v>848</v>
      </c>
      <c r="S167" s="51" t="s">
        <v>849</v>
      </c>
      <c r="U167" s="52"/>
    </row>
    <row r="168" spans="1:21" ht="17.25" customHeight="1" x14ac:dyDescent="0.3">
      <c r="A168" s="45">
        <v>167</v>
      </c>
      <c r="B168" s="53" t="s">
        <v>1379</v>
      </c>
      <c r="C168" s="47" t="s">
        <v>1379</v>
      </c>
      <c r="D168" s="47" t="s">
        <v>1379</v>
      </c>
      <c r="E168" s="47" t="s">
        <v>1379</v>
      </c>
      <c r="F168" s="47" t="s">
        <v>1379</v>
      </c>
      <c r="G168" s="45" t="s">
        <v>1379</v>
      </c>
      <c r="H168" s="48" t="s">
        <v>1379</v>
      </c>
      <c r="I168" s="49" t="s">
        <v>1379</v>
      </c>
      <c r="J168" s="47" t="s">
        <v>1379</v>
      </c>
      <c r="K168" s="47" t="s">
        <v>1379</v>
      </c>
      <c r="L168" s="45" t="s">
        <v>1379</v>
      </c>
      <c r="M168" s="50" t="s">
        <v>1379</v>
      </c>
      <c r="N168" s="47" t="s">
        <v>1379</v>
      </c>
      <c r="O168" s="45" t="s">
        <v>1379</v>
      </c>
      <c r="P168" s="45">
        <v>-12.417944444444444</v>
      </c>
      <c r="Q168" s="45">
        <v>-74.685583333333341</v>
      </c>
      <c r="R168" s="45" t="s">
        <v>850</v>
      </c>
      <c r="S168" s="51" t="s">
        <v>851</v>
      </c>
      <c r="U168" s="52"/>
    </row>
    <row r="169" spans="1:21" ht="17.25" customHeight="1" x14ac:dyDescent="0.3">
      <c r="A169" s="45">
        <v>168</v>
      </c>
      <c r="B169" s="53" t="s">
        <v>1379</v>
      </c>
      <c r="C169" s="47" t="s">
        <v>1379</v>
      </c>
      <c r="D169" s="47" t="s">
        <v>1379</v>
      </c>
      <c r="E169" s="47" t="s">
        <v>1379</v>
      </c>
      <c r="F169" s="47" t="s">
        <v>1379</v>
      </c>
      <c r="G169" s="45" t="s">
        <v>1379</v>
      </c>
      <c r="H169" s="48" t="s">
        <v>1379</v>
      </c>
      <c r="I169" s="49" t="s">
        <v>1379</v>
      </c>
      <c r="J169" s="47" t="s">
        <v>1379</v>
      </c>
      <c r="K169" s="47" t="s">
        <v>1379</v>
      </c>
      <c r="L169" s="45" t="s">
        <v>1379</v>
      </c>
      <c r="M169" s="50" t="s">
        <v>1379</v>
      </c>
      <c r="N169" s="47" t="s">
        <v>1379</v>
      </c>
      <c r="O169" s="45" t="s">
        <v>1379</v>
      </c>
      <c r="P169" s="45">
        <v>-9.8414972222222232</v>
      </c>
      <c r="Q169" s="45">
        <v>-75.015799999999999</v>
      </c>
      <c r="R169" s="45" t="s">
        <v>852</v>
      </c>
      <c r="S169" s="51" t="s">
        <v>853</v>
      </c>
      <c r="U169" s="52"/>
    </row>
    <row r="170" spans="1:21" ht="17.25" customHeight="1" x14ac:dyDescent="0.3">
      <c r="A170" s="45">
        <v>169</v>
      </c>
      <c r="B170" s="53" t="s">
        <v>1379</v>
      </c>
      <c r="C170" s="47" t="s">
        <v>1379</v>
      </c>
      <c r="D170" s="47" t="s">
        <v>1379</v>
      </c>
      <c r="E170" s="47" t="s">
        <v>1379</v>
      </c>
      <c r="F170" s="47" t="s">
        <v>1379</v>
      </c>
      <c r="G170" s="45" t="s">
        <v>1379</v>
      </c>
      <c r="H170" s="48" t="s">
        <v>1379</v>
      </c>
      <c r="I170" s="49" t="s">
        <v>1379</v>
      </c>
      <c r="J170" s="47" t="s">
        <v>1379</v>
      </c>
      <c r="K170" s="47" t="s">
        <v>1379</v>
      </c>
      <c r="L170" s="45" t="s">
        <v>1379</v>
      </c>
      <c r="M170" s="50" t="s">
        <v>1379</v>
      </c>
      <c r="N170" s="47" t="s">
        <v>1379</v>
      </c>
      <c r="O170" s="45" t="s">
        <v>1379</v>
      </c>
      <c r="P170" s="45">
        <v>-7.3421111111111106</v>
      </c>
      <c r="Q170" s="45">
        <v>-75.011583333333334</v>
      </c>
      <c r="R170" s="45" t="s">
        <v>854</v>
      </c>
      <c r="S170" s="51" t="s">
        <v>855</v>
      </c>
      <c r="U170" s="52"/>
    </row>
    <row r="171" spans="1:21" ht="17.25" customHeight="1" x14ac:dyDescent="0.3">
      <c r="A171" s="45">
        <v>170</v>
      </c>
      <c r="B171" s="53" t="s">
        <v>1379</v>
      </c>
      <c r="C171" s="47" t="s">
        <v>1379</v>
      </c>
      <c r="D171" s="47" t="s">
        <v>1379</v>
      </c>
      <c r="E171" s="47" t="s">
        <v>1379</v>
      </c>
      <c r="F171" s="47" t="s">
        <v>1379</v>
      </c>
      <c r="G171" s="45" t="s">
        <v>1379</v>
      </c>
      <c r="H171" s="48" t="s">
        <v>1379</v>
      </c>
      <c r="I171" s="49" t="s">
        <v>1379</v>
      </c>
      <c r="J171" s="47" t="s">
        <v>1379</v>
      </c>
      <c r="K171" s="47" t="s">
        <v>1379</v>
      </c>
      <c r="L171" s="45" t="s">
        <v>1379</v>
      </c>
      <c r="M171" s="50" t="s">
        <v>1379</v>
      </c>
      <c r="N171" s="47" t="s">
        <v>1379</v>
      </c>
      <c r="O171" s="45" t="s">
        <v>1379</v>
      </c>
      <c r="P171" s="45">
        <v>-15.015483333333334</v>
      </c>
      <c r="Q171" s="45">
        <v>-73.751983333333328</v>
      </c>
      <c r="R171" s="45" t="s">
        <v>856</v>
      </c>
      <c r="S171" s="51" t="s">
        <v>857</v>
      </c>
      <c r="U171" s="52"/>
    </row>
    <row r="172" spans="1:21" ht="17.25" customHeight="1" x14ac:dyDescent="0.3">
      <c r="A172" s="45">
        <v>171</v>
      </c>
      <c r="B172" s="53" t="s">
        <v>1379</v>
      </c>
      <c r="C172" s="47" t="s">
        <v>1379</v>
      </c>
      <c r="D172" s="47" t="s">
        <v>1379</v>
      </c>
      <c r="E172" s="47" t="s">
        <v>1379</v>
      </c>
      <c r="F172" s="47" t="s">
        <v>1379</v>
      </c>
      <c r="G172" s="45" t="s">
        <v>1379</v>
      </c>
      <c r="H172" s="48" t="s">
        <v>1379</v>
      </c>
      <c r="I172" s="49" t="s">
        <v>1379</v>
      </c>
      <c r="J172" s="47" t="s">
        <v>1379</v>
      </c>
      <c r="K172" s="47" t="s">
        <v>1379</v>
      </c>
      <c r="L172" s="45" t="s">
        <v>1379</v>
      </c>
      <c r="M172" s="50" t="s">
        <v>1379</v>
      </c>
      <c r="N172" s="47" t="s">
        <v>1379</v>
      </c>
      <c r="O172" s="45" t="s">
        <v>1379</v>
      </c>
      <c r="P172" s="45">
        <v>-15.015483333333334</v>
      </c>
      <c r="Q172" s="45">
        <v>-73.751983333333328</v>
      </c>
      <c r="R172" s="45" t="s">
        <v>856</v>
      </c>
      <c r="S172" s="51" t="s">
        <v>858</v>
      </c>
      <c r="U172" s="52"/>
    </row>
    <row r="173" spans="1:21" ht="17.25" customHeight="1" x14ac:dyDescent="0.3">
      <c r="A173" s="45">
        <v>172</v>
      </c>
      <c r="B173" s="53" t="s">
        <v>1379</v>
      </c>
      <c r="C173" s="47" t="s">
        <v>1379</v>
      </c>
      <c r="D173" s="47" t="s">
        <v>1379</v>
      </c>
      <c r="E173" s="47" t="s">
        <v>1379</v>
      </c>
      <c r="F173" s="47" t="s">
        <v>1379</v>
      </c>
      <c r="G173" s="45" t="s">
        <v>1379</v>
      </c>
      <c r="H173" s="48" t="s">
        <v>1379</v>
      </c>
      <c r="I173" s="49" t="s">
        <v>1379</v>
      </c>
      <c r="J173" s="47" t="s">
        <v>1379</v>
      </c>
      <c r="K173" s="47" t="s">
        <v>1379</v>
      </c>
      <c r="L173" s="45" t="s">
        <v>1379</v>
      </c>
      <c r="M173" s="50" t="s">
        <v>1379</v>
      </c>
      <c r="N173" s="47" t="s">
        <v>1379</v>
      </c>
      <c r="O173" s="45" t="s">
        <v>1379</v>
      </c>
      <c r="P173" s="45">
        <v>-2.4526861111111113</v>
      </c>
      <c r="Q173" s="45">
        <v>-72.66888055555556</v>
      </c>
      <c r="R173" s="45" t="s">
        <v>859</v>
      </c>
      <c r="S173" s="51" t="s">
        <v>860</v>
      </c>
      <c r="U173" s="52"/>
    </row>
    <row r="174" spans="1:21" ht="17.25" customHeight="1" x14ac:dyDescent="0.3">
      <c r="A174" s="45">
        <v>173</v>
      </c>
      <c r="B174" s="53" t="s">
        <v>1379</v>
      </c>
      <c r="C174" s="47" t="s">
        <v>1379</v>
      </c>
      <c r="D174" s="47" t="s">
        <v>1379</v>
      </c>
      <c r="E174" s="47" t="s">
        <v>1379</v>
      </c>
      <c r="F174" s="47" t="s">
        <v>1379</v>
      </c>
      <c r="G174" s="45" t="s">
        <v>1379</v>
      </c>
      <c r="H174" s="48" t="s">
        <v>1379</v>
      </c>
      <c r="I174" s="49" t="s">
        <v>1379</v>
      </c>
      <c r="J174" s="47" t="s">
        <v>1379</v>
      </c>
      <c r="K174" s="47" t="s">
        <v>1379</v>
      </c>
      <c r="L174" s="45" t="s">
        <v>1379</v>
      </c>
      <c r="M174" s="50" t="s">
        <v>1379</v>
      </c>
      <c r="N174" s="47" t="s">
        <v>1379</v>
      </c>
      <c r="O174" s="45" t="s">
        <v>1379</v>
      </c>
      <c r="P174" s="45">
        <v>-11.131327777777779</v>
      </c>
      <c r="Q174" s="45">
        <v>-77.594544444444438</v>
      </c>
      <c r="R174" s="45" t="s">
        <v>861</v>
      </c>
      <c r="S174" s="51" t="s">
        <v>862</v>
      </c>
      <c r="U174" s="52"/>
    </row>
    <row r="175" spans="1:21" ht="17.25" customHeight="1" x14ac:dyDescent="0.3">
      <c r="A175" s="45">
        <v>174</v>
      </c>
      <c r="B175" s="53" t="s">
        <v>1379</v>
      </c>
      <c r="C175" s="47" t="s">
        <v>1379</v>
      </c>
      <c r="D175" s="47" t="s">
        <v>1379</v>
      </c>
      <c r="E175" s="47" t="s">
        <v>1379</v>
      </c>
      <c r="F175" s="47" t="s">
        <v>1379</v>
      </c>
      <c r="G175" s="45" t="s">
        <v>1379</v>
      </c>
      <c r="H175" s="48" t="s">
        <v>1379</v>
      </c>
      <c r="I175" s="49" t="s">
        <v>1379</v>
      </c>
      <c r="J175" s="47" t="s">
        <v>1379</v>
      </c>
      <c r="K175" s="47" t="s">
        <v>1379</v>
      </c>
      <c r="L175" s="45" t="s">
        <v>1379</v>
      </c>
      <c r="M175" s="50" t="s">
        <v>1379</v>
      </c>
      <c r="N175" s="47" t="s">
        <v>1379</v>
      </c>
      <c r="O175" s="45" t="s">
        <v>1379</v>
      </c>
      <c r="P175" s="45">
        <v>-11.109472222222221</v>
      </c>
      <c r="Q175" s="45">
        <v>-77.566388888888881</v>
      </c>
      <c r="R175" s="45" t="s">
        <v>863</v>
      </c>
      <c r="S175" s="51" t="s">
        <v>864</v>
      </c>
      <c r="U175" s="52"/>
    </row>
    <row r="176" spans="1:21" ht="17.25" customHeight="1" x14ac:dyDescent="0.3">
      <c r="A176" s="45">
        <v>175</v>
      </c>
      <c r="B176" s="53" t="s">
        <v>1379</v>
      </c>
      <c r="C176" s="47" t="s">
        <v>1379</v>
      </c>
      <c r="D176" s="47" t="s">
        <v>1379</v>
      </c>
      <c r="E176" s="47" t="s">
        <v>1379</v>
      </c>
      <c r="F176" s="47" t="s">
        <v>1379</v>
      </c>
      <c r="G176" s="45" t="s">
        <v>1379</v>
      </c>
      <c r="H176" s="48" t="s">
        <v>1379</v>
      </c>
      <c r="I176" s="49" t="s">
        <v>1379</v>
      </c>
      <c r="J176" s="47" t="s">
        <v>1379</v>
      </c>
      <c r="K176" s="47" t="s">
        <v>1379</v>
      </c>
      <c r="L176" s="45" t="s">
        <v>1379</v>
      </c>
      <c r="M176" s="50" t="s">
        <v>1379</v>
      </c>
      <c r="N176" s="47" t="s">
        <v>1379</v>
      </c>
      <c r="O176" s="45" t="s">
        <v>1379</v>
      </c>
      <c r="R176" s="45"/>
      <c r="S176" s="51" t="s">
        <v>865</v>
      </c>
      <c r="U176" s="52"/>
    </row>
    <row r="177" spans="1:21" ht="17.25" customHeight="1" x14ac:dyDescent="0.3">
      <c r="A177" s="45">
        <v>176</v>
      </c>
      <c r="B177" s="53" t="s">
        <v>1379</v>
      </c>
      <c r="C177" s="47" t="s">
        <v>1379</v>
      </c>
      <c r="D177" s="47" t="s">
        <v>1379</v>
      </c>
      <c r="E177" s="47" t="s">
        <v>1379</v>
      </c>
      <c r="F177" s="47" t="s">
        <v>1379</v>
      </c>
      <c r="G177" s="45" t="s">
        <v>1379</v>
      </c>
      <c r="H177" s="48" t="s">
        <v>1379</v>
      </c>
      <c r="I177" s="49" t="s">
        <v>1379</v>
      </c>
      <c r="J177" s="47" t="s">
        <v>1379</v>
      </c>
      <c r="K177" s="47" t="s">
        <v>1379</v>
      </c>
      <c r="L177" s="45" t="s">
        <v>1379</v>
      </c>
      <c r="M177" s="50" t="s">
        <v>1379</v>
      </c>
      <c r="N177" s="47" t="s">
        <v>1379</v>
      </c>
      <c r="O177" s="45" t="s">
        <v>1379</v>
      </c>
      <c r="P177" s="45">
        <v>-12.789927777777777</v>
      </c>
      <c r="Q177" s="45">
        <v>-74.969525000000004</v>
      </c>
      <c r="R177" s="45" t="s">
        <v>866</v>
      </c>
      <c r="S177" s="51" t="s">
        <v>867</v>
      </c>
      <c r="U177" s="52"/>
    </row>
    <row r="178" spans="1:21" ht="17.25" customHeight="1" x14ac:dyDescent="0.3">
      <c r="A178" s="45">
        <v>177</v>
      </c>
      <c r="B178" s="53" t="s">
        <v>1379</v>
      </c>
      <c r="C178" s="47" t="s">
        <v>1379</v>
      </c>
      <c r="D178" s="47" t="s">
        <v>1379</v>
      </c>
      <c r="E178" s="47" t="s">
        <v>1379</v>
      </c>
      <c r="F178" s="47" t="s">
        <v>1379</v>
      </c>
      <c r="G178" s="45" t="s">
        <v>1379</v>
      </c>
      <c r="H178" s="48" t="s">
        <v>1379</v>
      </c>
      <c r="I178" s="49" t="s">
        <v>1379</v>
      </c>
      <c r="J178" s="47" t="s">
        <v>1379</v>
      </c>
      <c r="K178" s="47" t="s">
        <v>1379</v>
      </c>
      <c r="L178" s="45" t="s">
        <v>1379</v>
      </c>
      <c r="M178" s="50" t="s">
        <v>1379</v>
      </c>
      <c r="N178" s="47" t="s">
        <v>1379</v>
      </c>
      <c r="O178" s="45" t="s">
        <v>1379</v>
      </c>
      <c r="P178" s="45">
        <v>-12.065666666666667</v>
      </c>
      <c r="Q178" s="45">
        <v>-75.199583333333337</v>
      </c>
      <c r="R178" s="45" t="s">
        <v>868</v>
      </c>
      <c r="S178" s="51" t="s">
        <v>869</v>
      </c>
      <c r="U178" s="52"/>
    </row>
    <row r="179" spans="1:21" ht="17.25" customHeight="1" x14ac:dyDescent="0.3">
      <c r="A179" s="45">
        <v>178</v>
      </c>
      <c r="B179" s="53" t="s">
        <v>1379</v>
      </c>
      <c r="C179" s="47" t="s">
        <v>1379</v>
      </c>
      <c r="D179" s="47" t="s">
        <v>1379</v>
      </c>
      <c r="E179" s="47" t="s">
        <v>1379</v>
      </c>
      <c r="F179" s="47" t="s">
        <v>1379</v>
      </c>
      <c r="G179" s="45" t="s">
        <v>1379</v>
      </c>
      <c r="H179" s="48" t="s">
        <v>1379</v>
      </c>
      <c r="I179" s="49" t="s">
        <v>1379</v>
      </c>
      <c r="J179" s="47" t="s">
        <v>1379</v>
      </c>
      <c r="K179" s="47" t="s">
        <v>1379</v>
      </c>
      <c r="L179" s="45" t="s">
        <v>1379</v>
      </c>
      <c r="M179" s="50" t="s">
        <v>1379</v>
      </c>
      <c r="N179" s="47" t="s">
        <v>1379</v>
      </c>
      <c r="O179" s="45" t="s">
        <v>1379</v>
      </c>
      <c r="P179" s="45">
        <v>-12.090944444444444</v>
      </c>
      <c r="Q179" s="45">
        <v>-75.189361111111111</v>
      </c>
      <c r="R179" s="45" t="s">
        <v>870</v>
      </c>
      <c r="S179" s="51" t="s">
        <v>871</v>
      </c>
      <c r="U179" s="52"/>
    </row>
    <row r="180" spans="1:21" ht="17.25" customHeight="1" x14ac:dyDescent="0.3">
      <c r="A180" s="45">
        <v>179</v>
      </c>
      <c r="B180" s="53" t="s">
        <v>1379</v>
      </c>
      <c r="C180" s="47" t="s">
        <v>1379</v>
      </c>
      <c r="D180" s="47" t="s">
        <v>1379</v>
      </c>
      <c r="E180" s="47" t="s">
        <v>1379</v>
      </c>
      <c r="F180" s="47" t="s">
        <v>1379</v>
      </c>
      <c r="G180" s="45" t="s">
        <v>1379</v>
      </c>
      <c r="H180" s="48" t="s">
        <v>1379</v>
      </c>
      <c r="I180" s="49" t="s">
        <v>1379</v>
      </c>
      <c r="J180" s="47" t="s">
        <v>1379</v>
      </c>
      <c r="K180" s="47" t="s">
        <v>1379</v>
      </c>
      <c r="L180" s="45" t="s">
        <v>1379</v>
      </c>
      <c r="M180" s="50" t="s">
        <v>1379</v>
      </c>
      <c r="N180" s="47" t="s">
        <v>1379</v>
      </c>
      <c r="O180" s="45" t="s">
        <v>1379</v>
      </c>
      <c r="P180" s="45">
        <v>-12.090944444444444</v>
      </c>
      <c r="Q180" s="45">
        <v>-75.189361111111111</v>
      </c>
      <c r="R180" s="45" t="s">
        <v>870</v>
      </c>
      <c r="S180" s="51" t="s">
        <v>872</v>
      </c>
      <c r="U180" s="52"/>
    </row>
    <row r="181" spans="1:21" ht="17.25" customHeight="1" x14ac:dyDescent="0.3">
      <c r="A181" s="45">
        <v>180</v>
      </c>
      <c r="B181" s="53" t="s">
        <v>1379</v>
      </c>
      <c r="C181" s="47" t="s">
        <v>1379</v>
      </c>
      <c r="D181" s="47" t="s">
        <v>1379</v>
      </c>
      <c r="E181" s="47" t="s">
        <v>1379</v>
      </c>
      <c r="F181" s="47" t="s">
        <v>1379</v>
      </c>
      <c r="G181" s="45" t="s">
        <v>1379</v>
      </c>
      <c r="H181" s="48" t="s">
        <v>1379</v>
      </c>
      <c r="I181" s="49" t="s">
        <v>1379</v>
      </c>
      <c r="J181" s="47" t="s">
        <v>1379</v>
      </c>
      <c r="K181" s="47" t="s">
        <v>1379</v>
      </c>
      <c r="L181" s="45" t="s">
        <v>1379</v>
      </c>
      <c r="M181" s="50" t="s">
        <v>1379</v>
      </c>
      <c r="N181" s="47" t="s">
        <v>1379</v>
      </c>
      <c r="O181" s="45" t="s">
        <v>1379</v>
      </c>
      <c r="P181" s="45">
        <v>-12.569288888888888</v>
      </c>
      <c r="Q181" s="45">
        <v>-74.95182777777778</v>
      </c>
      <c r="R181" s="45" t="s">
        <v>873</v>
      </c>
      <c r="S181" s="51" t="s">
        <v>874</v>
      </c>
      <c r="U181" s="52"/>
    </row>
    <row r="182" spans="1:21" ht="17.25" customHeight="1" x14ac:dyDescent="0.3">
      <c r="A182" s="45">
        <v>181</v>
      </c>
      <c r="B182" s="53" t="s">
        <v>1379</v>
      </c>
      <c r="C182" s="47" t="s">
        <v>1379</v>
      </c>
      <c r="D182" s="47" t="s">
        <v>1379</v>
      </c>
      <c r="E182" s="47" t="s">
        <v>1379</v>
      </c>
      <c r="F182" s="47" t="s">
        <v>1379</v>
      </c>
      <c r="G182" s="45" t="s">
        <v>1379</v>
      </c>
      <c r="H182" s="48" t="s">
        <v>1379</v>
      </c>
      <c r="I182" s="49" t="s">
        <v>1379</v>
      </c>
      <c r="J182" s="47" t="s">
        <v>1379</v>
      </c>
      <c r="K182" s="47" t="s">
        <v>1379</v>
      </c>
      <c r="L182" s="45" t="s">
        <v>1379</v>
      </c>
      <c r="M182" s="50" t="s">
        <v>1379</v>
      </c>
      <c r="N182" s="47" t="s">
        <v>1379</v>
      </c>
      <c r="O182" s="45" t="s">
        <v>1379</v>
      </c>
      <c r="P182" s="45">
        <v>-12.937555555555555</v>
      </c>
      <c r="Q182" s="45">
        <v>-74.228472222222223</v>
      </c>
      <c r="R182" s="45" t="s">
        <v>875</v>
      </c>
      <c r="S182" s="51" t="s">
        <v>876</v>
      </c>
      <c r="U182" s="52"/>
    </row>
    <row r="183" spans="1:21" ht="17.25" customHeight="1" x14ac:dyDescent="0.3">
      <c r="A183" s="45">
        <v>182</v>
      </c>
      <c r="B183" s="53" t="s">
        <v>1379</v>
      </c>
      <c r="C183" s="47" t="s">
        <v>1379</v>
      </c>
      <c r="D183" s="47" t="s">
        <v>1379</v>
      </c>
      <c r="E183" s="47" t="s">
        <v>1379</v>
      </c>
      <c r="F183" s="47" t="s">
        <v>1379</v>
      </c>
      <c r="G183" s="45" t="s">
        <v>1379</v>
      </c>
      <c r="H183" s="48" t="s">
        <v>1379</v>
      </c>
      <c r="I183" s="49" t="s">
        <v>1379</v>
      </c>
      <c r="J183" s="47" t="s">
        <v>1379</v>
      </c>
      <c r="K183" s="47" t="s">
        <v>1379</v>
      </c>
      <c r="L183" s="45" t="s">
        <v>1379</v>
      </c>
      <c r="M183" s="50" t="s">
        <v>1379</v>
      </c>
      <c r="N183" s="47" t="s">
        <v>1379</v>
      </c>
      <c r="O183" s="45" t="s">
        <v>1379</v>
      </c>
      <c r="P183" s="45">
        <v>-9.9212222222222213</v>
      </c>
      <c r="Q183" s="45">
        <v>-76.244027777777774</v>
      </c>
      <c r="R183" s="45" t="s">
        <v>877</v>
      </c>
      <c r="S183" s="51" t="s">
        <v>878</v>
      </c>
      <c r="U183" s="52"/>
    </row>
    <row r="184" spans="1:21" ht="17.25" customHeight="1" x14ac:dyDescent="0.3">
      <c r="A184" s="45">
        <v>183</v>
      </c>
      <c r="B184" s="53" t="s">
        <v>1379</v>
      </c>
      <c r="C184" s="47" t="s">
        <v>1379</v>
      </c>
      <c r="D184" s="47" t="s">
        <v>1379</v>
      </c>
      <c r="E184" s="47" t="s">
        <v>1379</v>
      </c>
      <c r="F184" s="47" t="s">
        <v>1379</v>
      </c>
      <c r="G184" s="45" t="s">
        <v>1379</v>
      </c>
      <c r="H184" s="48" t="s">
        <v>1379</v>
      </c>
      <c r="I184" s="49" t="s">
        <v>1379</v>
      </c>
      <c r="J184" s="47" t="s">
        <v>1379</v>
      </c>
      <c r="K184" s="47" t="s">
        <v>1379</v>
      </c>
      <c r="L184" s="45" t="s">
        <v>1379</v>
      </c>
      <c r="M184" s="50" t="s">
        <v>1379</v>
      </c>
      <c r="N184" s="47" t="s">
        <v>1379</v>
      </c>
      <c r="O184" s="45" t="s">
        <v>1379</v>
      </c>
      <c r="P184" s="45">
        <v>-9.9211944444444438</v>
      </c>
      <c r="Q184" s="45">
        <v>-76.24411111111111</v>
      </c>
      <c r="R184" s="45" t="s">
        <v>879</v>
      </c>
      <c r="S184" s="51" t="s">
        <v>880</v>
      </c>
      <c r="U184" s="52"/>
    </row>
    <row r="185" spans="1:21" ht="17.25" customHeight="1" x14ac:dyDescent="0.3">
      <c r="A185" s="45">
        <v>184</v>
      </c>
      <c r="B185" s="53" t="s">
        <v>1379</v>
      </c>
      <c r="C185" s="47" t="s">
        <v>1379</v>
      </c>
      <c r="D185" s="47" t="s">
        <v>1379</v>
      </c>
      <c r="E185" s="47" t="s">
        <v>1379</v>
      </c>
      <c r="F185" s="47" t="s">
        <v>1379</v>
      </c>
      <c r="G185" s="45" t="s">
        <v>1379</v>
      </c>
      <c r="H185" s="48" t="s">
        <v>1379</v>
      </c>
      <c r="I185" s="49" t="s">
        <v>1379</v>
      </c>
      <c r="J185" s="47" t="s">
        <v>1379</v>
      </c>
      <c r="K185" s="47" t="s">
        <v>1379</v>
      </c>
      <c r="L185" s="45" t="s">
        <v>1379</v>
      </c>
      <c r="M185" s="50" t="s">
        <v>1379</v>
      </c>
      <c r="N185" s="47" t="s">
        <v>1379</v>
      </c>
      <c r="O185" s="45" t="s">
        <v>1379</v>
      </c>
      <c r="P185" s="45">
        <v>-11.503166666666667</v>
      </c>
      <c r="Q185" s="45">
        <v>-77.211111111111109</v>
      </c>
      <c r="R185" s="45" t="s">
        <v>881</v>
      </c>
      <c r="S185" s="51" t="s">
        <v>882</v>
      </c>
      <c r="U185" s="52"/>
    </row>
    <row r="186" spans="1:21" ht="17.25" customHeight="1" x14ac:dyDescent="0.3">
      <c r="A186" s="45">
        <v>185</v>
      </c>
      <c r="B186" s="53" t="s">
        <v>1379</v>
      </c>
      <c r="C186" s="47" t="s">
        <v>1379</v>
      </c>
      <c r="D186" s="47" t="s">
        <v>1379</v>
      </c>
      <c r="E186" s="47" t="s">
        <v>1379</v>
      </c>
      <c r="F186" s="47" t="s">
        <v>1379</v>
      </c>
      <c r="G186" s="45" t="s">
        <v>1379</v>
      </c>
      <c r="H186" s="48" t="s">
        <v>1379</v>
      </c>
      <c r="I186" s="49" t="s">
        <v>1379</v>
      </c>
      <c r="J186" s="47" t="s">
        <v>1379</v>
      </c>
      <c r="K186" s="47" t="s">
        <v>1379</v>
      </c>
      <c r="L186" s="45" t="s">
        <v>1379</v>
      </c>
      <c r="M186" s="50" t="s">
        <v>1379</v>
      </c>
      <c r="N186" s="47" t="s">
        <v>1379</v>
      </c>
      <c r="O186" s="45" t="s">
        <v>1379</v>
      </c>
      <c r="P186" s="45">
        <v>-11.503166666666667</v>
      </c>
      <c r="Q186" s="45">
        <v>-77.211111111111109</v>
      </c>
      <c r="R186" s="45" t="s">
        <v>881</v>
      </c>
      <c r="S186" s="51" t="s">
        <v>883</v>
      </c>
      <c r="U186" s="52"/>
    </row>
    <row r="187" spans="1:21" ht="17.25" customHeight="1" x14ac:dyDescent="0.3">
      <c r="A187" s="45">
        <v>186</v>
      </c>
      <c r="B187" s="53" t="s">
        <v>1379</v>
      </c>
      <c r="C187" s="47" t="s">
        <v>1379</v>
      </c>
      <c r="D187" s="47" t="s">
        <v>1379</v>
      </c>
      <c r="E187" s="47" t="s">
        <v>1379</v>
      </c>
      <c r="F187" s="47" t="s">
        <v>1379</v>
      </c>
      <c r="G187" s="45" t="s">
        <v>1379</v>
      </c>
      <c r="H187" s="48" t="s">
        <v>1379</v>
      </c>
      <c r="I187" s="49" t="s">
        <v>1379</v>
      </c>
      <c r="J187" s="47" t="s">
        <v>1379</v>
      </c>
      <c r="K187" s="47" t="s">
        <v>1379</v>
      </c>
      <c r="L187" s="45" t="s">
        <v>1379</v>
      </c>
      <c r="M187" s="50" t="s">
        <v>1379</v>
      </c>
      <c r="N187" s="47" t="s">
        <v>1379</v>
      </c>
      <c r="O187" s="45" t="s">
        <v>1379</v>
      </c>
      <c r="P187" s="45">
        <v>-10.448952777777778</v>
      </c>
      <c r="Q187" s="45">
        <v>-76.183549999999997</v>
      </c>
      <c r="R187" s="45" t="s">
        <v>884</v>
      </c>
      <c r="S187" s="51" t="s">
        <v>885</v>
      </c>
      <c r="U187" s="52"/>
    </row>
    <row r="188" spans="1:21" ht="17.25" customHeight="1" x14ac:dyDescent="0.3">
      <c r="A188" s="45">
        <v>187</v>
      </c>
      <c r="B188" s="53" t="s">
        <v>1379</v>
      </c>
      <c r="C188" s="47" t="s">
        <v>1379</v>
      </c>
      <c r="D188" s="47" t="s">
        <v>1379</v>
      </c>
      <c r="E188" s="47" t="s">
        <v>1379</v>
      </c>
      <c r="F188" s="47" t="s">
        <v>1379</v>
      </c>
      <c r="G188" s="45" t="s">
        <v>1379</v>
      </c>
      <c r="H188" s="48" t="s">
        <v>1379</v>
      </c>
      <c r="I188" s="49" t="s">
        <v>1379</v>
      </c>
      <c r="J188" s="47" t="s">
        <v>1379</v>
      </c>
      <c r="K188" s="47" t="s">
        <v>1379</v>
      </c>
      <c r="L188" s="45" t="s">
        <v>1379</v>
      </c>
      <c r="M188" s="50" t="s">
        <v>1379</v>
      </c>
      <c r="N188" s="47" t="s">
        <v>1379</v>
      </c>
      <c r="O188" s="45" t="s">
        <v>1379</v>
      </c>
      <c r="P188" s="45">
        <v>-12.13945</v>
      </c>
      <c r="Q188" s="45">
        <v>-76.231347222222226</v>
      </c>
      <c r="R188" s="45" t="s">
        <v>886</v>
      </c>
      <c r="S188" s="51" t="s">
        <v>887</v>
      </c>
      <c r="U188" s="52"/>
    </row>
    <row r="189" spans="1:21" ht="17.25" customHeight="1" x14ac:dyDescent="0.3">
      <c r="A189" s="45">
        <v>188</v>
      </c>
      <c r="B189" s="53" t="s">
        <v>1379</v>
      </c>
      <c r="C189" s="47" t="s">
        <v>1379</v>
      </c>
      <c r="D189" s="47" t="s">
        <v>1379</v>
      </c>
      <c r="E189" s="47" t="s">
        <v>1379</v>
      </c>
      <c r="F189" s="47" t="s">
        <v>1379</v>
      </c>
      <c r="G189" s="45" t="s">
        <v>1379</v>
      </c>
      <c r="H189" s="48" t="s">
        <v>1379</v>
      </c>
      <c r="I189" s="49" t="s">
        <v>1379</v>
      </c>
      <c r="J189" s="47" t="s">
        <v>1379</v>
      </c>
      <c r="K189" s="47" t="s">
        <v>1379</v>
      </c>
      <c r="L189" s="45" t="s">
        <v>1379</v>
      </c>
      <c r="M189" s="50" t="s">
        <v>1379</v>
      </c>
      <c r="N189" s="47" t="s">
        <v>1379</v>
      </c>
      <c r="O189" s="45" t="s">
        <v>1379</v>
      </c>
      <c r="P189" s="45">
        <v>-11.276530555555556</v>
      </c>
      <c r="Q189" s="45">
        <v>-75.636466666666678</v>
      </c>
      <c r="R189" s="45" t="s">
        <v>888</v>
      </c>
      <c r="S189" s="51" t="s">
        <v>889</v>
      </c>
      <c r="U189" s="52"/>
    </row>
    <row r="190" spans="1:21" ht="17.25" customHeight="1" x14ac:dyDescent="0.3">
      <c r="A190" s="45">
        <v>189</v>
      </c>
      <c r="B190" s="53" t="s">
        <v>1379</v>
      </c>
      <c r="C190" s="47" t="s">
        <v>1379</v>
      </c>
      <c r="D190" s="47" t="s">
        <v>1379</v>
      </c>
      <c r="E190" s="47" t="s">
        <v>1379</v>
      </c>
      <c r="F190" s="47" t="s">
        <v>1379</v>
      </c>
      <c r="G190" s="45" t="s">
        <v>1379</v>
      </c>
      <c r="H190" s="48" t="s">
        <v>1379</v>
      </c>
      <c r="I190" s="49" t="s">
        <v>1379</v>
      </c>
      <c r="J190" s="47" t="s">
        <v>1379</v>
      </c>
      <c r="K190" s="47" t="s">
        <v>1379</v>
      </c>
      <c r="L190" s="45" t="s">
        <v>1379</v>
      </c>
      <c r="M190" s="50" t="s">
        <v>1379</v>
      </c>
      <c r="N190" s="47" t="s">
        <v>1379</v>
      </c>
      <c r="O190" s="45" t="s">
        <v>1379</v>
      </c>
      <c r="P190" s="45">
        <v>-11.002472222222222</v>
      </c>
      <c r="Q190" s="45">
        <v>-76.365138888888879</v>
      </c>
      <c r="R190" s="45" t="s">
        <v>890</v>
      </c>
      <c r="S190" s="51" t="s">
        <v>891</v>
      </c>
      <c r="U190" s="52"/>
    </row>
    <row r="191" spans="1:21" ht="17.25" customHeight="1" x14ac:dyDescent="0.3">
      <c r="A191" s="45">
        <v>190</v>
      </c>
      <c r="B191" s="53" t="s">
        <v>1379</v>
      </c>
      <c r="C191" s="47" t="s">
        <v>1379</v>
      </c>
      <c r="D191" s="47" t="s">
        <v>1379</v>
      </c>
      <c r="E191" s="47" t="s">
        <v>1379</v>
      </c>
      <c r="F191" s="47" t="s">
        <v>1379</v>
      </c>
      <c r="G191" s="45" t="s">
        <v>1379</v>
      </c>
      <c r="H191" s="48" t="s">
        <v>1379</v>
      </c>
      <c r="I191" s="49" t="s">
        <v>1379</v>
      </c>
      <c r="J191" s="47" t="s">
        <v>1379</v>
      </c>
      <c r="K191" s="47" t="s">
        <v>1379</v>
      </c>
      <c r="L191" s="45" t="s">
        <v>1379</v>
      </c>
      <c r="M191" s="50" t="s">
        <v>1379</v>
      </c>
      <c r="N191" s="47" t="s">
        <v>1379</v>
      </c>
      <c r="O191" s="45" t="s">
        <v>1379</v>
      </c>
      <c r="P191" s="45">
        <v>-3.7783944444444444</v>
      </c>
      <c r="Q191" s="45">
        <v>-73.27632222222222</v>
      </c>
      <c r="R191" s="45" t="s">
        <v>892</v>
      </c>
      <c r="S191" s="51" t="s">
        <v>893</v>
      </c>
      <c r="U191" s="52"/>
    </row>
    <row r="192" spans="1:21" ht="17.25" customHeight="1" x14ac:dyDescent="0.3">
      <c r="A192" s="45">
        <v>191</v>
      </c>
      <c r="B192" s="53" t="s">
        <v>1379</v>
      </c>
      <c r="C192" s="47" t="s">
        <v>1379</v>
      </c>
      <c r="D192" s="47" t="s">
        <v>1379</v>
      </c>
      <c r="E192" s="47" t="s">
        <v>1379</v>
      </c>
      <c r="F192" s="47" t="s">
        <v>1379</v>
      </c>
      <c r="G192" s="45" t="s">
        <v>1379</v>
      </c>
      <c r="H192" s="48" t="s">
        <v>1379</v>
      </c>
      <c r="I192" s="49" t="s">
        <v>1379</v>
      </c>
      <c r="J192" s="47" t="s">
        <v>1379</v>
      </c>
      <c r="K192" s="47" t="s">
        <v>1379</v>
      </c>
      <c r="L192" s="45" t="s">
        <v>1379</v>
      </c>
      <c r="M192" s="50" t="s">
        <v>1379</v>
      </c>
      <c r="N192" s="47" t="s">
        <v>1379</v>
      </c>
      <c r="O192" s="45" t="s">
        <v>1379</v>
      </c>
      <c r="P192" s="45">
        <v>-4.3530833333333332</v>
      </c>
      <c r="Q192" s="45">
        <v>-70.041694444444445</v>
      </c>
      <c r="R192" s="45" t="s">
        <v>894</v>
      </c>
      <c r="S192" s="51" t="s">
        <v>895</v>
      </c>
      <c r="U192" s="52"/>
    </row>
    <row r="193" spans="1:21" ht="17.25" customHeight="1" x14ac:dyDescent="0.3">
      <c r="A193" s="45">
        <v>192</v>
      </c>
      <c r="B193" s="53" t="s">
        <v>1379</v>
      </c>
      <c r="C193" s="47" t="s">
        <v>1379</v>
      </c>
      <c r="D193" s="47" t="s">
        <v>1379</v>
      </c>
      <c r="E193" s="47" t="s">
        <v>1379</v>
      </c>
      <c r="F193" s="47" t="s">
        <v>1379</v>
      </c>
      <c r="G193" s="45" t="s">
        <v>1379</v>
      </c>
      <c r="H193" s="48" t="s">
        <v>1379</v>
      </c>
      <c r="I193" s="49" t="s">
        <v>1379</v>
      </c>
      <c r="J193" s="47" t="s">
        <v>1379</v>
      </c>
      <c r="K193" s="47" t="s">
        <v>1379</v>
      </c>
      <c r="L193" s="45" t="s">
        <v>1379</v>
      </c>
      <c r="M193" s="50" t="s">
        <v>1379</v>
      </c>
      <c r="N193" s="47" t="s">
        <v>1379</v>
      </c>
      <c r="O193" s="45" t="s">
        <v>1379</v>
      </c>
      <c r="P193" s="45">
        <v>-11.786944444444444</v>
      </c>
      <c r="Q193" s="45">
        <v>-75.495555555555555</v>
      </c>
      <c r="R193" s="45" t="s">
        <v>896</v>
      </c>
      <c r="S193" s="51" t="s">
        <v>897</v>
      </c>
      <c r="U193" s="52"/>
    </row>
    <row r="194" spans="1:21" ht="17.25" customHeight="1" x14ac:dyDescent="0.3">
      <c r="A194" s="45">
        <v>193</v>
      </c>
      <c r="B194" s="53" t="s">
        <v>1379</v>
      </c>
      <c r="C194" s="47" t="s">
        <v>1379</v>
      </c>
      <c r="D194" s="47" t="s">
        <v>1379</v>
      </c>
      <c r="E194" s="47" t="s">
        <v>1379</v>
      </c>
      <c r="F194" s="47" t="s">
        <v>1379</v>
      </c>
      <c r="G194" s="45" t="s">
        <v>1379</v>
      </c>
      <c r="H194" s="48" t="s">
        <v>1379</v>
      </c>
      <c r="I194" s="49" t="s">
        <v>1379</v>
      </c>
      <c r="J194" s="47" t="s">
        <v>1379</v>
      </c>
      <c r="K194" s="47" t="s">
        <v>1379</v>
      </c>
      <c r="L194" s="45" t="s">
        <v>1379</v>
      </c>
      <c r="M194" s="50" t="s">
        <v>1379</v>
      </c>
      <c r="N194" s="47" t="s">
        <v>1379</v>
      </c>
      <c r="O194" s="45" t="s">
        <v>1379</v>
      </c>
      <c r="P194" s="45">
        <v>-6.0574722222222217</v>
      </c>
      <c r="Q194" s="45">
        <v>-74.86077777777777</v>
      </c>
      <c r="R194" s="45" t="s">
        <v>898</v>
      </c>
      <c r="S194" s="51" t="s">
        <v>899</v>
      </c>
      <c r="U194" s="52"/>
    </row>
    <row r="195" spans="1:21" ht="17.25" customHeight="1" x14ac:dyDescent="0.3">
      <c r="A195" s="45">
        <v>194</v>
      </c>
      <c r="B195" s="53" t="s">
        <v>1379</v>
      </c>
      <c r="C195" s="47" t="s">
        <v>1379</v>
      </c>
      <c r="D195" s="47" t="s">
        <v>1379</v>
      </c>
      <c r="E195" s="47" t="s">
        <v>1379</v>
      </c>
      <c r="F195" s="47" t="s">
        <v>1379</v>
      </c>
      <c r="G195" s="45" t="s">
        <v>1379</v>
      </c>
      <c r="H195" s="48" t="s">
        <v>1379</v>
      </c>
      <c r="I195" s="49" t="s">
        <v>1379</v>
      </c>
      <c r="J195" s="47" t="s">
        <v>1379</v>
      </c>
      <c r="K195" s="47" t="s">
        <v>1379</v>
      </c>
      <c r="L195" s="45" t="s">
        <v>1379</v>
      </c>
      <c r="M195" s="50" t="s">
        <v>1379</v>
      </c>
      <c r="N195" s="47" t="s">
        <v>1379</v>
      </c>
      <c r="O195" s="45" t="s">
        <v>1379</v>
      </c>
      <c r="P195" s="45">
        <v>-11.158413888888889</v>
      </c>
      <c r="Q195" s="45">
        <v>-75.990638888888896</v>
      </c>
      <c r="R195" s="45" t="s">
        <v>900</v>
      </c>
      <c r="S195" s="51" t="s">
        <v>901</v>
      </c>
      <c r="U195" s="52"/>
    </row>
    <row r="196" spans="1:21" ht="17.25" customHeight="1" x14ac:dyDescent="0.3">
      <c r="A196" s="45">
        <v>195</v>
      </c>
      <c r="B196" s="53" t="s">
        <v>1379</v>
      </c>
      <c r="C196" s="47" t="s">
        <v>1379</v>
      </c>
      <c r="D196" s="47" t="s">
        <v>1379</v>
      </c>
      <c r="E196" s="47" t="s">
        <v>1379</v>
      </c>
      <c r="F196" s="47" t="s">
        <v>1379</v>
      </c>
      <c r="G196" s="45" t="s">
        <v>1379</v>
      </c>
      <c r="H196" s="48" t="s">
        <v>1379</v>
      </c>
      <c r="I196" s="49" t="s">
        <v>1379</v>
      </c>
      <c r="J196" s="47" t="s">
        <v>1379</v>
      </c>
      <c r="K196" s="47" t="s">
        <v>1379</v>
      </c>
      <c r="L196" s="45" t="s">
        <v>1379</v>
      </c>
      <c r="M196" s="50" t="s">
        <v>1379</v>
      </c>
      <c r="N196" s="47" t="s">
        <v>1379</v>
      </c>
      <c r="O196" s="45" t="s">
        <v>1379</v>
      </c>
      <c r="P196" s="45">
        <v>-11.077888888888889</v>
      </c>
      <c r="Q196" s="45">
        <v>-75.321138888888882</v>
      </c>
      <c r="R196" s="45" t="s">
        <v>592</v>
      </c>
      <c r="S196" s="51" t="s">
        <v>902</v>
      </c>
      <c r="U196" s="52"/>
    </row>
    <row r="197" spans="1:21" ht="17.25" customHeight="1" x14ac:dyDescent="0.3">
      <c r="A197" s="45">
        <v>196</v>
      </c>
      <c r="B197" s="53" t="s">
        <v>1379</v>
      </c>
      <c r="C197" s="47" t="s">
        <v>1379</v>
      </c>
      <c r="D197" s="47" t="s">
        <v>1379</v>
      </c>
      <c r="E197" s="47" t="s">
        <v>1379</v>
      </c>
      <c r="F197" s="47" t="s">
        <v>1379</v>
      </c>
      <c r="G197" s="45" t="s">
        <v>1379</v>
      </c>
      <c r="H197" s="48" t="s">
        <v>1379</v>
      </c>
      <c r="I197" s="49" t="s">
        <v>1379</v>
      </c>
      <c r="J197" s="47" t="s">
        <v>1379</v>
      </c>
      <c r="K197" s="47" t="s">
        <v>1379</v>
      </c>
      <c r="L197" s="45" t="s">
        <v>1379</v>
      </c>
      <c r="M197" s="50" t="s">
        <v>1379</v>
      </c>
      <c r="N197" s="47" t="s">
        <v>1379</v>
      </c>
      <c r="O197" s="45" t="s">
        <v>1379</v>
      </c>
      <c r="P197" s="45">
        <v>-11.518361111111112</v>
      </c>
      <c r="Q197" s="45">
        <v>-75.904000000000011</v>
      </c>
      <c r="R197" s="45" t="s">
        <v>903</v>
      </c>
      <c r="S197" s="51" t="s">
        <v>904</v>
      </c>
      <c r="U197" s="52"/>
    </row>
    <row r="198" spans="1:21" ht="17.25" customHeight="1" x14ac:dyDescent="0.3">
      <c r="A198" s="45">
        <v>197</v>
      </c>
      <c r="B198" s="53" t="s">
        <v>1379</v>
      </c>
      <c r="C198" s="47" t="s">
        <v>1379</v>
      </c>
      <c r="D198" s="47" t="s">
        <v>1379</v>
      </c>
      <c r="E198" s="47" t="s">
        <v>1379</v>
      </c>
      <c r="F198" s="47" t="s">
        <v>1379</v>
      </c>
      <c r="G198" s="45" t="s">
        <v>1379</v>
      </c>
      <c r="H198" s="48" t="s">
        <v>1379</v>
      </c>
      <c r="I198" s="49" t="s">
        <v>1379</v>
      </c>
      <c r="J198" s="47" t="s">
        <v>1379</v>
      </c>
      <c r="K198" s="47" t="s">
        <v>1379</v>
      </c>
      <c r="L198" s="45" t="s">
        <v>1379</v>
      </c>
      <c r="M198" s="50" t="s">
        <v>1379</v>
      </c>
      <c r="N198" s="47" t="s">
        <v>1379</v>
      </c>
      <c r="O198" s="45" t="s">
        <v>1379</v>
      </c>
      <c r="P198" s="45">
        <v>-9.8252222222222212</v>
      </c>
      <c r="Q198" s="45">
        <v>-76.798000000000002</v>
      </c>
      <c r="R198" s="45" t="s">
        <v>905</v>
      </c>
      <c r="S198" s="51" t="s">
        <v>906</v>
      </c>
      <c r="U198" s="52"/>
    </row>
    <row r="199" spans="1:21" ht="17.25" customHeight="1" x14ac:dyDescent="0.3">
      <c r="A199" s="45">
        <v>198</v>
      </c>
      <c r="B199" s="53" t="s">
        <v>1379</v>
      </c>
      <c r="C199" s="47" t="s">
        <v>1379</v>
      </c>
      <c r="D199" s="47" t="s">
        <v>1379</v>
      </c>
      <c r="E199" s="47" t="s">
        <v>1379</v>
      </c>
      <c r="F199" s="47" t="s">
        <v>1379</v>
      </c>
      <c r="G199" s="45" t="s">
        <v>1379</v>
      </c>
      <c r="H199" s="48" t="s">
        <v>1379</v>
      </c>
      <c r="I199" s="49" t="s">
        <v>1379</v>
      </c>
      <c r="J199" s="47" t="s">
        <v>1379</v>
      </c>
      <c r="K199" s="47" t="s">
        <v>1379</v>
      </c>
      <c r="L199" s="45" t="s">
        <v>1379</v>
      </c>
      <c r="M199" s="50" t="s">
        <v>1379</v>
      </c>
      <c r="N199" s="47" t="s">
        <v>1379</v>
      </c>
      <c r="O199" s="45" t="s">
        <v>1379</v>
      </c>
      <c r="P199" s="45">
        <v>-5.2255000000000003</v>
      </c>
      <c r="Q199" s="45">
        <v>-75.668666666666667</v>
      </c>
      <c r="R199" s="45" t="s">
        <v>907</v>
      </c>
      <c r="S199" s="51" t="s">
        <v>908</v>
      </c>
      <c r="U199" s="52"/>
    </row>
    <row r="200" spans="1:21" ht="17.25" customHeight="1" x14ac:dyDescent="0.3">
      <c r="A200" s="45">
        <v>199</v>
      </c>
      <c r="B200" s="53" t="s">
        <v>1379</v>
      </c>
      <c r="C200" s="47" t="s">
        <v>1379</v>
      </c>
      <c r="D200" s="47" t="s">
        <v>1379</v>
      </c>
      <c r="E200" s="47" t="s">
        <v>1379</v>
      </c>
      <c r="F200" s="47" t="s">
        <v>1379</v>
      </c>
      <c r="G200" s="45" t="s">
        <v>1379</v>
      </c>
      <c r="H200" s="48" t="s">
        <v>1379</v>
      </c>
      <c r="I200" s="49" t="s">
        <v>1379</v>
      </c>
      <c r="J200" s="47" t="s">
        <v>1379</v>
      </c>
      <c r="K200" s="47" t="s">
        <v>1379</v>
      </c>
      <c r="L200" s="45" t="s">
        <v>1379</v>
      </c>
      <c r="M200" s="50" t="s">
        <v>1379</v>
      </c>
      <c r="N200" s="47" t="s">
        <v>1379</v>
      </c>
      <c r="O200" s="45" t="s">
        <v>1379</v>
      </c>
      <c r="P200" s="45">
        <v>-12.181833333333334</v>
      </c>
      <c r="Q200" s="45">
        <v>-77.026388888888889</v>
      </c>
      <c r="R200" s="45" t="s">
        <v>909</v>
      </c>
      <c r="S200" s="51" t="s">
        <v>910</v>
      </c>
      <c r="U200" s="52"/>
    </row>
    <row r="201" spans="1:21" ht="17.25" customHeight="1" x14ac:dyDescent="0.3">
      <c r="A201" s="45">
        <v>200</v>
      </c>
      <c r="B201" s="53" t="s">
        <v>1379</v>
      </c>
      <c r="C201" s="47" t="s">
        <v>1379</v>
      </c>
      <c r="D201" s="47" t="s">
        <v>1379</v>
      </c>
      <c r="E201" s="47" t="s">
        <v>1379</v>
      </c>
      <c r="F201" s="47" t="s">
        <v>1379</v>
      </c>
      <c r="G201" s="45" t="s">
        <v>1379</v>
      </c>
      <c r="H201" s="48" t="s">
        <v>1379</v>
      </c>
      <c r="I201" s="49" t="s">
        <v>1379</v>
      </c>
      <c r="J201" s="47" t="s">
        <v>1379</v>
      </c>
      <c r="K201" s="47" t="s">
        <v>1379</v>
      </c>
      <c r="L201" s="45" t="s">
        <v>1379</v>
      </c>
      <c r="M201" s="50" t="s">
        <v>1379</v>
      </c>
      <c r="N201" s="47" t="s">
        <v>1379</v>
      </c>
      <c r="O201" s="45" t="s">
        <v>1379</v>
      </c>
      <c r="R201" s="45"/>
      <c r="S201" s="51" t="s">
        <v>911</v>
      </c>
      <c r="U201" s="52"/>
    </row>
    <row r="202" spans="1:21" ht="17.25" customHeight="1" x14ac:dyDescent="0.3">
      <c r="A202" s="45">
        <v>201</v>
      </c>
      <c r="B202" s="53" t="s">
        <v>1379</v>
      </c>
      <c r="C202" s="47" t="s">
        <v>1379</v>
      </c>
      <c r="D202" s="47" t="s">
        <v>1379</v>
      </c>
      <c r="E202" s="47" t="s">
        <v>1379</v>
      </c>
      <c r="F202" s="47" t="s">
        <v>1379</v>
      </c>
      <c r="G202" s="45" t="s">
        <v>1379</v>
      </c>
      <c r="H202" s="48" t="s">
        <v>1379</v>
      </c>
      <c r="I202" s="49" t="s">
        <v>1379</v>
      </c>
      <c r="J202" s="47" t="s">
        <v>1379</v>
      </c>
      <c r="K202" s="47" t="s">
        <v>1379</v>
      </c>
      <c r="L202" s="45" t="s">
        <v>1379</v>
      </c>
      <c r="M202" s="50" t="s">
        <v>1379</v>
      </c>
      <c r="N202" s="47" t="s">
        <v>1379</v>
      </c>
      <c r="O202" s="45" t="s">
        <v>1379</v>
      </c>
      <c r="P202" s="45">
        <v>-12.180388888888888</v>
      </c>
      <c r="Q202" s="45">
        <v>-77.030388888888893</v>
      </c>
      <c r="R202" s="45" t="s">
        <v>912</v>
      </c>
      <c r="S202" s="51" t="s">
        <v>913</v>
      </c>
      <c r="U202" s="52"/>
    </row>
    <row r="203" spans="1:21" ht="17.25" customHeight="1" x14ac:dyDescent="0.3">
      <c r="A203" s="45">
        <v>202</v>
      </c>
      <c r="B203" s="53" t="s">
        <v>1379</v>
      </c>
      <c r="C203" s="47" t="s">
        <v>1379</v>
      </c>
      <c r="D203" s="47" t="s">
        <v>1379</v>
      </c>
      <c r="E203" s="47" t="s">
        <v>1379</v>
      </c>
      <c r="F203" s="47" t="s">
        <v>1379</v>
      </c>
      <c r="G203" s="45" t="s">
        <v>1379</v>
      </c>
      <c r="H203" s="48" t="s">
        <v>1379</v>
      </c>
      <c r="I203" s="49" t="s">
        <v>1379</v>
      </c>
      <c r="J203" s="47" t="s">
        <v>1379</v>
      </c>
      <c r="K203" s="47" t="s">
        <v>1379</v>
      </c>
      <c r="L203" s="45" t="s">
        <v>1379</v>
      </c>
      <c r="M203" s="50" t="s">
        <v>1379</v>
      </c>
      <c r="N203" s="47" t="s">
        <v>1379</v>
      </c>
      <c r="O203" s="45" t="s">
        <v>1379</v>
      </c>
      <c r="R203" s="45"/>
      <c r="S203" s="51" t="s">
        <v>914</v>
      </c>
      <c r="U203" s="52"/>
    </row>
    <row r="204" spans="1:21" ht="17.25" customHeight="1" x14ac:dyDescent="0.3">
      <c r="A204" s="45">
        <v>203</v>
      </c>
      <c r="B204" s="53" t="s">
        <v>1379</v>
      </c>
      <c r="C204" s="47" t="s">
        <v>1379</v>
      </c>
      <c r="D204" s="47" t="s">
        <v>1379</v>
      </c>
      <c r="E204" s="47" t="s">
        <v>1379</v>
      </c>
      <c r="F204" s="47" t="s">
        <v>1379</v>
      </c>
      <c r="G204" s="45" t="s">
        <v>1379</v>
      </c>
      <c r="H204" s="48" t="s">
        <v>1379</v>
      </c>
      <c r="I204" s="49" t="s">
        <v>1379</v>
      </c>
      <c r="J204" s="47" t="s">
        <v>1379</v>
      </c>
      <c r="K204" s="47" t="s">
        <v>1379</v>
      </c>
      <c r="L204" s="45" t="s">
        <v>1379</v>
      </c>
      <c r="M204" s="50" t="s">
        <v>1379</v>
      </c>
      <c r="N204" s="47" t="s">
        <v>1379</v>
      </c>
      <c r="O204" s="45" t="s">
        <v>1379</v>
      </c>
      <c r="P204" s="45">
        <v>-12.987499999999999</v>
      </c>
      <c r="Q204" s="45">
        <v>-74.601666666666659</v>
      </c>
      <c r="R204" s="45" t="s">
        <v>915</v>
      </c>
      <c r="S204" s="51" t="s">
        <v>916</v>
      </c>
      <c r="U204" s="52"/>
    </row>
    <row r="205" spans="1:21" ht="17.25" customHeight="1" x14ac:dyDescent="0.3">
      <c r="A205" s="45">
        <v>204</v>
      </c>
      <c r="B205" s="53" t="s">
        <v>1379</v>
      </c>
      <c r="C205" s="47" t="s">
        <v>1379</v>
      </c>
      <c r="D205" s="47" t="s">
        <v>1379</v>
      </c>
      <c r="E205" s="47" t="s">
        <v>1379</v>
      </c>
      <c r="F205" s="47" t="s">
        <v>1379</v>
      </c>
      <c r="G205" s="45" t="s">
        <v>1379</v>
      </c>
      <c r="H205" s="48" t="s">
        <v>1379</v>
      </c>
      <c r="I205" s="49" t="s">
        <v>1379</v>
      </c>
      <c r="J205" s="47" t="s">
        <v>1379</v>
      </c>
      <c r="K205" s="47" t="s">
        <v>1379</v>
      </c>
      <c r="L205" s="45" t="s">
        <v>1379</v>
      </c>
      <c r="M205" s="50" t="s">
        <v>1379</v>
      </c>
      <c r="N205" s="47" t="s">
        <v>1379</v>
      </c>
      <c r="O205" s="45" t="s">
        <v>1379</v>
      </c>
      <c r="P205" s="45">
        <v>-12.976055555555556</v>
      </c>
      <c r="Q205" s="45">
        <v>-76.154805555555555</v>
      </c>
      <c r="R205" s="45" t="s">
        <v>917</v>
      </c>
      <c r="S205" s="51" t="s">
        <v>918</v>
      </c>
      <c r="U205" s="52"/>
    </row>
    <row r="206" spans="1:21" ht="17.25" customHeight="1" x14ac:dyDescent="0.3">
      <c r="A206" s="45">
        <v>205</v>
      </c>
      <c r="B206" s="53" t="s">
        <v>1379</v>
      </c>
      <c r="C206" s="47" t="s">
        <v>1379</v>
      </c>
      <c r="D206" s="47" t="s">
        <v>1379</v>
      </c>
      <c r="E206" s="47" t="s">
        <v>1379</v>
      </c>
      <c r="F206" s="47" t="s">
        <v>1379</v>
      </c>
      <c r="G206" s="45" t="s">
        <v>1379</v>
      </c>
      <c r="H206" s="48" t="s">
        <v>1379</v>
      </c>
      <c r="I206" s="49" t="s">
        <v>1379</v>
      </c>
      <c r="J206" s="47" t="s">
        <v>1379</v>
      </c>
      <c r="K206" s="47" t="s">
        <v>1379</v>
      </c>
      <c r="L206" s="45" t="s">
        <v>1379</v>
      </c>
      <c r="M206" s="50" t="s">
        <v>1379</v>
      </c>
      <c r="N206" s="47" t="s">
        <v>1379</v>
      </c>
      <c r="O206" s="45" t="s">
        <v>1379</v>
      </c>
      <c r="P206" s="45">
        <v>-12.654611111111111</v>
      </c>
      <c r="Q206" s="45">
        <v>-76.630749999999992</v>
      </c>
      <c r="R206" s="45" t="s">
        <v>919</v>
      </c>
      <c r="S206" s="51" t="s">
        <v>920</v>
      </c>
      <c r="U206" s="52"/>
    </row>
    <row r="207" spans="1:21" ht="17.25" customHeight="1" x14ac:dyDescent="0.3">
      <c r="A207" s="45">
        <v>206</v>
      </c>
      <c r="B207" s="53" t="s">
        <v>1379</v>
      </c>
      <c r="C207" s="47" t="s">
        <v>1379</v>
      </c>
      <c r="D207" s="47" t="s">
        <v>1379</v>
      </c>
      <c r="E207" s="47" t="s">
        <v>1379</v>
      </c>
      <c r="F207" s="47" t="s">
        <v>1379</v>
      </c>
      <c r="G207" s="45" t="s">
        <v>1379</v>
      </c>
      <c r="H207" s="48" t="s">
        <v>1379</v>
      </c>
      <c r="I207" s="49" t="s">
        <v>1379</v>
      </c>
      <c r="J207" s="47" t="s">
        <v>1379</v>
      </c>
      <c r="K207" s="47" t="s">
        <v>1379</v>
      </c>
      <c r="L207" s="45" t="s">
        <v>1379</v>
      </c>
      <c r="M207" s="50" t="s">
        <v>1379</v>
      </c>
      <c r="N207" s="47" t="s">
        <v>1379</v>
      </c>
      <c r="O207" s="45" t="s">
        <v>1379</v>
      </c>
      <c r="P207" s="45">
        <v>-12.888466666666666</v>
      </c>
      <c r="Q207" s="45">
        <v>-74.409963888888896</v>
      </c>
      <c r="R207" s="45" t="s">
        <v>921</v>
      </c>
      <c r="S207" s="51" t="s">
        <v>922</v>
      </c>
      <c r="U207" s="52"/>
    </row>
    <row r="208" spans="1:21" ht="17.25" customHeight="1" x14ac:dyDescent="0.3">
      <c r="A208" s="45">
        <v>207</v>
      </c>
      <c r="B208" s="53" t="s">
        <v>1379</v>
      </c>
      <c r="C208" s="47" t="s">
        <v>1379</v>
      </c>
      <c r="D208" s="47" t="s">
        <v>1379</v>
      </c>
      <c r="E208" s="47" t="s">
        <v>1379</v>
      </c>
      <c r="F208" s="47" t="s">
        <v>1379</v>
      </c>
      <c r="G208" s="45" t="s">
        <v>1379</v>
      </c>
      <c r="H208" s="48" t="s">
        <v>1379</v>
      </c>
      <c r="I208" s="49" t="s">
        <v>1379</v>
      </c>
      <c r="J208" s="47" t="s">
        <v>1379</v>
      </c>
      <c r="K208" s="47" t="s">
        <v>1379</v>
      </c>
      <c r="L208" s="45" t="s">
        <v>1379</v>
      </c>
      <c r="M208" s="50" t="s">
        <v>1379</v>
      </c>
      <c r="N208" s="47" t="s">
        <v>1379</v>
      </c>
      <c r="O208" s="45" t="s">
        <v>1379</v>
      </c>
      <c r="P208" s="45">
        <v>-8.6038888888888891</v>
      </c>
      <c r="Q208" s="45">
        <v>-74.30749999999999</v>
      </c>
      <c r="R208" s="45" t="s">
        <v>923</v>
      </c>
      <c r="S208" s="51" t="s">
        <v>924</v>
      </c>
      <c r="U208" s="52"/>
    </row>
    <row r="209" spans="1:21" ht="17.25" customHeight="1" x14ac:dyDescent="0.3">
      <c r="A209" s="45">
        <v>208</v>
      </c>
      <c r="B209" s="53" t="s">
        <v>1379</v>
      </c>
      <c r="C209" s="47" t="s">
        <v>1379</v>
      </c>
      <c r="D209" s="47" t="s">
        <v>1379</v>
      </c>
      <c r="E209" s="47" t="s">
        <v>1379</v>
      </c>
      <c r="F209" s="47" t="s">
        <v>1379</v>
      </c>
      <c r="G209" s="45" t="s">
        <v>1379</v>
      </c>
      <c r="H209" s="48" t="s">
        <v>1379</v>
      </c>
      <c r="I209" s="49" t="s">
        <v>1379</v>
      </c>
      <c r="J209" s="47" t="s">
        <v>1379</v>
      </c>
      <c r="K209" s="47" t="s">
        <v>1379</v>
      </c>
      <c r="L209" s="45" t="s">
        <v>1379</v>
      </c>
      <c r="M209" s="50" t="s">
        <v>1379</v>
      </c>
      <c r="N209" s="47" t="s">
        <v>1379</v>
      </c>
      <c r="O209" s="45" t="s">
        <v>1379</v>
      </c>
      <c r="P209" s="45">
        <v>-11.332527777777777</v>
      </c>
      <c r="Q209" s="45">
        <v>-74.529111111111106</v>
      </c>
      <c r="R209" s="45" t="s">
        <v>925</v>
      </c>
      <c r="S209" s="51" t="s">
        <v>926</v>
      </c>
      <c r="U209" s="52"/>
    </row>
    <row r="210" spans="1:21" ht="17.25" customHeight="1" x14ac:dyDescent="0.3">
      <c r="A210" s="45">
        <v>209</v>
      </c>
      <c r="B210" s="53" t="s">
        <v>1379</v>
      </c>
      <c r="C210" s="47" t="s">
        <v>1379</v>
      </c>
      <c r="D210" s="47" t="s">
        <v>1379</v>
      </c>
      <c r="E210" s="47" t="s">
        <v>1379</v>
      </c>
      <c r="F210" s="47" t="s">
        <v>1379</v>
      </c>
      <c r="G210" s="45" t="s">
        <v>1379</v>
      </c>
      <c r="H210" s="48" t="s">
        <v>1379</v>
      </c>
      <c r="I210" s="49" t="s">
        <v>1379</v>
      </c>
      <c r="J210" s="47" t="s">
        <v>1379</v>
      </c>
      <c r="K210" s="47" t="s">
        <v>1379</v>
      </c>
      <c r="L210" s="45" t="s">
        <v>1379</v>
      </c>
      <c r="M210" s="50" t="s">
        <v>1379</v>
      </c>
      <c r="N210" s="47" t="s">
        <v>1379</v>
      </c>
      <c r="O210" s="45" t="s">
        <v>1379</v>
      </c>
      <c r="P210" s="45">
        <v>-11.33613888888889</v>
      </c>
      <c r="Q210" s="45">
        <v>-74.525944444444448</v>
      </c>
      <c r="R210" s="45" t="s">
        <v>927</v>
      </c>
      <c r="S210" s="51" t="s">
        <v>928</v>
      </c>
      <c r="U210" s="52"/>
    </row>
    <row r="211" spans="1:21" ht="17.25" customHeight="1" x14ac:dyDescent="0.3">
      <c r="A211" s="45">
        <v>210</v>
      </c>
      <c r="B211" s="53" t="s">
        <v>1379</v>
      </c>
      <c r="C211" s="47" t="s">
        <v>1379</v>
      </c>
      <c r="D211" s="47" t="s">
        <v>1379</v>
      </c>
      <c r="E211" s="47" t="s">
        <v>1379</v>
      </c>
      <c r="F211" s="47" t="s">
        <v>1379</v>
      </c>
      <c r="G211" s="45" t="s">
        <v>1379</v>
      </c>
      <c r="H211" s="48" t="s">
        <v>1379</v>
      </c>
      <c r="I211" s="49" t="s">
        <v>1379</v>
      </c>
      <c r="J211" s="47" t="s">
        <v>1379</v>
      </c>
      <c r="K211" s="47" t="s">
        <v>1379</v>
      </c>
      <c r="L211" s="45" t="s">
        <v>1379</v>
      </c>
      <c r="M211" s="50" t="s">
        <v>1379</v>
      </c>
      <c r="N211" s="47" t="s">
        <v>1379</v>
      </c>
      <c r="O211" s="45" t="s">
        <v>1379</v>
      </c>
      <c r="P211" s="45">
        <v>-3.4978166666666666</v>
      </c>
      <c r="Q211" s="45">
        <v>-73.087222222222223</v>
      </c>
      <c r="R211" s="45" t="s">
        <v>929</v>
      </c>
      <c r="S211" s="51" t="s">
        <v>930</v>
      </c>
      <c r="U211" s="52"/>
    </row>
    <row r="212" spans="1:21" ht="17.25" customHeight="1" x14ac:dyDescent="0.3">
      <c r="A212" s="45">
        <v>211</v>
      </c>
      <c r="B212" s="53" t="s">
        <v>1379</v>
      </c>
      <c r="C212" s="47" t="s">
        <v>1379</v>
      </c>
      <c r="D212" s="47" t="s">
        <v>1379</v>
      </c>
      <c r="E212" s="47" t="s">
        <v>1379</v>
      </c>
      <c r="F212" s="47" t="s">
        <v>1379</v>
      </c>
      <c r="G212" s="45" t="s">
        <v>1379</v>
      </c>
      <c r="H212" s="48" t="s">
        <v>1379</v>
      </c>
      <c r="I212" s="49" t="s">
        <v>1379</v>
      </c>
      <c r="J212" s="47" t="s">
        <v>1379</v>
      </c>
      <c r="K212" s="47" t="s">
        <v>1379</v>
      </c>
      <c r="L212" s="45" t="s">
        <v>1379</v>
      </c>
      <c r="M212" s="50" t="s">
        <v>1379</v>
      </c>
      <c r="N212" s="47" t="s">
        <v>1379</v>
      </c>
      <c r="O212" s="45" t="s">
        <v>1379</v>
      </c>
      <c r="P212" s="45">
        <v>-9.3007500000000007</v>
      </c>
      <c r="Q212" s="45">
        <v>-75.992750000000001</v>
      </c>
      <c r="R212" s="45" t="s">
        <v>931</v>
      </c>
      <c r="S212" s="51" t="s">
        <v>932</v>
      </c>
      <c r="U212" s="52"/>
    </row>
    <row r="213" spans="1:21" ht="17.25" customHeight="1" x14ac:dyDescent="0.3">
      <c r="A213" s="45">
        <v>212</v>
      </c>
      <c r="B213" s="53" t="s">
        <v>1379</v>
      </c>
      <c r="C213" s="47" t="s">
        <v>1379</v>
      </c>
      <c r="D213" s="47" t="s">
        <v>1379</v>
      </c>
      <c r="E213" s="47" t="s">
        <v>1379</v>
      </c>
      <c r="F213" s="47" t="s">
        <v>1379</v>
      </c>
      <c r="G213" s="45" t="s">
        <v>1379</v>
      </c>
      <c r="H213" s="48" t="s">
        <v>1379</v>
      </c>
      <c r="I213" s="49" t="s">
        <v>1379</v>
      </c>
      <c r="J213" s="47" t="s">
        <v>1379</v>
      </c>
      <c r="K213" s="47" t="s">
        <v>1379</v>
      </c>
      <c r="L213" s="45" t="s">
        <v>1379</v>
      </c>
      <c r="M213" s="50" t="s">
        <v>1379</v>
      </c>
      <c r="N213" s="47" t="s">
        <v>1379</v>
      </c>
      <c r="O213" s="45" t="s">
        <v>1379</v>
      </c>
      <c r="P213" s="45">
        <v>-4.502416666666667</v>
      </c>
      <c r="Q213" s="45">
        <v>-73.570138888888891</v>
      </c>
      <c r="R213" s="45" t="s">
        <v>933</v>
      </c>
      <c r="S213" s="51" t="s">
        <v>934</v>
      </c>
      <c r="U213" s="52"/>
    </row>
    <row r="214" spans="1:21" ht="17.25" customHeight="1" x14ac:dyDescent="0.3">
      <c r="A214" s="45">
        <v>213</v>
      </c>
      <c r="B214" s="53" t="s">
        <v>1379</v>
      </c>
      <c r="C214" s="47" t="s">
        <v>1379</v>
      </c>
      <c r="D214" s="47" t="s">
        <v>1379</v>
      </c>
      <c r="E214" s="47" t="s">
        <v>1379</v>
      </c>
      <c r="F214" s="47" t="s">
        <v>1379</v>
      </c>
      <c r="G214" s="45" t="s">
        <v>1379</v>
      </c>
      <c r="H214" s="48" t="s">
        <v>1379</v>
      </c>
      <c r="I214" s="49" t="s">
        <v>1379</v>
      </c>
      <c r="J214" s="47" t="s">
        <v>1379</v>
      </c>
      <c r="K214" s="47" t="s">
        <v>1379</v>
      </c>
      <c r="L214" s="45" t="s">
        <v>1379</v>
      </c>
      <c r="M214" s="50" t="s">
        <v>1379</v>
      </c>
      <c r="N214" s="47" t="s">
        <v>1379</v>
      </c>
      <c r="O214" s="45" t="s">
        <v>1379</v>
      </c>
      <c r="P214" s="45">
        <v>-8.3212666666666664</v>
      </c>
      <c r="Q214" s="45">
        <v>-74.853908333333322</v>
      </c>
      <c r="R214" s="45" t="s">
        <v>935</v>
      </c>
      <c r="S214" s="51" t="s">
        <v>936</v>
      </c>
      <c r="U214" s="52"/>
    </row>
    <row r="215" spans="1:21" ht="17.25" customHeight="1" x14ac:dyDescent="0.3">
      <c r="A215" s="45">
        <v>214</v>
      </c>
      <c r="B215" s="53" t="s">
        <v>1379</v>
      </c>
      <c r="C215" s="47" t="s">
        <v>1379</v>
      </c>
      <c r="D215" s="47" t="s">
        <v>1379</v>
      </c>
      <c r="E215" s="47" t="s">
        <v>1379</v>
      </c>
      <c r="F215" s="47" t="s">
        <v>1379</v>
      </c>
      <c r="G215" s="45" t="s">
        <v>1379</v>
      </c>
      <c r="H215" s="48" t="s">
        <v>1379</v>
      </c>
      <c r="I215" s="49" t="s">
        <v>1379</v>
      </c>
      <c r="J215" s="47" t="s">
        <v>1379</v>
      </c>
      <c r="K215" s="47" t="s">
        <v>1379</v>
      </c>
      <c r="L215" s="45" t="s">
        <v>1379</v>
      </c>
      <c r="M215" s="50" t="s">
        <v>1379</v>
      </c>
      <c r="N215" s="47" t="s">
        <v>1379</v>
      </c>
      <c r="O215" s="45" t="s">
        <v>1379</v>
      </c>
      <c r="P215" s="45">
        <v>-10.580388888888889</v>
      </c>
      <c r="Q215" s="45">
        <v>-75.406583333333344</v>
      </c>
      <c r="R215" s="45" t="s">
        <v>937</v>
      </c>
      <c r="S215" s="51" t="s">
        <v>938</v>
      </c>
      <c r="U215" s="52"/>
    </row>
    <row r="216" spans="1:21" ht="17.25" customHeight="1" x14ac:dyDescent="0.3">
      <c r="A216" s="45">
        <v>215</v>
      </c>
      <c r="B216" s="53" t="s">
        <v>1379</v>
      </c>
      <c r="C216" s="47" t="s">
        <v>1379</v>
      </c>
      <c r="D216" s="47" t="s">
        <v>1379</v>
      </c>
      <c r="E216" s="47" t="s">
        <v>1379</v>
      </c>
      <c r="F216" s="47" t="s">
        <v>1379</v>
      </c>
      <c r="G216" s="45" t="s">
        <v>1379</v>
      </c>
      <c r="H216" s="48" t="s">
        <v>1379</v>
      </c>
      <c r="I216" s="49" t="s">
        <v>1379</v>
      </c>
      <c r="J216" s="47" t="s">
        <v>1379</v>
      </c>
      <c r="K216" s="47" t="s">
        <v>1379</v>
      </c>
      <c r="L216" s="45" t="s">
        <v>1379</v>
      </c>
      <c r="M216" s="50" t="s">
        <v>1379</v>
      </c>
      <c r="N216" s="47" t="s">
        <v>1379</v>
      </c>
      <c r="O216" s="45" t="s">
        <v>1379</v>
      </c>
      <c r="P216" s="45">
        <v>-10.665944444444445</v>
      </c>
      <c r="Q216" s="45">
        <v>-76.768972222222217</v>
      </c>
      <c r="R216" s="45" t="s">
        <v>939</v>
      </c>
      <c r="S216" s="51" t="s">
        <v>940</v>
      </c>
      <c r="U216" s="52"/>
    </row>
    <row r="217" spans="1:21" ht="17.25" customHeight="1" x14ac:dyDescent="0.3">
      <c r="A217" s="45">
        <v>216</v>
      </c>
      <c r="B217" s="53" t="s">
        <v>1379</v>
      </c>
      <c r="C217" s="47" t="s">
        <v>1379</v>
      </c>
      <c r="D217" s="47" t="s">
        <v>1379</v>
      </c>
      <c r="E217" s="47" t="s">
        <v>1379</v>
      </c>
      <c r="F217" s="47" t="s">
        <v>1379</v>
      </c>
      <c r="G217" s="45" t="s">
        <v>1379</v>
      </c>
      <c r="H217" s="48" t="s">
        <v>1379</v>
      </c>
      <c r="I217" s="49" t="s">
        <v>1379</v>
      </c>
      <c r="J217" s="47" t="s">
        <v>1379</v>
      </c>
      <c r="K217" s="47" t="s">
        <v>1379</v>
      </c>
      <c r="L217" s="45" t="s">
        <v>1379</v>
      </c>
      <c r="M217" s="50" t="s">
        <v>1379</v>
      </c>
      <c r="N217" s="47" t="s">
        <v>1379</v>
      </c>
      <c r="O217" s="45" t="s">
        <v>1379</v>
      </c>
      <c r="P217" s="45">
        <v>-11.342972222222222</v>
      </c>
      <c r="Q217" s="45">
        <v>-75.566277777777771</v>
      </c>
      <c r="R217" s="45" t="s">
        <v>941</v>
      </c>
      <c r="S217" s="51" t="s">
        <v>942</v>
      </c>
      <c r="U217" s="52"/>
    </row>
    <row r="218" spans="1:21" ht="17.25" customHeight="1" x14ac:dyDescent="0.3">
      <c r="A218" s="45">
        <v>217</v>
      </c>
      <c r="B218" s="53" t="s">
        <v>1379</v>
      </c>
      <c r="C218" s="47" t="s">
        <v>1379</v>
      </c>
      <c r="D218" s="47" t="s">
        <v>1379</v>
      </c>
      <c r="E218" s="47" t="s">
        <v>1379</v>
      </c>
      <c r="F218" s="47" t="s">
        <v>1379</v>
      </c>
      <c r="G218" s="45" t="s">
        <v>1379</v>
      </c>
      <c r="H218" s="48" t="s">
        <v>1379</v>
      </c>
      <c r="I218" s="49" t="s">
        <v>1379</v>
      </c>
      <c r="J218" s="47" t="s">
        <v>1379</v>
      </c>
      <c r="K218" s="47" t="s">
        <v>1379</v>
      </c>
      <c r="L218" s="45" t="s">
        <v>1379</v>
      </c>
      <c r="M218" s="50" t="s">
        <v>1379</v>
      </c>
      <c r="N218" s="47" t="s">
        <v>1379</v>
      </c>
      <c r="O218" s="45" t="s">
        <v>1379</v>
      </c>
      <c r="P218" s="45">
        <v>-10.180833333333332</v>
      </c>
      <c r="Q218" s="45">
        <v>-75.148972222222227</v>
      </c>
      <c r="R218" s="45" t="s">
        <v>943</v>
      </c>
      <c r="S218" s="51" t="s">
        <v>944</v>
      </c>
      <c r="U218" s="52"/>
    </row>
    <row r="219" spans="1:21" ht="17.25" customHeight="1" x14ac:dyDescent="0.3">
      <c r="A219" s="45">
        <v>218</v>
      </c>
      <c r="B219" s="53" t="s">
        <v>1379</v>
      </c>
      <c r="C219" s="47" t="s">
        <v>1379</v>
      </c>
      <c r="D219" s="47" t="s">
        <v>1379</v>
      </c>
      <c r="E219" s="47" t="s">
        <v>1379</v>
      </c>
      <c r="F219" s="47" t="s">
        <v>1379</v>
      </c>
      <c r="G219" s="45" t="s">
        <v>1379</v>
      </c>
      <c r="H219" s="48" t="s">
        <v>1379</v>
      </c>
      <c r="I219" s="49" t="s">
        <v>1379</v>
      </c>
      <c r="J219" s="47" t="s">
        <v>1379</v>
      </c>
      <c r="K219" s="47" t="s">
        <v>1379</v>
      </c>
      <c r="L219" s="45" t="s">
        <v>1379</v>
      </c>
      <c r="M219" s="50" t="s">
        <v>1379</v>
      </c>
      <c r="N219" s="47" t="s">
        <v>1379</v>
      </c>
      <c r="O219" s="45" t="s">
        <v>1379</v>
      </c>
      <c r="P219" s="45">
        <v>-13.509313888888888</v>
      </c>
      <c r="Q219" s="45">
        <v>-74.193413888888898</v>
      </c>
      <c r="R219" s="45" t="s">
        <v>804</v>
      </c>
      <c r="S219" s="51" t="s">
        <v>945</v>
      </c>
      <c r="U219" s="52"/>
    </row>
    <row r="220" spans="1:21" ht="17.25" customHeight="1" x14ac:dyDescent="0.3">
      <c r="A220" s="45">
        <v>219</v>
      </c>
      <c r="B220" s="53" t="s">
        <v>1379</v>
      </c>
      <c r="C220" s="47" t="s">
        <v>1379</v>
      </c>
      <c r="D220" s="47" t="s">
        <v>1379</v>
      </c>
      <c r="E220" s="47" t="s">
        <v>1379</v>
      </c>
      <c r="F220" s="47" t="s">
        <v>1379</v>
      </c>
      <c r="G220" s="45" t="s">
        <v>1379</v>
      </c>
      <c r="H220" s="48" t="s">
        <v>1379</v>
      </c>
      <c r="I220" s="49" t="s">
        <v>1379</v>
      </c>
      <c r="J220" s="47" t="s">
        <v>1379</v>
      </c>
      <c r="K220" s="47" t="s">
        <v>1379</v>
      </c>
      <c r="L220" s="45" t="s">
        <v>1379</v>
      </c>
      <c r="M220" s="50" t="s">
        <v>1379</v>
      </c>
      <c r="N220" s="47" t="s">
        <v>1379</v>
      </c>
      <c r="O220" s="45" t="s">
        <v>1379</v>
      </c>
      <c r="P220" s="45">
        <v>-12.324083333333332</v>
      </c>
      <c r="Q220" s="45">
        <v>-74.81753333333333</v>
      </c>
      <c r="R220" s="45" t="s">
        <v>946</v>
      </c>
      <c r="S220" s="51" t="s">
        <v>947</v>
      </c>
      <c r="U220" s="52"/>
    </row>
    <row r="221" spans="1:21" ht="17.25" customHeight="1" x14ac:dyDescent="0.3">
      <c r="A221" s="45">
        <v>220</v>
      </c>
      <c r="B221" s="53" t="s">
        <v>1379</v>
      </c>
      <c r="C221" s="47" t="s">
        <v>1379</v>
      </c>
      <c r="D221" s="47" t="s">
        <v>1379</v>
      </c>
      <c r="E221" s="47" t="s">
        <v>1379</v>
      </c>
      <c r="F221" s="47" t="s">
        <v>1379</v>
      </c>
      <c r="G221" s="45" t="s">
        <v>1379</v>
      </c>
      <c r="H221" s="48" t="s">
        <v>1379</v>
      </c>
      <c r="I221" s="49" t="s">
        <v>1379</v>
      </c>
      <c r="J221" s="47" t="s">
        <v>1379</v>
      </c>
      <c r="K221" s="47" t="s">
        <v>1379</v>
      </c>
      <c r="L221" s="45" t="s">
        <v>1379</v>
      </c>
      <c r="M221" s="50" t="s">
        <v>1379</v>
      </c>
      <c r="N221" s="47" t="s">
        <v>1379</v>
      </c>
      <c r="O221" s="45" t="s">
        <v>1379</v>
      </c>
      <c r="P221" s="45">
        <v>-12.395027777777777</v>
      </c>
      <c r="Q221" s="45">
        <v>-74.86122222222221</v>
      </c>
      <c r="R221" s="45" t="s">
        <v>948</v>
      </c>
      <c r="S221" s="51" t="s">
        <v>949</v>
      </c>
      <c r="U221" s="52"/>
    </row>
    <row r="222" spans="1:21" ht="17.25" customHeight="1" x14ac:dyDescent="0.3">
      <c r="A222" s="45">
        <v>221</v>
      </c>
      <c r="B222" s="53" t="s">
        <v>1379</v>
      </c>
      <c r="C222" s="47" t="s">
        <v>1379</v>
      </c>
      <c r="D222" s="47" t="s">
        <v>1379</v>
      </c>
      <c r="E222" s="47" t="s">
        <v>1379</v>
      </c>
      <c r="F222" s="47" t="s">
        <v>1379</v>
      </c>
      <c r="G222" s="45" t="s">
        <v>1379</v>
      </c>
      <c r="H222" s="48" t="s">
        <v>1379</v>
      </c>
      <c r="I222" s="49" t="s">
        <v>1379</v>
      </c>
      <c r="J222" s="47" t="s">
        <v>1379</v>
      </c>
      <c r="K222" s="47" t="s">
        <v>1379</v>
      </c>
      <c r="L222" s="45" t="s">
        <v>1379</v>
      </c>
      <c r="M222" s="50" t="s">
        <v>1379</v>
      </c>
      <c r="N222" s="47" t="s">
        <v>1379</v>
      </c>
      <c r="O222" s="45" t="s">
        <v>1379</v>
      </c>
      <c r="P222" s="45">
        <v>-12.395027777777777</v>
      </c>
      <c r="Q222" s="45">
        <v>-74.86122222222221</v>
      </c>
      <c r="R222" s="45" t="s">
        <v>948</v>
      </c>
      <c r="S222" s="51" t="s">
        <v>950</v>
      </c>
      <c r="U222" s="52"/>
    </row>
    <row r="223" spans="1:21" ht="17.25" customHeight="1" x14ac:dyDescent="0.3">
      <c r="A223" s="45">
        <v>222</v>
      </c>
      <c r="B223" s="53" t="s">
        <v>1379</v>
      </c>
      <c r="C223" s="47" t="s">
        <v>1379</v>
      </c>
      <c r="D223" s="47" t="s">
        <v>1379</v>
      </c>
      <c r="E223" s="47" t="s">
        <v>1379</v>
      </c>
      <c r="F223" s="47" t="s">
        <v>1379</v>
      </c>
      <c r="G223" s="45" t="s">
        <v>1379</v>
      </c>
      <c r="H223" s="48" t="s">
        <v>1379</v>
      </c>
      <c r="I223" s="49" t="s">
        <v>1379</v>
      </c>
      <c r="J223" s="47" t="s">
        <v>1379</v>
      </c>
      <c r="K223" s="47" t="s">
        <v>1379</v>
      </c>
      <c r="L223" s="45" t="s">
        <v>1379</v>
      </c>
      <c r="M223" s="50" t="s">
        <v>1379</v>
      </c>
      <c r="N223" s="47" t="s">
        <v>1379</v>
      </c>
      <c r="O223" s="45" t="s">
        <v>1379</v>
      </c>
      <c r="P223" s="45">
        <v>-11.423</v>
      </c>
      <c r="Q223" s="45">
        <v>-74.504249999999999</v>
      </c>
      <c r="R223" s="45" t="s">
        <v>951</v>
      </c>
      <c r="S223" s="51" t="s">
        <v>952</v>
      </c>
      <c r="U223" s="52"/>
    </row>
    <row r="224" spans="1:21" ht="17.25" customHeight="1" x14ac:dyDescent="0.3">
      <c r="A224" s="45">
        <v>223</v>
      </c>
      <c r="B224" s="53" t="s">
        <v>1379</v>
      </c>
      <c r="C224" s="47" t="s">
        <v>1379</v>
      </c>
      <c r="D224" s="47" t="s">
        <v>1379</v>
      </c>
      <c r="E224" s="47" t="s">
        <v>1379</v>
      </c>
      <c r="F224" s="47" t="s">
        <v>1379</v>
      </c>
      <c r="G224" s="45" t="s">
        <v>1379</v>
      </c>
      <c r="H224" s="48" t="s">
        <v>1379</v>
      </c>
      <c r="I224" s="49" t="s">
        <v>1379</v>
      </c>
      <c r="J224" s="47" t="s">
        <v>1379</v>
      </c>
      <c r="K224" s="47" t="s">
        <v>1379</v>
      </c>
      <c r="L224" s="45" t="s">
        <v>1379</v>
      </c>
      <c r="M224" s="50" t="s">
        <v>1379</v>
      </c>
      <c r="N224" s="47" t="s">
        <v>1379</v>
      </c>
      <c r="O224" s="45" t="s">
        <v>1379</v>
      </c>
      <c r="P224" s="45">
        <v>-11.423</v>
      </c>
      <c r="Q224" s="45">
        <v>-74.504249999999999</v>
      </c>
      <c r="R224" s="45" t="s">
        <v>951</v>
      </c>
      <c r="S224" s="51" t="s">
        <v>953</v>
      </c>
      <c r="U224" s="52"/>
    </row>
    <row r="225" spans="1:21" ht="17.25" customHeight="1" x14ac:dyDescent="0.3">
      <c r="A225" s="45">
        <v>224</v>
      </c>
      <c r="B225" s="53" t="s">
        <v>1379</v>
      </c>
      <c r="C225" s="47" t="s">
        <v>1379</v>
      </c>
      <c r="D225" s="47" t="s">
        <v>1379</v>
      </c>
      <c r="E225" s="47" t="s">
        <v>1379</v>
      </c>
      <c r="F225" s="47" t="s">
        <v>1379</v>
      </c>
      <c r="G225" s="45" t="s">
        <v>1379</v>
      </c>
      <c r="H225" s="48" t="s">
        <v>1379</v>
      </c>
      <c r="I225" s="49" t="s">
        <v>1379</v>
      </c>
      <c r="J225" s="47" t="s">
        <v>1379</v>
      </c>
      <c r="K225" s="47" t="s">
        <v>1379</v>
      </c>
      <c r="L225" s="45" t="s">
        <v>1379</v>
      </c>
      <c r="M225" s="50" t="s">
        <v>1379</v>
      </c>
      <c r="N225" s="47" t="s">
        <v>1379</v>
      </c>
      <c r="O225" s="45" t="s">
        <v>1379</v>
      </c>
      <c r="P225" s="45">
        <v>-10.694097222222222</v>
      </c>
      <c r="Q225" s="45">
        <v>-76.261761111111113</v>
      </c>
      <c r="R225" s="45" t="s">
        <v>954</v>
      </c>
      <c r="S225" s="51" t="s">
        <v>955</v>
      </c>
      <c r="U225" s="52"/>
    </row>
    <row r="226" spans="1:21" ht="17.25" customHeight="1" x14ac:dyDescent="0.3">
      <c r="A226" s="45">
        <v>225</v>
      </c>
      <c r="B226" s="53" t="s">
        <v>1379</v>
      </c>
      <c r="C226" s="47" t="s">
        <v>1379</v>
      </c>
      <c r="D226" s="47" t="s">
        <v>1379</v>
      </c>
      <c r="E226" s="47" t="s">
        <v>1379</v>
      </c>
      <c r="F226" s="47" t="s">
        <v>1379</v>
      </c>
      <c r="G226" s="45" t="s">
        <v>1379</v>
      </c>
      <c r="H226" s="48" t="s">
        <v>1379</v>
      </c>
      <c r="I226" s="49" t="s">
        <v>1379</v>
      </c>
      <c r="J226" s="47" t="s">
        <v>1379</v>
      </c>
      <c r="K226" s="47" t="s">
        <v>1379</v>
      </c>
      <c r="L226" s="45" t="s">
        <v>1379</v>
      </c>
      <c r="M226" s="50" t="s">
        <v>1379</v>
      </c>
      <c r="N226" s="47" t="s">
        <v>1379</v>
      </c>
      <c r="O226" s="45" t="s">
        <v>1379</v>
      </c>
      <c r="P226" s="45">
        <v>-10.772</v>
      </c>
      <c r="Q226" s="45">
        <v>-75.815333333333328</v>
      </c>
      <c r="R226" s="45" t="s">
        <v>956</v>
      </c>
      <c r="S226" s="51" t="s">
        <v>957</v>
      </c>
      <c r="U226" s="52"/>
    </row>
    <row r="227" spans="1:21" ht="17.25" customHeight="1" x14ac:dyDescent="0.3">
      <c r="A227" s="45">
        <v>226</v>
      </c>
      <c r="B227" s="53" t="s">
        <v>1379</v>
      </c>
      <c r="C227" s="47" t="s">
        <v>1379</v>
      </c>
      <c r="D227" s="47" t="s">
        <v>1379</v>
      </c>
      <c r="E227" s="47" t="s">
        <v>1379</v>
      </c>
      <c r="F227" s="47" t="s">
        <v>1379</v>
      </c>
      <c r="G227" s="45" t="s">
        <v>1379</v>
      </c>
      <c r="H227" s="48" t="s">
        <v>1379</v>
      </c>
      <c r="I227" s="49" t="s">
        <v>1379</v>
      </c>
      <c r="J227" s="47" t="s">
        <v>1379</v>
      </c>
      <c r="K227" s="47" t="s">
        <v>1379</v>
      </c>
      <c r="L227" s="45" t="s">
        <v>1379</v>
      </c>
      <c r="M227" s="50" t="s">
        <v>1379</v>
      </c>
      <c r="N227" s="47" t="s">
        <v>1379</v>
      </c>
      <c r="O227" s="45" t="s">
        <v>1379</v>
      </c>
      <c r="P227" s="45">
        <v>-10.772</v>
      </c>
      <c r="Q227" s="45">
        <v>-75.815333333333328</v>
      </c>
      <c r="R227" s="45" t="s">
        <v>956</v>
      </c>
      <c r="S227" s="51" t="s">
        <v>958</v>
      </c>
      <c r="U227" s="52"/>
    </row>
    <row r="228" spans="1:21" ht="17.25" customHeight="1" x14ac:dyDescent="0.3">
      <c r="A228" s="45">
        <v>227</v>
      </c>
      <c r="B228" s="53" t="s">
        <v>1379</v>
      </c>
      <c r="C228" s="47" t="s">
        <v>1379</v>
      </c>
      <c r="D228" s="47" t="s">
        <v>1379</v>
      </c>
      <c r="E228" s="47" t="s">
        <v>1379</v>
      </c>
      <c r="F228" s="47" t="s">
        <v>1379</v>
      </c>
      <c r="G228" s="45" t="s">
        <v>1379</v>
      </c>
      <c r="H228" s="48" t="s">
        <v>1379</v>
      </c>
      <c r="I228" s="49" t="s">
        <v>1379</v>
      </c>
      <c r="J228" s="47" t="s">
        <v>1379</v>
      </c>
      <c r="K228" s="47" t="s">
        <v>1379</v>
      </c>
      <c r="L228" s="45" t="s">
        <v>1379</v>
      </c>
      <c r="M228" s="50" t="s">
        <v>1379</v>
      </c>
      <c r="N228" s="47" t="s">
        <v>1379</v>
      </c>
      <c r="O228" s="45" t="s">
        <v>1379</v>
      </c>
      <c r="P228" s="45">
        <v>-15.282888888888889</v>
      </c>
      <c r="Q228" s="45">
        <v>-73.344999999999999</v>
      </c>
      <c r="R228" s="45" t="s">
        <v>959</v>
      </c>
      <c r="S228" s="51" t="s">
        <v>960</v>
      </c>
      <c r="U228" s="52"/>
    </row>
    <row r="229" spans="1:21" ht="17.25" customHeight="1" x14ac:dyDescent="0.3">
      <c r="A229" s="45">
        <v>228</v>
      </c>
      <c r="B229" s="53" t="s">
        <v>1379</v>
      </c>
      <c r="C229" s="47" t="s">
        <v>1379</v>
      </c>
      <c r="D229" s="47" t="s">
        <v>1379</v>
      </c>
      <c r="E229" s="47" t="s">
        <v>1379</v>
      </c>
      <c r="F229" s="47" t="s">
        <v>1379</v>
      </c>
      <c r="G229" s="45" t="s">
        <v>1379</v>
      </c>
      <c r="H229" s="48" t="s">
        <v>1379</v>
      </c>
      <c r="I229" s="49" t="s">
        <v>1379</v>
      </c>
      <c r="J229" s="47" t="s">
        <v>1379</v>
      </c>
      <c r="K229" s="47" t="s">
        <v>1379</v>
      </c>
      <c r="L229" s="45" t="s">
        <v>1379</v>
      </c>
      <c r="M229" s="50" t="s">
        <v>1379</v>
      </c>
      <c r="N229" s="47" t="s">
        <v>1379</v>
      </c>
      <c r="O229" s="45" t="s">
        <v>1379</v>
      </c>
      <c r="P229" s="45">
        <v>-12.259822222222223</v>
      </c>
      <c r="Q229" s="45">
        <v>-75.072877777777776</v>
      </c>
      <c r="R229" s="45" t="s">
        <v>961</v>
      </c>
      <c r="S229" s="51" t="s">
        <v>962</v>
      </c>
      <c r="U229" s="52"/>
    </row>
    <row r="230" spans="1:21" ht="17.25" customHeight="1" x14ac:dyDescent="0.3">
      <c r="A230" s="45">
        <v>229</v>
      </c>
      <c r="B230" s="53" t="s">
        <v>1379</v>
      </c>
      <c r="C230" s="47" t="s">
        <v>1379</v>
      </c>
      <c r="D230" s="47" t="s">
        <v>1379</v>
      </c>
      <c r="E230" s="47" t="s">
        <v>1379</v>
      </c>
      <c r="F230" s="47" t="s">
        <v>1379</v>
      </c>
      <c r="G230" s="45" t="s">
        <v>1379</v>
      </c>
      <c r="H230" s="48" t="s">
        <v>1379</v>
      </c>
      <c r="I230" s="49" t="s">
        <v>1379</v>
      </c>
      <c r="J230" s="47" t="s">
        <v>1379</v>
      </c>
      <c r="K230" s="47" t="s">
        <v>1379</v>
      </c>
      <c r="L230" s="45" t="s">
        <v>1379</v>
      </c>
      <c r="M230" s="50" t="s">
        <v>1379</v>
      </c>
      <c r="N230" s="47" t="s">
        <v>1379</v>
      </c>
      <c r="O230" s="45" t="s">
        <v>1379</v>
      </c>
      <c r="P230" s="45">
        <v>-3.3190277777777775</v>
      </c>
      <c r="Q230" s="45">
        <v>-71.857194444444445</v>
      </c>
      <c r="R230" s="45" t="s">
        <v>963</v>
      </c>
      <c r="S230" s="51" t="s">
        <v>964</v>
      </c>
      <c r="U230" s="52"/>
    </row>
    <row r="231" spans="1:21" ht="17.25" customHeight="1" x14ac:dyDescent="0.3">
      <c r="A231" s="45">
        <v>230</v>
      </c>
      <c r="B231" s="53" t="s">
        <v>1379</v>
      </c>
      <c r="C231" s="47" t="s">
        <v>1379</v>
      </c>
      <c r="D231" s="47" t="s">
        <v>1379</v>
      </c>
      <c r="E231" s="47" t="s">
        <v>1379</v>
      </c>
      <c r="F231" s="47" t="s">
        <v>1379</v>
      </c>
      <c r="G231" s="45" t="s">
        <v>1379</v>
      </c>
      <c r="H231" s="48" t="s">
        <v>1379</v>
      </c>
      <c r="I231" s="49" t="s">
        <v>1379</v>
      </c>
      <c r="J231" s="47" t="s">
        <v>1379</v>
      </c>
      <c r="K231" s="47" t="s">
        <v>1379</v>
      </c>
      <c r="L231" s="45" t="s">
        <v>1379</v>
      </c>
      <c r="M231" s="50" t="s">
        <v>1379</v>
      </c>
      <c r="N231" s="47" t="s">
        <v>1379</v>
      </c>
      <c r="O231" s="45" t="s">
        <v>1379</v>
      </c>
      <c r="P231" s="45">
        <v>-10.942777777777778</v>
      </c>
      <c r="Q231" s="45">
        <v>-75.231111111111119</v>
      </c>
      <c r="R231" s="45" t="s">
        <v>965</v>
      </c>
      <c r="S231" s="51" t="s">
        <v>966</v>
      </c>
      <c r="U231" s="52"/>
    </row>
    <row r="232" spans="1:21" ht="17.25" customHeight="1" x14ac:dyDescent="0.3">
      <c r="A232" s="45">
        <v>231</v>
      </c>
      <c r="B232" s="53" t="s">
        <v>1379</v>
      </c>
      <c r="C232" s="47" t="s">
        <v>1379</v>
      </c>
      <c r="D232" s="47" t="s">
        <v>1379</v>
      </c>
      <c r="E232" s="47" t="s">
        <v>1379</v>
      </c>
      <c r="F232" s="47" t="s">
        <v>1379</v>
      </c>
      <c r="G232" s="45" t="s">
        <v>1379</v>
      </c>
      <c r="H232" s="48" t="s">
        <v>1379</v>
      </c>
      <c r="I232" s="49" t="s">
        <v>1379</v>
      </c>
      <c r="J232" s="47" t="s">
        <v>1379</v>
      </c>
      <c r="K232" s="47" t="s">
        <v>1379</v>
      </c>
      <c r="L232" s="45" t="s">
        <v>1379</v>
      </c>
      <c r="M232" s="50" t="s">
        <v>1379</v>
      </c>
      <c r="N232" s="47" t="s">
        <v>1379</v>
      </c>
      <c r="O232" s="45" t="s">
        <v>1379</v>
      </c>
      <c r="P232" s="45">
        <v>-10.942777777777778</v>
      </c>
      <c r="Q232" s="45">
        <v>-75.231111111111119</v>
      </c>
      <c r="R232" s="45" t="s">
        <v>965</v>
      </c>
      <c r="S232" s="51" t="s">
        <v>967</v>
      </c>
      <c r="U232" s="52"/>
    </row>
    <row r="233" spans="1:21" ht="17.25" customHeight="1" x14ac:dyDescent="0.3">
      <c r="A233" s="45">
        <v>232</v>
      </c>
      <c r="B233" s="53" t="s">
        <v>1379</v>
      </c>
      <c r="C233" s="47" t="s">
        <v>1379</v>
      </c>
      <c r="D233" s="47" t="s">
        <v>1379</v>
      </c>
      <c r="E233" s="47" t="s">
        <v>1379</v>
      </c>
      <c r="F233" s="47" t="s">
        <v>1379</v>
      </c>
      <c r="G233" s="45" t="s">
        <v>1379</v>
      </c>
      <c r="H233" s="48" t="s">
        <v>1379</v>
      </c>
      <c r="I233" s="49" t="s">
        <v>1379</v>
      </c>
      <c r="J233" s="47" t="s">
        <v>1379</v>
      </c>
      <c r="K233" s="47" t="s">
        <v>1379</v>
      </c>
      <c r="L233" s="45" t="s">
        <v>1379</v>
      </c>
      <c r="M233" s="50" t="s">
        <v>1379</v>
      </c>
      <c r="N233" s="47" t="s">
        <v>1379</v>
      </c>
      <c r="O233" s="45" t="s">
        <v>1379</v>
      </c>
      <c r="P233" s="45">
        <v>-10.934916666666666</v>
      </c>
      <c r="Q233" s="45">
        <v>-74.878583333333324</v>
      </c>
      <c r="R233" s="45" t="s">
        <v>968</v>
      </c>
      <c r="S233" s="51" t="s">
        <v>969</v>
      </c>
      <c r="U233" s="52"/>
    </row>
    <row r="234" spans="1:21" ht="17.25" customHeight="1" x14ac:dyDescent="0.3">
      <c r="A234" s="45">
        <v>233</v>
      </c>
      <c r="B234" s="53" t="s">
        <v>1379</v>
      </c>
      <c r="C234" s="47" t="s">
        <v>1379</v>
      </c>
      <c r="D234" s="47" t="s">
        <v>1379</v>
      </c>
      <c r="E234" s="47" t="s">
        <v>1379</v>
      </c>
      <c r="F234" s="47" t="s">
        <v>1379</v>
      </c>
      <c r="G234" s="45" t="s">
        <v>1379</v>
      </c>
      <c r="H234" s="48" t="s">
        <v>1379</v>
      </c>
      <c r="I234" s="49" t="s">
        <v>1379</v>
      </c>
      <c r="J234" s="47" t="s">
        <v>1379</v>
      </c>
      <c r="K234" s="47" t="s">
        <v>1379</v>
      </c>
      <c r="L234" s="45" t="s">
        <v>1379</v>
      </c>
      <c r="M234" s="50" t="s">
        <v>1379</v>
      </c>
      <c r="N234" s="47" t="s">
        <v>1379</v>
      </c>
      <c r="O234" s="45" t="s">
        <v>1379</v>
      </c>
      <c r="P234" s="45">
        <v>-10.071811111111112</v>
      </c>
      <c r="Q234" s="45">
        <v>-75.549711111111108</v>
      </c>
      <c r="R234" s="45" t="s">
        <v>970</v>
      </c>
      <c r="S234" s="51" t="s">
        <v>971</v>
      </c>
      <c r="U234" s="52"/>
    </row>
    <row r="235" spans="1:21" ht="17.25" customHeight="1" x14ac:dyDescent="0.3">
      <c r="A235" s="45">
        <v>234</v>
      </c>
      <c r="B235" s="53" t="s">
        <v>1379</v>
      </c>
      <c r="C235" s="47" t="s">
        <v>1379</v>
      </c>
      <c r="D235" s="47" t="s">
        <v>1379</v>
      </c>
      <c r="E235" s="47" t="s">
        <v>1379</v>
      </c>
      <c r="F235" s="47" t="s">
        <v>1379</v>
      </c>
      <c r="G235" s="45" t="s">
        <v>1379</v>
      </c>
      <c r="H235" s="48" t="s">
        <v>1379</v>
      </c>
      <c r="I235" s="49" t="s">
        <v>1379</v>
      </c>
      <c r="J235" s="47" t="s">
        <v>1379</v>
      </c>
      <c r="K235" s="47" t="s">
        <v>1379</v>
      </c>
      <c r="L235" s="45" t="s">
        <v>1379</v>
      </c>
      <c r="M235" s="50" t="s">
        <v>1379</v>
      </c>
      <c r="N235" s="47" t="s">
        <v>1379</v>
      </c>
      <c r="O235" s="45" t="s">
        <v>1379</v>
      </c>
      <c r="P235" s="45">
        <v>-8.3831249999999997</v>
      </c>
      <c r="Q235" s="45">
        <v>-74.533722222222224</v>
      </c>
      <c r="R235" s="45" t="s">
        <v>972</v>
      </c>
      <c r="S235" s="51" t="s">
        <v>973</v>
      </c>
      <c r="U235" s="52"/>
    </row>
    <row r="236" spans="1:21" ht="17.25" customHeight="1" x14ac:dyDescent="0.3">
      <c r="A236" s="45">
        <v>235</v>
      </c>
      <c r="B236" s="53" t="s">
        <v>1379</v>
      </c>
      <c r="C236" s="47" t="s">
        <v>1379</v>
      </c>
      <c r="D236" s="47" t="s">
        <v>1379</v>
      </c>
      <c r="E236" s="47" t="s">
        <v>1379</v>
      </c>
      <c r="F236" s="47" t="s">
        <v>1379</v>
      </c>
      <c r="G236" s="45" t="s">
        <v>1379</v>
      </c>
      <c r="H236" s="48" t="s">
        <v>1379</v>
      </c>
      <c r="I236" s="49" t="s">
        <v>1379</v>
      </c>
      <c r="J236" s="47" t="s">
        <v>1379</v>
      </c>
      <c r="K236" s="47" t="s">
        <v>1379</v>
      </c>
      <c r="L236" s="45" t="s">
        <v>1379</v>
      </c>
      <c r="M236" s="50" t="s">
        <v>1379</v>
      </c>
      <c r="N236" s="47" t="s">
        <v>1379</v>
      </c>
      <c r="O236" s="45" t="s">
        <v>1379</v>
      </c>
      <c r="P236" s="45">
        <v>-8.3831944444444453</v>
      </c>
      <c r="Q236" s="45">
        <v>-74.533722222222224</v>
      </c>
      <c r="R236" s="45" t="s">
        <v>974</v>
      </c>
      <c r="S236" s="51" t="s">
        <v>975</v>
      </c>
      <c r="U236" s="52"/>
    </row>
    <row r="237" spans="1:21" ht="17.25" customHeight="1" x14ac:dyDescent="0.3">
      <c r="A237" s="45">
        <v>236</v>
      </c>
      <c r="B237" s="53" t="s">
        <v>1379</v>
      </c>
      <c r="C237" s="47" t="s">
        <v>1379</v>
      </c>
      <c r="D237" s="47" t="s">
        <v>1379</v>
      </c>
      <c r="E237" s="47" t="s">
        <v>1379</v>
      </c>
      <c r="F237" s="47" t="s">
        <v>1379</v>
      </c>
      <c r="G237" s="45" t="s">
        <v>1379</v>
      </c>
      <c r="H237" s="48" t="s">
        <v>1379</v>
      </c>
      <c r="I237" s="49" t="s">
        <v>1379</v>
      </c>
      <c r="J237" s="47" t="s">
        <v>1379</v>
      </c>
      <c r="K237" s="47" t="s">
        <v>1379</v>
      </c>
      <c r="L237" s="45" t="s">
        <v>1379</v>
      </c>
      <c r="M237" s="50" t="s">
        <v>1379</v>
      </c>
      <c r="N237" s="47" t="s">
        <v>1379</v>
      </c>
      <c r="O237" s="45" t="s">
        <v>1379</v>
      </c>
      <c r="P237" s="45">
        <v>-15.031694444444446</v>
      </c>
      <c r="Q237" s="45">
        <v>-74.335972222222225</v>
      </c>
      <c r="R237" s="45" t="s">
        <v>976</v>
      </c>
      <c r="S237" s="51" t="s">
        <v>977</v>
      </c>
      <c r="U237" s="52"/>
    </row>
    <row r="238" spans="1:21" ht="17.25" customHeight="1" x14ac:dyDescent="0.3">
      <c r="A238" s="45">
        <v>237</v>
      </c>
      <c r="B238" s="53" t="s">
        <v>1379</v>
      </c>
      <c r="C238" s="47" t="s">
        <v>1379</v>
      </c>
      <c r="D238" s="47" t="s">
        <v>1379</v>
      </c>
      <c r="E238" s="47" t="s">
        <v>1379</v>
      </c>
      <c r="F238" s="47" t="s">
        <v>1379</v>
      </c>
      <c r="G238" s="45" t="s">
        <v>1379</v>
      </c>
      <c r="H238" s="48" t="s">
        <v>1379</v>
      </c>
      <c r="I238" s="49" t="s">
        <v>1379</v>
      </c>
      <c r="J238" s="47" t="s">
        <v>1379</v>
      </c>
      <c r="K238" s="47" t="s">
        <v>1379</v>
      </c>
      <c r="L238" s="45" t="s">
        <v>1379</v>
      </c>
      <c r="M238" s="50" t="s">
        <v>1379</v>
      </c>
      <c r="N238" s="47" t="s">
        <v>1379</v>
      </c>
      <c r="O238" s="45" t="s">
        <v>1379</v>
      </c>
      <c r="P238" s="45">
        <v>-9.3752722222222236</v>
      </c>
      <c r="Q238" s="45">
        <v>-74.960266666666669</v>
      </c>
      <c r="R238" s="45" t="s">
        <v>978</v>
      </c>
      <c r="S238" s="51" t="s">
        <v>979</v>
      </c>
      <c r="U238" s="52"/>
    </row>
    <row r="239" spans="1:21" ht="17.25" customHeight="1" x14ac:dyDescent="0.3">
      <c r="A239" s="45">
        <v>238</v>
      </c>
      <c r="B239" s="53" t="s">
        <v>1379</v>
      </c>
      <c r="C239" s="47" t="s">
        <v>1379</v>
      </c>
      <c r="D239" s="47" t="s">
        <v>1379</v>
      </c>
      <c r="E239" s="47" t="s">
        <v>1379</v>
      </c>
      <c r="F239" s="47" t="s">
        <v>1379</v>
      </c>
      <c r="G239" s="45" t="s">
        <v>1379</v>
      </c>
      <c r="H239" s="48" t="s">
        <v>1379</v>
      </c>
      <c r="I239" s="49" t="s">
        <v>1379</v>
      </c>
      <c r="J239" s="47" t="s">
        <v>1379</v>
      </c>
      <c r="K239" s="47" t="s">
        <v>1379</v>
      </c>
      <c r="L239" s="45" t="s">
        <v>1379</v>
      </c>
      <c r="M239" s="50" t="s">
        <v>1379</v>
      </c>
      <c r="N239" s="47" t="s">
        <v>1379</v>
      </c>
      <c r="O239" s="45" t="s">
        <v>1379</v>
      </c>
      <c r="P239" s="45">
        <v>-11.109661111111111</v>
      </c>
      <c r="Q239" s="45">
        <v>-74.291177777777776</v>
      </c>
      <c r="R239" s="45" t="s">
        <v>980</v>
      </c>
      <c r="S239" s="51" t="s">
        <v>981</v>
      </c>
      <c r="U239" s="52"/>
    </row>
    <row r="240" spans="1:21" ht="17.25" customHeight="1" x14ac:dyDescent="0.3">
      <c r="A240" s="45">
        <v>239</v>
      </c>
      <c r="B240" s="53" t="s">
        <v>1379</v>
      </c>
      <c r="C240" s="47" t="s">
        <v>1379</v>
      </c>
      <c r="D240" s="47" t="s">
        <v>1379</v>
      </c>
      <c r="E240" s="47" t="s">
        <v>1379</v>
      </c>
      <c r="F240" s="47" t="s">
        <v>1379</v>
      </c>
      <c r="G240" s="45" t="s">
        <v>1379</v>
      </c>
      <c r="H240" s="48" t="s">
        <v>1379</v>
      </c>
      <c r="I240" s="49" t="s">
        <v>1379</v>
      </c>
      <c r="J240" s="47" t="s">
        <v>1379</v>
      </c>
      <c r="K240" s="47" t="s">
        <v>1379</v>
      </c>
      <c r="L240" s="45" t="s">
        <v>1379</v>
      </c>
      <c r="M240" s="50" t="s">
        <v>1379</v>
      </c>
      <c r="N240" s="47" t="s">
        <v>1379</v>
      </c>
      <c r="O240" s="45" t="s">
        <v>1379</v>
      </c>
      <c r="P240" s="45">
        <v>-14.68805</v>
      </c>
      <c r="Q240" s="45">
        <v>-74.130305555555552</v>
      </c>
      <c r="R240" s="45" t="s">
        <v>982</v>
      </c>
      <c r="S240" s="51" t="s">
        <v>983</v>
      </c>
      <c r="U240" s="52"/>
    </row>
    <row r="241" spans="1:21" ht="17.25" customHeight="1" x14ac:dyDescent="0.3">
      <c r="A241" s="45">
        <v>240</v>
      </c>
      <c r="B241" s="53" t="s">
        <v>1379</v>
      </c>
      <c r="C241" s="47" t="s">
        <v>1379</v>
      </c>
      <c r="D241" s="47" t="s">
        <v>1379</v>
      </c>
      <c r="E241" s="47" t="s">
        <v>1379</v>
      </c>
      <c r="F241" s="47" t="s">
        <v>1379</v>
      </c>
      <c r="G241" s="45" t="s">
        <v>1379</v>
      </c>
      <c r="H241" s="48" t="s">
        <v>1379</v>
      </c>
      <c r="I241" s="49" t="s">
        <v>1379</v>
      </c>
      <c r="J241" s="47" t="s">
        <v>1379</v>
      </c>
      <c r="K241" s="47" t="s">
        <v>1379</v>
      </c>
      <c r="L241" s="45" t="s">
        <v>1379</v>
      </c>
      <c r="M241" s="50" t="s">
        <v>1379</v>
      </c>
      <c r="N241" s="47" t="s">
        <v>1379</v>
      </c>
      <c r="O241" s="45" t="s">
        <v>1379</v>
      </c>
      <c r="P241" s="45">
        <v>-5.0651388888888889</v>
      </c>
      <c r="Q241" s="45">
        <v>-73.846722222222212</v>
      </c>
      <c r="R241" s="45" t="s">
        <v>984</v>
      </c>
      <c r="S241" s="51" t="s">
        <v>985</v>
      </c>
      <c r="U241" s="52"/>
    </row>
    <row r="242" spans="1:21" ht="17.25" customHeight="1" x14ac:dyDescent="0.3">
      <c r="A242" s="45">
        <v>241</v>
      </c>
      <c r="B242" s="53" t="s">
        <v>1379</v>
      </c>
      <c r="C242" s="47" t="s">
        <v>1379</v>
      </c>
      <c r="D242" s="47" t="s">
        <v>1379</v>
      </c>
      <c r="E242" s="47" t="s">
        <v>1379</v>
      </c>
      <c r="F242" s="47" t="s">
        <v>1379</v>
      </c>
      <c r="G242" s="45" t="s">
        <v>1379</v>
      </c>
      <c r="H242" s="48" t="s">
        <v>1379</v>
      </c>
      <c r="I242" s="49" t="s">
        <v>1379</v>
      </c>
      <c r="J242" s="47" t="s">
        <v>1379</v>
      </c>
      <c r="K242" s="47" t="s">
        <v>1379</v>
      </c>
      <c r="L242" s="45" t="s">
        <v>1379</v>
      </c>
      <c r="M242" s="50" t="s">
        <v>1379</v>
      </c>
      <c r="N242" s="47" t="s">
        <v>1379</v>
      </c>
      <c r="O242" s="45" t="s">
        <v>1379</v>
      </c>
      <c r="P242" s="45">
        <v>-8.8295555555555545</v>
      </c>
      <c r="Q242" s="45">
        <v>-75.219472222222223</v>
      </c>
      <c r="R242" s="45" t="s">
        <v>986</v>
      </c>
      <c r="S242" s="51" t="s">
        <v>987</v>
      </c>
      <c r="U242" s="52"/>
    </row>
    <row r="243" spans="1:21" ht="17.25" customHeight="1" x14ac:dyDescent="0.3">
      <c r="A243" s="45">
        <v>242</v>
      </c>
      <c r="B243" s="53" t="s">
        <v>1379</v>
      </c>
      <c r="C243" s="47" t="s">
        <v>1379</v>
      </c>
      <c r="D243" s="47" t="s">
        <v>1379</v>
      </c>
      <c r="E243" s="47" t="s">
        <v>1379</v>
      </c>
      <c r="F243" s="47" t="s">
        <v>1379</v>
      </c>
      <c r="G243" s="45" t="s">
        <v>1379</v>
      </c>
      <c r="H243" s="48" t="s">
        <v>1379</v>
      </c>
      <c r="I243" s="49" t="s">
        <v>1379</v>
      </c>
      <c r="J243" s="47" t="s">
        <v>1379</v>
      </c>
      <c r="K243" s="47" t="s">
        <v>1379</v>
      </c>
      <c r="L243" s="45" t="s">
        <v>1379</v>
      </c>
      <c r="M243" s="50" t="s">
        <v>1379</v>
      </c>
      <c r="N243" s="47" t="s">
        <v>1379</v>
      </c>
      <c r="O243" s="45" t="s">
        <v>1379</v>
      </c>
      <c r="P243" s="45">
        <v>-11.761519444444444</v>
      </c>
      <c r="Q243" s="45">
        <v>-76.304249999999996</v>
      </c>
      <c r="R243" s="45" t="s">
        <v>988</v>
      </c>
      <c r="S243" s="51" t="s">
        <v>989</v>
      </c>
      <c r="U243" s="52"/>
    </row>
    <row r="244" spans="1:21" ht="17.25" customHeight="1" x14ac:dyDescent="0.3">
      <c r="A244" s="45">
        <v>243</v>
      </c>
      <c r="B244" s="53" t="s">
        <v>1379</v>
      </c>
      <c r="C244" s="47" t="s">
        <v>1379</v>
      </c>
      <c r="D244" s="47" t="s">
        <v>1379</v>
      </c>
      <c r="E244" s="47" t="s">
        <v>1379</v>
      </c>
      <c r="F244" s="47" t="s">
        <v>1379</v>
      </c>
      <c r="G244" s="45" t="s">
        <v>1379</v>
      </c>
      <c r="H244" s="48" t="s">
        <v>1379</v>
      </c>
      <c r="I244" s="49" t="s">
        <v>1379</v>
      </c>
      <c r="J244" s="47" t="s">
        <v>1379</v>
      </c>
      <c r="K244" s="47" t="s">
        <v>1379</v>
      </c>
      <c r="L244" s="45" t="s">
        <v>1379</v>
      </c>
      <c r="M244" s="50" t="s">
        <v>1379</v>
      </c>
      <c r="N244" s="47" t="s">
        <v>1379</v>
      </c>
      <c r="O244" s="45" t="s">
        <v>1379</v>
      </c>
      <c r="P244" s="45">
        <v>-13.011261111111111</v>
      </c>
      <c r="Q244" s="45">
        <v>-73.940100000000001</v>
      </c>
      <c r="R244" s="45" t="s">
        <v>990</v>
      </c>
      <c r="S244" s="51" t="s">
        <v>991</v>
      </c>
      <c r="U244" s="52"/>
    </row>
    <row r="245" spans="1:21" ht="17.25" customHeight="1" x14ac:dyDescent="0.3">
      <c r="A245" s="45">
        <v>244</v>
      </c>
      <c r="B245" s="53" t="s">
        <v>1379</v>
      </c>
      <c r="C245" s="47" t="s">
        <v>1379</v>
      </c>
      <c r="D245" s="47" t="s">
        <v>1379</v>
      </c>
      <c r="E245" s="47" t="s">
        <v>1379</v>
      </c>
      <c r="F245" s="47" t="s">
        <v>1379</v>
      </c>
      <c r="G245" s="45" t="s">
        <v>1379</v>
      </c>
      <c r="H245" s="48" t="s">
        <v>1379</v>
      </c>
      <c r="I245" s="49" t="s">
        <v>1379</v>
      </c>
      <c r="J245" s="47" t="s">
        <v>1379</v>
      </c>
      <c r="K245" s="47" t="s">
        <v>1379</v>
      </c>
      <c r="L245" s="45" t="s">
        <v>1379</v>
      </c>
      <c r="M245" s="50" t="s">
        <v>1379</v>
      </c>
      <c r="N245" s="47" t="s">
        <v>1379</v>
      </c>
      <c r="O245" s="45" t="s">
        <v>1379</v>
      </c>
      <c r="P245" s="45">
        <v>-13.006083333333333</v>
      </c>
      <c r="Q245" s="45">
        <v>-73.981027777777783</v>
      </c>
      <c r="R245" s="45" t="s">
        <v>992</v>
      </c>
      <c r="S245" s="51" t="s">
        <v>993</v>
      </c>
      <c r="U245" s="52"/>
    </row>
    <row r="246" spans="1:21" ht="17.25" customHeight="1" x14ac:dyDescent="0.3">
      <c r="A246" s="45">
        <v>245</v>
      </c>
      <c r="B246" s="53" t="s">
        <v>1379</v>
      </c>
      <c r="C246" s="47" t="s">
        <v>1379</v>
      </c>
      <c r="D246" s="47" t="s">
        <v>1379</v>
      </c>
      <c r="E246" s="47" t="s">
        <v>1379</v>
      </c>
      <c r="F246" s="47" t="s">
        <v>1379</v>
      </c>
      <c r="G246" s="45" t="s">
        <v>1379</v>
      </c>
      <c r="H246" s="48" t="s">
        <v>1379</v>
      </c>
      <c r="I246" s="49" t="s">
        <v>1379</v>
      </c>
      <c r="J246" s="47" t="s">
        <v>1379</v>
      </c>
      <c r="K246" s="47" t="s">
        <v>1379</v>
      </c>
      <c r="L246" s="45" t="s">
        <v>1379</v>
      </c>
      <c r="M246" s="50" t="s">
        <v>1379</v>
      </c>
      <c r="N246" s="47" t="s">
        <v>1379</v>
      </c>
      <c r="O246" s="45" t="s">
        <v>1379</v>
      </c>
      <c r="P246" s="45">
        <v>-4.0210944444444445</v>
      </c>
      <c r="Q246" s="45">
        <v>-71.103161111111106</v>
      </c>
      <c r="R246" s="45" t="s">
        <v>994</v>
      </c>
      <c r="S246" s="51" t="s">
        <v>995</v>
      </c>
      <c r="U246" s="52"/>
    </row>
    <row r="247" spans="1:21" ht="17.25" customHeight="1" x14ac:dyDescent="0.3">
      <c r="A247" s="45">
        <v>246</v>
      </c>
      <c r="B247" s="53" t="s">
        <v>1379</v>
      </c>
      <c r="C247" s="47" t="s">
        <v>1379</v>
      </c>
      <c r="D247" s="47" t="s">
        <v>1379</v>
      </c>
      <c r="E247" s="47" t="s">
        <v>1379</v>
      </c>
      <c r="F247" s="47" t="s">
        <v>1379</v>
      </c>
      <c r="G247" s="45" t="s">
        <v>1379</v>
      </c>
      <c r="H247" s="48" t="s">
        <v>1379</v>
      </c>
      <c r="I247" s="49" t="s">
        <v>1379</v>
      </c>
      <c r="J247" s="47" t="s">
        <v>1379</v>
      </c>
      <c r="K247" s="47" t="s">
        <v>1379</v>
      </c>
      <c r="L247" s="45" t="s">
        <v>1379</v>
      </c>
      <c r="M247" s="50" t="s">
        <v>1379</v>
      </c>
      <c r="N247" s="47" t="s">
        <v>1379</v>
      </c>
      <c r="O247" s="45" t="s">
        <v>1379</v>
      </c>
      <c r="P247" s="45">
        <v>-11.2416</v>
      </c>
      <c r="Q247" s="45">
        <v>-75.862269444444436</v>
      </c>
      <c r="R247" s="45" t="s">
        <v>996</v>
      </c>
      <c r="S247" s="51" t="s">
        <v>997</v>
      </c>
      <c r="U247" s="52"/>
    </row>
    <row r="248" spans="1:21" ht="17.25" customHeight="1" x14ac:dyDescent="0.3">
      <c r="A248" s="45">
        <v>247</v>
      </c>
      <c r="B248" s="53" t="s">
        <v>1379</v>
      </c>
      <c r="C248" s="47" t="s">
        <v>1379</v>
      </c>
      <c r="D248" s="47" t="s">
        <v>1379</v>
      </c>
      <c r="E248" s="47" t="s">
        <v>1379</v>
      </c>
      <c r="F248" s="47" t="s">
        <v>1379</v>
      </c>
      <c r="G248" s="45" t="s">
        <v>1379</v>
      </c>
      <c r="H248" s="48" t="s">
        <v>1379</v>
      </c>
      <c r="I248" s="49" t="s">
        <v>1379</v>
      </c>
      <c r="J248" s="47" t="s">
        <v>1379</v>
      </c>
      <c r="K248" s="47" t="s">
        <v>1379</v>
      </c>
      <c r="L248" s="45" t="s">
        <v>1379</v>
      </c>
      <c r="M248" s="50" t="s">
        <v>1379</v>
      </c>
      <c r="N248" s="47" t="s">
        <v>1379</v>
      </c>
      <c r="O248" s="45" t="s">
        <v>1379</v>
      </c>
      <c r="P248" s="45">
        <v>-11.077888888888889</v>
      </c>
      <c r="Q248" s="45">
        <v>-75.321138888888882</v>
      </c>
      <c r="R248" s="45" t="s">
        <v>592</v>
      </c>
      <c r="S248" s="51" t="s">
        <v>998</v>
      </c>
      <c r="U248" s="52"/>
    </row>
    <row r="249" spans="1:21" ht="17.25" customHeight="1" x14ac:dyDescent="0.3">
      <c r="A249" s="45">
        <v>248</v>
      </c>
      <c r="B249" s="53" t="s">
        <v>1379</v>
      </c>
      <c r="C249" s="47" t="s">
        <v>1379</v>
      </c>
      <c r="D249" s="47" t="s">
        <v>1379</v>
      </c>
      <c r="E249" s="47" t="s">
        <v>1379</v>
      </c>
      <c r="F249" s="47" t="s">
        <v>1379</v>
      </c>
      <c r="G249" s="45" t="s">
        <v>1379</v>
      </c>
      <c r="H249" s="48" t="s">
        <v>1379</v>
      </c>
      <c r="I249" s="49" t="s">
        <v>1379</v>
      </c>
      <c r="J249" s="47" t="s">
        <v>1379</v>
      </c>
      <c r="K249" s="47" t="s">
        <v>1379</v>
      </c>
      <c r="L249" s="45" t="s">
        <v>1379</v>
      </c>
      <c r="M249" s="50" t="s">
        <v>1379</v>
      </c>
      <c r="N249" s="47" t="s">
        <v>1379</v>
      </c>
      <c r="O249" s="45" t="s">
        <v>1379</v>
      </c>
      <c r="P249" s="45">
        <v>-13.919805555555556</v>
      </c>
      <c r="Q249" s="45">
        <v>-74.336555555555549</v>
      </c>
      <c r="R249" s="45" t="s">
        <v>999</v>
      </c>
      <c r="S249" s="51" t="s">
        <v>1000</v>
      </c>
      <c r="U249" s="52"/>
    </row>
    <row r="250" spans="1:21" ht="17.25" customHeight="1" x14ac:dyDescent="0.3">
      <c r="A250" s="45">
        <v>249</v>
      </c>
      <c r="B250" s="53" t="s">
        <v>1379</v>
      </c>
      <c r="C250" s="47" t="s">
        <v>1379</v>
      </c>
      <c r="D250" s="47" t="s">
        <v>1379</v>
      </c>
      <c r="E250" s="47" t="s">
        <v>1379</v>
      </c>
      <c r="F250" s="47" t="s">
        <v>1379</v>
      </c>
      <c r="G250" s="45" t="s">
        <v>1379</v>
      </c>
      <c r="H250" s="48" t="s">
        <v>1379</v>
      </c>
      <c r="I250" s="49" t="s">
        <v>1379</v>
      </c>
      <c r="J250" s="47" t="s">
        <v>1379</v>
      </c>
      <c r="K250" s="47" t="s">
        <v>1379</v>
      </c>
      <c r="L250" s="45" t="s">
        <v>1379</v>
      </c>
      <c r="M250" s="50" t="s">
        <v>1379</v>
      </c>
      <c r="N250" s="47" t="s">
        <v>1379</v>
      </c>
      <c r="O250" s="45" t="s">
        <v>1379</v>
      </c>
      <c r="P250" s="45">
        <v>-2.4900277777777777</v>
      </c>
      <c r="Q250" s="45">
        <v>-73.684600000000003</v>
      </c>
      <c r="R250" s="45" t="s">
        <v>1001</v>
      </c>
      <c r="S250" s="51" t="s">
        <v>1002</v>
      </c>
      <c r="U250" s="52"/>
    </row>
    <row r="251" spans="1:21" ht="17.25" customHeight="1" x14ac:dyDescent="0.3">
      <c r="A251" s="45">
        <v>250</v>
      </c>
      <c r="B251" s="53" t="s">
        <v>1379</v>
      </c>
      <c r="C251" s="47" t="s">
        <v>1379</v>
      </c>
      <c r="D251" s="47" t="s">
        <v>1379</v>
      </c>
      <c r="E251" s="47" t="s">
        <v>1379</v>
      </c>
      <c r="F251" s="47" t="s">
        <v>1379</v>
      </c>
      <c r="G251" s="45" t="s">
        <v>1379</v>
      </c>
      <c r="H251" s="48" t="s">
        <v>1379</v>
      </c>
      <c r="I251" s="49" t="s">
        <v>1379</v>
      </c>
      <c r="J251" s="47" t="s">
        <v>1379</v>
      </c>
      <c r="K251" s="47" t="s">
        <v>1379</v>
      </c>
      <c r="L251" s="45" t="s">
        <v>1379</v>
      </c>
      <c r="M251" s="50" t="s">
        <v>1379</v>
      </c>
      <c r="N251" s="47" t="s">
        <v>1379</v>
      </c>
      <c r="O251" s="45" t="s">
        <v>1379</v>
      </c>
      <c r="P251" s="45">
        <v>-11.913333333333334</v>
      </c>
      <c r="Q251" s="45">
        <v>-76.669444444444451</v>
      </c>
      <c r="R251" s="45" t="s">
        <v>1003</v>
      </c>
      <c r="S251" s="51" t="s">
        <v>1004</v>
      </c>
      <c r="U251" s="52"/>
    </row>
    <row r="252" spans="1:21" ht="17.25" customHeight="1" x14ac:dyDescent="0.3">
      <c r="A252" s="45">
        <v>251</v>
      </c>
      <c r="B252" s="53" t="s">
        <v>1379</v>
      </c>
      <c r="C252" s="47" t="s">
        <v>1379</v>
      </c>
      <c r="D252" s="47" t="s">
        <v>1379</v>
      </c>
      <c r="E252" s="47" t="s">
        <v>1379</v>
      </c>
      <c r="F252" s="47" t="s">
        <v>1379</v>
      </c>
      <c r="G252" s="45" t="s">
        <v>1379</v>
      </c>
      <c r="H252" s="48" t="s">
        <v>1379</v>
      </c>
      <c r="I252" s="49" t="s">
        <v>1379</v>
      </c>
      <c r="J252" s="47" t="s">
        <v>1379</v>
      </c>
      <c r="K252" s="47" t="s">
        <v>1379</v>
      </c>
      <c r="L252" s="45" t="s">
        <v>1379</v>
      </c>
      <c r="M252" s="50" t="s">
        <v>1379</v>
      </c>
      <c r="N252" s="47" t="s">
        <v>1379</v>
      </c>
      <c r="O252" s="45" t="s">
        <v>1379</v>
      </c>
      <c r="P252" s="45">
        <v>-3.8872611111111111</v>
      </c>
      <c r="Q252" s="45">
        <v>-73.696988888888896</v>
      </c>
      <c r="R252" s="45" t="s">
        <v>1005</v>
      </c>
      <c r="S252" s="51" t="s">
        <v>1006</v>
      </c>
      <c r="U252" s="52"/>
    </row>
    <row r="253" spans="1:21" ht="17.25" customHeight="1" x14ac:dyDescent="0.3">
      <c r="A253" s="45">
        <v>252</v>
      </c>
      <c r="B253" s="53" t="s">
        <v>1379</v>
      </c>
      <c r="C253" s="47" t="s">
        <v>1379</v>
      </c>
      <c r="D253" s="47" t="s">
        <v>1379</v>
      </c>
      <c r="E253" s="47" t="s">
        <v>1379</v>
      </c>
      <c r="F253" s="47" t="s">
        <v>1379</v>
      </c>
      <c r="G253" s="45" t="s">
        <v>1379</v>
      </c>
      <c r="H253" s="48" t="s">
        <v>1379</v>
      </c>
      <c r="I253" s="49" t="s">
        <v>1379</v>
      </c>
      <c r="J253" s="47" t="s">
        <v>1379</v>
      </c>
      <c r="K253" s="47" t="s">
        <v>1379</v>
      </c>
      <c r="L253" s="45" t="s">
        <v>1379</v>
      </c>
      <c r="M253" s="50" t="s">
        <v>1379</v>
      </c>
      <c r="N253" s="47" t="s">
        <v>1379</v>
      </c>
      <c r="O253" s="45" t="s">
        <v>1379</v>
      </c>
      <c r="P253" s="45">
        <v>-12.687472222222222</v>
      </c>
      <c r="Q253" s="45">
        <v>-73.736555555555555</v>
      </c>
      <c r="R253" s="45" t="s">
        <v>1007</v>
      </c>
      <c r="S253" s="51" t="s">
        <v>1008</v>
      </c>
      <c r="U253" s="52"/>
    </row>
    <row r="254" spans="1:21" ht="17.25" customHeight="1" x14ac:dyDescent="0.3">
      <c r="A254" s="45">
        <v>253</v>
      </c>
      <c r="B254" s="53" t="s">
        <v>1379</v>
      </c>
      <c r="C254" s="47" t="s">
        <v>1379</v>
      </c>
      <c r="D254" s="47" t="s">
        <v>1379</v>
      </c>
      <c r="E254" s="47" t="s">
        <v>1379</v>
      </c>
      <c r="F254" s="47" t="s">
        <v>1379</v>
      </c>
      <c r="G254" s="45" t="s">
        <v>1379</v>
      </c>
      <c r="H254" s="48" t="s">
        <v>1379</v>
      </c>
      <c r="I254" s="49" t="s">
        <v>1379</v>
      </c>
      <c r="J254" s="47" t="s">
        <v>1379</v>
      </c>
      <c r="K254" s="47" t="s">
        <v>1379</v>
      </c>
      <c r="L254" s="45" t="s">
        <v>1379</v>
      </c>
      <c r="M254" s="50" t="s">
        <v>1379</v>
      </c>
      <c r="N254" s="47" t="s">
        <v>1379</v>
      </c>
      <c r="O254" s="45" t="s">
        <v>1379</v>
      </c>
      <c r="P254" s="45">
        <v>-12.687472222222222</v>
      </c>
      <c r="Q254" s="45">
        <v>-73.736555555555555</v>
      </c>
      <c r="R254" s="45" t="s">
        <v>1007</v>
      </c>
      <c r="S254" s="51" t="s">
        <v>1009</v>
      </c>
      <c r="U254" s="52"/>
    </row>
    <row r="255" spans="1:21" ht="17.25" customHeight="1" x14ac:dyDescent="0.3">
      <c r="A255" s="45">
        <v>254</v>
      </c>
      <c r="B255" s="53" t="s">
        <v>1379</v>
      </c>
      <c r="C255" s="47" t="s">
        <v>1379</v>
      </c>
      <c r="D255" s="47" t="s">
        <v>1379</v>
      </c>
      <c r="E255" s="47" t="s">
        <v>1379</v>
      </c>
      <c r="F255" s="47" t="s">
        <v>1379</v>
      </c>
      <c r="G255" s="45" t="s">
        <v>1379</v>
      </c>
      <c r="H255" s="48" t="s">
        <v>1379</v>
      </c>
      <c r="I255" s="49" t="s">
        <v>1379</v>
      </c>
      <c r="J255" s="47" t="s">
        <v>1379</v>
      </c>
      <c r="K255" s="47" t="s">
        <v>1379</v>
      </c>
      <c r="L255" s="45" t="s">
        <v>1379</v>
      </c>
      <c r="M255" s="50" t="s">
        <v>1379</v>
      </c>
      <c r="N255" s="47" t="s">
        <v>1379</v>
      </c>
      <c r="O255" s="45" t="s">
        <v>1379</v>
      </c>
      <c r="P255" s="45">
        <v>-11.722061111111111</v>
      </c>
      <c r="Q255" s="45">
        <v>-76.963947222222231</v>
      </c>
      <c r="R255" s="45" t="s">
        <v>1010</v>
      </c>
      <c r="S255" s="51" t="s">
        <v>1011</v>
      </c>
      <c r="U255" s="52"/>
    </row>
    <row r="256" spans="1:21" ht="17.25" customHeight="1" x14ac:dyDescent="0.3">
      <c r="A256" s="45">
        <v>255</v>
      </c>
      <c r="B256" s="53" t="s">
        <v>1379</v>
      </c>
      <c r="C256" s="47" t="s">
        <v>1379</v>
      </c>
      <c r="D256" s="47" t="s">
        <v>1379</v>
      </c>
      <c r="E256" s="47" t="s">
        <v>1379</v>
      </c>
      <c r="F256" s="47" t="s">
        <v>1379</v>
      </c>
      <c r="G256" s="45" t="s">
        <v>1379</v>
      </c>
      <c r="H256" s="48" t="s">
        <v>1379</v>
      </c>
      <c r="I256" s="49" t="s">
        <v>1379</v>
      </c>
      <c r="J256" s="47" t="s">
        <v>1379</v>
      </c>
      <c r="K256" s="47" t="s">
        <v>1379</v>
      </c>
      <c r="L256" s="45" t="s">
        <v>1379</v>
      </c>
      <c r="M256" s="50" t="s">
        <v>1379</v>
      </c>
      <c r="N256" s="47" t="s">
        <v>1379</v>
      </c>
      <c r="O256" s="45" t="s">
        <v>1379</v>
      </c>
      <c r="P256" s="45">
        <v>-4.5724027777777776</v>
      </c>
      <c r="Q256" s="45">
        <v>-72.431372222222222</v>
      </c>
      <c r="R256" s="45" t="s">
        <v>1012</v>
      </c>
      <c r="S256" s="51" t="s">
        <v>1013</v>
      </c>
      <c r="U256" s="52"/>
    </row>
    <row r="257" spans="1:21" ht="17.25" customHeight="1" x14ac:dyDescent="0.3">
      <c r="A257" s="45">
        <v>256</v>
      </c>
      <c r="B257" s="53" t="s">
        <v>1379</v>
      </c>
      <c r="C257" s="47" t="s">
        <v>1379</v>
      </c>
      <c r="D257" s="47" t="s">
        <v>1379</v>
      </c>
      <c r="E257" s="47" t="s">
        <v>1379</v>
      </c>
      <c r="F257" s="47" t="s">
        <v>1379</v>
      </c>
      <c r="G257" s="45" t="s">
        <v>1379</v>
      </c>
      <c r="H257" s="48" t="s">
        <v>1379</v>
      </c>
      <c r="I257" s="49" t="s">
        <v>1379</v>
      </c>
      <c r="J257" s="47" t="s">
        <v>1379</v>
      </c>
      <c r="K257" s="47" t="s">
        <v>1379</v>
      </c>
      <c r="L257" s="45" t="s">
        <v>1379</v>
      </c>
      <c r="M257" s="50" t="s">
        <v>1379</v>
      </c>
      <c r="N257" s="47" t="s">
        <v>1379</v>
      </c>
      <c r="O257" s="45" t="s">
        <v>1379</v>
      </c>
      <c r="R257" s="45"/>
      <c r="S257" s="51" t="s">
        <v>1014</v>
      </c>
      <c r="U257" s="52"/>
    </row>
    <row r="258" spans="1:21" ht="17.25" customHeight="1" x14ac:dyDescent="0.3">
      <c r="A258" s="45">
        <v>257</v>
      </c>
      <c r="B258" s="53" t="s">
        <v>1379</v>
      </c>
      <c r="C258" s="47" t="s">
        <v>1379</v>
      </c>
      <c r="D258" s="47" t="s">
        <v>1379</v>
      </c>
      <c r="E258" s="47" t="s">
        <v>1379</v>
      </c>
      <c r="F258" s="47" t="s">
        <v>1379</v>
      </c>
      <c r="G258" s="45" t="s">
        <v>1379</v>
      </c>
      <c r="H258" s="48" t="s">
        <v>1379</v>
      </c>
      <c r="I258" s="49" t="s">
        <v>1379</v>
      </c>
      <c r="J258" s="47" t="s">
        <v>1379</v>
      </c>
      <c r="K258" s="47" t="s">
        <v>1379</v>
      </c>
      <c r="L258" s="45" t="s">
        <v>1379</v>
      </c>
      <c r="M258" s="50" t="s">
        <v>1379</v>
      </c>
      <c r="N258" s="47" t="s">
        <v>1379</v>
      </c>
      <c r="O258" s="45" t="s">
        <v>1379</v>
      </c>
      <c r="P258" s="45">
        <v>-11.264277777777778</v>
      </c>
      <c r="Q258" s="45">
        <v>-74.631833333333333</v>
      </c>
      <c r="R258" s="45" t="s">
        <v>1015</v>
      </c>
      <c r="S258" s="51" t="s">
        <v>1016</v>
      </c>
      <c r="U258" s="52"/>
    </row>
    <row r="259" spans="1:21" ht="17.25" customHeight="1" x14ac:dyDescent="0.3">
      <c r="A259" s="45">
        <v>258</v>
      </c>
      <c r="B259" s="53" t="s">
        <v>1379</v>
      </c>
      <c r="C259" s="47" t="s">
        <v>1379</v>
      </c>
      <c r="D259" s="47" t="s">
        <v>1379</v>
      </c>
      <c r="E259" s="47" t="s">
        <v>1379</v>
      </c>
      <c r="F259" s="47" t="s">
        <v>1379</v>
      </c>
      <c r="G259" s="45" t="s">
        <v>1379</v>
      </c>
      <c r="H259" s="48" t="s">
        <v>1379</v>
      </c>
      <c r="I259" s="49" t="s">
        <v>1379</v>
      </c>
      <c r="J259" s="47" t="s">
        <v>1379</v>
      </c>
      <c r="K259" s="47" t="s">
        <v>1379</v>
      </c>
      <c r="L259" s="45" t="s">
        <v>1379</v>
      </c>
      <c r="M259" s="50" t="s">
        <v>1379</v>
      </c>
      <c r="N259" s="47" t="s">
        <v>1379</v>
      </c>
      <c r="O259" s="45" t="s">
        <v>1379</v>
      </c>
      <c r="P259" s="45">
        <v>-11.145433333333333</v>
      </c>
      <c r="Q259" s="45">
        <v>-77.246547222222219</v>
      </c>
      <c r="R259" s="45" t="s">
        <v>1017</v>
      </c>
      <c r="S259" s="51" t="s">
        <v>1018</v>
      </c>
      <c r="U259" s="52"/>
    </row>
    <row r="260" spans="1:21" ht="17.25" customHeight="1" x14ac:dyDescent="0.3">
      <c r="A260" s="45">
        <v>259</v>
      </c>
      <c r="B260" s="53" t="s">
        <v>1379</v>
      </c>
      <c r="C260" s="47" t="s">
        <v>1379</v>
      </c>
      <c r="D260" s="47" t="s">
        <v>1379</v>
      </c>
      <c r="E260" s="47" t="s">
        <v>1379</v>
      </c>
      <c r="F260" s="47" t="s">
        <v>1379</v>
      </c>
      <c r="G260" s="45" t="s">
        <v>1379</v>
      </c>
      <c r="H260" s="48" t="s">
        <v>1379</v>
      </c>
      <c r="I260" s="49" t="s">
        <v>1379</v>
      </c>
      <c r="J260" s="47" t="s">
        <v>1379</v>
      </c>
      <c r="K260" s="47" t="s">
        <v>1379</v>
      </c>
      <c r="L260" s="45" t="s">
        <v>1379</v>
      </c>
      <c r="M260" s="50" t="s">
        <v>1379</v>
      </c>
      <c r="N260" s="47" t="s">
        <v>1379</v>
      </c>
      <c r="O260" s="45" t="s">
        <v>1379</v>
      </c>
      <c r="P260" s="45">
        <v>-0.37193333333333328</v>
      </c>
      <c r="Q260" s="45">
        <v>-74.677044444444448</v>
      </c>
      <c r="R260" s="45" t="s">
        <v>1019</v>
      </c>
      <c r="S260" s="51" t="s">
        <v>1020</v>
      </c>
      <c r="U260" s="52"/>
    </row>
    <row r="261" spans="1:21" ht="17.25" customHeight="1" x14ac:dyDescent="0.3">
      <c r="A261" s="45">
        <v>260</v>
      </c>
      <c r="B261" s="53" t="s">
        <v>1379</v>
      </c>
      <c r="C261" s="47" t="s">
        <v>1379</v>
      </c>
      <c r="D261" s="47" t="s">
        <v>1379</v>
      </c>
      <c r="E261" s="47" t="s">
        <v>1379</v>
      </c>
      <c r="F261" s="47" t="s">
        <v>1379</v>
      </c>
      <c r="G261" s="45" t="s">
        <v>1379</v>
      </c>
      <c r="H261" s="48" t="s">
        <v>1379</v>
      </c>
      <c r="I261" s="49" t="s">
        <v>1379</v>
      </c>
      <c r="J261" s="47" t="s">
        <v>1379</v>
      </c>
      <c r="K261" s="47" t="s">
        <v>1379</v>
      </c>
      <c r="L261" s="45" t="s">
        <v>1379</v>
      </c>
      <c r="M261" s="50" t="s">
        <v>1379</v>
      </c>
      <c r="N261" s="47" t="s">
        <v>1379</v>
      </c>
      <c r="O261" s="45" t="s">
        <v>1379</v>
      </c>
      <c r="P261" s="45">
        <v>-12.95296111111111</v>
      </c>
      <c r="Q261" s="45">
        <v>-74.020186111111116</v>
      </c>
      <c r="R261" s="45" t="s">
        <v>1021</v>
      </c>
      <c r="S261" s="51" t="s">
        <v>1022</v>
      </c>
      <c r="U261" s="52"/>
    </row>
    <row r="262" spans="1:21" ht="17.25" customHeight="1" x14ac:dyDescent="0.3">
      <c r="A262" s="45">
        <v>261</v>
      </c>
      <c r="B262" s="53" t="s">
        <v>1379</v>
      </c>
      <c r="C262" s="47" t="s">
        <v>1379</v>
      </c>
      <c r="D262" s="47" t="s">
        <v>1379</v>
      </c>
      <c r="E262" s="47" t="s">
        <v>1379</v>
      </c>
      <c r="F262" s="47" t="s">
        <v>1379</v>
      </c>
      <c r="G262" s="45" t="s">
        <v>1379</v>
      </c>
      <c r="H262" s="48" t="s">
        <v>1379</v>
      </c>
      <c r="I262" s="49" t="s">
        <v>1379</v>
      </c>
      <c r="J262" s="47" t="s">
        <v>1379</v>
      </c>
      <c r="K262" s="47" t="s">
        <v>1379</v>
      </c>
      <c r="L262" s="45" t="s">
        <v>1379</v>
      </c>
      <c r="M262" s="50" t="s">
        <v>1379</v>
      </c>
      <c r="N262" s="47" t="s">
        <v>1379</v>
      </c>
      <c r="O262" s="45" t="s">
        <v>1379</v>
      </c>
      <c r="P262" s="45">
        <v>-4.0029444444444442</v>
      </c>
      <c r="Q262" s="45">
        <v>-73.156416666666672</v>
      </c>
      <c r="R262" s="45" t="s">
        <v>1023</v>
      </c>
      <c r="S262" s="51" t="s">
        <v>1024</v>
      </c>
      <c r="U262" s="52"/>
    </row>
    <row r="263" spans="1:21" ht="17.25" customHeight="1" x14ac:dyDescent="0.3">
      <c r="A263" s="45">
        <v>262</v>
      </c>
      <c r="B263" s="53" t="s">
        <v>1379</v>
      </c>
      <c r="C263" s="47" t="s">
        <v>1379</v>
      </c>
      <c r="D263" s="47" t="s">
        <v>1379</v>
      </c>
      <c r="E263" s="47" t="s">
        <v>1379</v>
      </c>
      <c r="F263" s="47" t="s">
        <v>1379</v>
      </c>
      <c r="G263" s="45" t="s">
        <v>1379</v>
      </c>
      <c r="H263" s="48" t="s">
        <v>1379</v>
      </c>
      <c r="I263" s="49" t="s">
        <v>1379</v>
      </c>
      <c r="J263" s="47" t="s">
        <v>1379</v>
      </c>
      <c r="K263" s="47" t="s">
        <v>1379</v>
      </c>
      <c r="L263" s="45" t="s">
        <v>1379</v>
      </c>
      <c r="M263" s="50" t="s">
        <v>1379</v>
      </c>
      <c r="N263" s="47" t="s">
        <v>1379</v>
      </c>
      <c r="O263" s="45" t="s">
        <v>1379</v>
      </c>
      <c r="P263" s="45">
        <v>-11.4095</v>
      </c>
      <c r="Q263" s="45">
        <v>-75.691138888888887</v>
      </c>
      <c r="R263" s="45" t="s">
        <v>1025</v>
      </c>
      <c r="S263" s="51" t="s">
        <v>1026</v>
      </c>
      <c r="U263" s="52"/>
    </row>
    <row r="264" spans="1:21" ht="17.25" customHeight="1" x14ac:dyDescent="0.3">
      <c r="A264" s="45">
        <v>263</v>
      </c>
      <c r="B264" s="53" t="s">
        <v>1379</v>
      </c>
      <c r="C264" s="47" t="s">
        <v>1379</v>
      </c>
      <c r="D264" s="47" t="s">
        <v>1379</v>
      </c>
      <c r="E264" s="47" t="s">
        <v>1379</v>
      </c>
      <c r="F264" s="47" t="s">
        <v>1379</v>
      </c>
      <c r="G264" s="45" t="s">
        <v>1379</v>
      </c>
      <c r="H264" s="48" t="s">
        <v>1379</v>
      </c>
      <c r="I264" s="49" t="s">
        <v>1379</v>
      </c>
      <c r="J264" s="47" t="s">
        <v>1379</v>
      </c>
      <c r="K264" s="47" t="s">
        <v>1379</v>
      </c>
      <c r="L264" s="45" t="s">
        <v>1379</v>
      </c>
      <c r="M264" s="50" t="s">
        <v>1379</v>
      </c>
      <c r="N264" s="47" t="s">
        <v>1379</v>
      </c>
      <c r="O264" s="45" t="s">
        <v>1379</v>
      </c>
      <c r="P264" s="45">
        <v>-11.409444444444444</v>
      </c>
      <c r="Q264" s="45">
        <v>-75.687777777777782</v>
      </c>
      <c r="R264" s="45" t="s">
        <v>1027</v>
      </c>
      <c r="S264" s="51" t="s">
        <v>1028</v>
      </c>
      <c r="U264" s="52"/>
    </row>
    <row r="265" spans="1:21" ht="17.25" customHeight="1" x14ac:dyDescent="0.3">
      <c r="A265" s="45">
        <v>264</v>
      </c>
      <c r="B265" s="53" t="s">
        <v>1379</v>
      </c>
      <c r="C265" s="47" t="s">
        <v>1379</v>
      </c>
      <c r="D265" s="47" t="s">
        <v>1379</v>
      </c>
      <c r="E265" s="47" t="s">
        <v>1379</v>
      </c>
      <c r="F265" s="47" t="s">
        <v>1379</v>
      </c>
      <c r="G265" s="45" t="s">
        <v>1379</v>
      </c>
      <c r="H265" s="48" t="s">
        <v>1379</v>
      </c>
      <c r="I265" s="49" t="s">
        <v>1379</v>
      </c>
      <c r="J265" s="47" t="s">
        <v>1379</v>
      </c>
      <c r="K265" s="47" t="s">
        <v>1379</v>
      </c>
      <c r="L265" s="45" t="s">
        <v>1379</v>
      </c>
      <c r="M265" s="50" t="s">
        <v>1379</v>
      </c>
      <c r="N265" s="47" t="s">
        <v>1379</v>
      </c>
      <c r="O265" s="45" t="s">
        <v>1379</v>
      </c>
      <c r="R265" s="45"/>
      <c r="S265" s="51" t="s">
        <v>1029</v>
      </c>
      <c r="U265" s="52"/>
    </row>
    <row r="266" spans="1:21" ht="17.25" customHeight="1" x14ac:dyDescent="0.3">
      <c r="A266" s="45">
        <v>265</v>
      </c>
      <c r="B266" s="53" t="s">
        <v>1379</v>
      </c>
      <c r="C266" s="47" t="s">
        <v>1379</v>
      </c>
      <c r="D266" s="47" t="s">
        <v>1379</v>
      </c>
      <c r="E266" s="47" t="s">
        <v>1379</v>
      </c>
      <c r="F266" s="47" t="s">
        <v>1379</v>
      </c>
      <c r="G266" s="45" t="s">
        <v>1379</v>
      </c>
      <c r="H266" s="48" t="s">
        <v>1379</v>
      </c>
      <c r="I266" s="49" t="s">
        <v>1379</v>
      </c>
      <c r="J266" s="47" t="s">
        <v>1379</v>
      </c>
      <c r="K266" s="47" t="s">
        <v>1379</v>
      </c>
      <c r="L266" s="45" t="s">
        <v>1379</v>
      </c>
      <c r="M266" s="50" t="s">
        <v>1379</v>
      </c>
      <c r="N266" s="47" t="s">
        <v>1379</v>
      </c>
      <c r="O266" s="45" t="s">
        <v>1379</v>
      </c>
      <c r="P266" s="45">
        <v>-9.3007500000000007</v>
      </c>
      <c r="Q266" s="45">
        <v>-75.992750000000001</v>
      </c>
      <c r="R266" s="45" t="s">
        <v>931</v>
      </c>
      <c r="S266" s="51" t="s">
        <v>1030</v>
      </c>
      <c r="U266" s="52"/>
    </row>
    <row r="267" spans="1:21" ht="17.25" customHeight="1" x14ac:dyDescent="0.3">
      <c r="A267" s="45">
        <v>266</v>
      </c>
      <c r="B267" s="53" t="s">
        <v>1379</v>
      </c>
      <c r="C267" s="47" t="s">
        <v>1379</v>
      </c>
      <c r="D267" s="47" t="s">
        <v>1379</v>
      </c>
      <c r="E267" s="47" t="s">
        <v>1379</v>
      </c>
      <c r="F267" s="47" t="s">
        <v>1379</v>
      </c>
      <c r="G267" s="45" t="s">
        <v>1379</v>
      </c>
      <c r="H267" s="48" t="s">
        <v>1379</v>
      </c>
      <c r="I267" s="49" t="s">
        <v>1379</v>
      </c>
      <c r="J267" s="47" t="s">
        <v>1379</v>
      </c>
      <c r="K267" s="47" t="s">
        <v>1379</v>
      </c>
      <c r="L267" s="45" t="s">
        <v>1379</v>
      </c>
      <c r="M267" s="50" t="s">
        <v>1379</v>
      </c>
      <c r="N267" s="47" t="s">
        <v>1379</v>
      </c>
      <c r="O267" s="45" t="s">
        <v>1379</v>
      </c>
      <c r="P267" s="45">
        <v>-9.8650833333333328</v>
      </c>
      <c r="Q267" s="45">
        <v>-76.017944444444439</v>
      </c>
      <c r="R267" s="45" t="s">
        <v>1031</v>
      </c>
      <c r="S267" s="51" t="s">
        <v>1032</v>
      </c>
      <c r="U267" s="52"/>
    </row>
    <row r="268" spans="1:21" ht="17.25" customHeight="1" x14ac:dyDescent="0.3">
      <c r="A268" s="45">
        <v>267</v>
      </c>
      <c r="B268" s="53" t="s">
        <v>1379</v>
      </c>
      <c r="C268" s="47" t="s">
        <v>1379</v>
      </c>
      <c r="D268" s="47" t="s">
        <v>1379</v>
      </c>
      <c r="E268" s="47" t="s">
        <v>1379</v>
      </c>
      <c r="F268" s="47" t="s">
        <v>1379</v>
      </c>
      <c r="G268" s="45" t="s">
        <v>1379</v>
      </c>
      <c r="H268" s="48" t="s">
        <v>1379</v>
      </c>
      <c r="I268" s="49" t="s">
        <v>1379</v>
      </c>
      <c r="J268" s="47" t="s">
        <v>1379</v>
      </c>
      <c r="K268" s="47" t="s">
        <v>1379</v>
      </c>
      <c r="L268" s="45" t="s">
        <v>1379</v>
      </c>
      <c r="M268" s="50" t="s">
        <v>1379</v>
      </c>
      <c r="N268" s="47" t="s">
        <v>1379</v>
      </c>
      <c r="O268" s="45" t="s">
        <v>1379</v>
      </c>
      <c r="P268" s="45">
        <v>-12.036522222222223</v>
      </c>
      <c r="Q268" s="45">
        <v>-76.905552777777785</v>
      </c>
      <c r="R268" s="45" t="s">
        <v>1033</v>
      </c>
      <c r="S268" s="51" t="s">
        <v>1034</v>
      </c>
      <c r="U268" s="52"/>
    </row>
    <row r="269" spans="1:21" ht="17.25" customHeight="1" x14ac:dyDescent="0.3">
      <c r="A269" s="45">
        <v>268</v>
      </c>
      <c r="B269" s="53" t="s">
        <v>1379</v>
      </c>
      <c r="C269" s="47" t="s">
        <v>1379</v>
      </c>
      <c r="D269" s="47" t="s">
        <v>1379</v>
      </c>
      <c r="E269" s="47" t="s">
        <v>1379</v>
      </c>
      <c r="F269" s="47" t="s">
        <v>1379</v>
      </c>
      <c r="G269" s="45" t="s">
        <v>1379</v>
      </c>
      <c r="H269" s="48" t="s">
        <v>1379</v>
      </c>
      <c r="I269" s="49" t="s">
        <v>1379</v>
      </c>
      <c r="J269" s="47" t="s">
        <v>1379</v>
      </c>
      <c r="K269" s="47" t="s">
        <v>1379</v>
      </c>
      <c r="L269" s="45" t="s">
        <v>1379</v>
      </c>
      <c r="M269" s="50" t="s">
        <v>1379</v>
      </c>
      <c r="N269" s="47" t="s">
        <v>1379</v>
      </c>
      <c r="O269" s="45" t="s">
        <v>1379</v>
      </c>
      <c r="P269" s="45">
        <v>-10.750361111111111</v>
      </c>
      <c r="Q269" s="45">
        <v>-75.258722222222218</v>
      </c>
      <c r="R269" s="45" t="s">
        <v>1035</v>
      </c>
      <c r="S269" s="51" t="s">
        <v>1036</v>
      </c>
      <c r="U269" s="52"/>
    </row>
    <row r="270" spans="1:21" ht="17.25" customHeight="1" x14ac:dyDescent="0.3">
      <c r="A270" s="45">
        <v>269</v>
      </c>
      <c r="B270" s="53" t="s">
        <v>1379</v>
      </c>
      <c r="C270" s="47" t="s">
        <v>1379</v>
      </c>
      <c r="D270" s="47" t="s">
        <v>1379</v>
      </c>
      <c r="E270" s="47" t="s">
        <v>1379</v>
      </c>
      <c r="F270" s="47" t="s">
        <v>1379</v>
      </c>
      <c r="G270" s="45" t="s">
        <v>1379</v>
      </c>
      <c r="H270" s="48" t="s">
        <v>1379</v>
      </c>
      <c r="I270" s="49" t="s">
        <v>1379</v>
      </c>
      <c r="J270" s="47" t="s">
        <v>1379</v>
      </c>
      <c r="K270" s="47" t="s">
        <v>1379</v>
      </c>
      <c r="L270" s="45" t="s">
        <v>1379</v>
      </c>
      <c r="M270" s="50" t="s">
        <v>1379</v>
      </c>
      <c r="N270" s="47" t="s">
        <v>1379</v>
      </c>
      <c r="O270" s="45" t="s">
        <v>1379</v>
      </c>
      <c r="P270" s="45">
        <v>-10.723055555555556</v>
      </c>
      <c r="Q270" s="45">
        <v>-75.253611111111113</v>
      </c>
      <c r="R270" s="45" t="s">
        <v>1037</v>
      </c>
      <c r="S270" s="51" t="s">
        <v>1038</v>
      </c>
      <c r="U270" s="52"/>
    </row>
    <row r="271" spans="1:21" ht="17.25" customHeight="1" x14ac:dyDescent="0.3">
      <c r="A271" s="45">
        <v>270</v>
      </c>
      <c r="B271" s="53" t="s">
        <v>1379</v>
      </c>
      <c r="C271" s="47" t="s">
        <v>1379</v>
      </c>
      <c r="D271" s="47" t="s">
        <v>1379</v>
      </c>
      <c r="E271" s="47" t="s">
        <v>1379</v>
      </c>
      <c r="F271" s="47" t="s">
        <v>1379</v>
      </c>
      <c r="G271" s="45" t="s">
        <v>1379</v>
      </c>
      <c r="H271" s="48" t="s">
        <v>1379</v>
      </c>
      <c r="I271" s="49" t="s">
        <v>1379</v>
      </c>
      <c r="J271" s="47" t="s">
        <v>1379</v>
      </c>
      <c r="K271" s="47" t="s">
        <v>1379</v>
      </c>
      <c r="L271" s="45" t="s">
        <v>1379</v>
      </c>
      <c r="M271" s="50" t="s">
        <v>1379</v>
      </c>
      <c r="N271" s="47" t="s">
        <v>1379</v>
      </c>
      <c r="O271" s="45" t="s">
        <v>1379</v>
      </c>
      <c r="P271" s="45">
        <v>-3.803722222222222</v>
      </c>
      <c r="Q271" s="45">
        <v>-75.061833333333325</v>
      </c>
      <c r="R271" s="45" t="s">
        <v>1039</v>
      </c>
      <c r="S271" s="51" t="s">
        <v>1040</v>
      </c>
      <c r="U271" s="52"/>
    </row>
    <row r="272" spans="1:21" ht="17.25" customHeight="1" x14ac:dyDescent="0.3">
      <c r="A272" s="45">
        <v>271</v>
      </c>
      <c r="B272" s="53" t="s">
        <v>1379</v>
      </c>
      <c r="C272" s="47" t="s">
        <v>1379</v>
      </c>
      <c r="D272" s="47" t="s">
        <v>1379</v>
      </c>
      <c r="E272" s="47" t="s">
        <v>1379</v>
      </c>
      <c r="F272" s="47" t="s">
        <v>1379</v>
      </c>
      <c r="G272" s="45" t="s">
        <v>1379</v>
      </c>
      <c r="H272" s="48" t="s">
        <v>1379</v>
      </c>
      <c r="I272" s="49" t="s">
        <v>1379</v>
      </c>
      <c r="J272" s="47" t="s">
        <v>1379</v>
      </c>
      <c r="K272" s="47" t="s">
        <v>1379</v>
      </c>
      <c r="L272" s="45" t="s">
        <v>1379</v>
      </c>
      <c r="M272" s="50" t="s">
        <v>1379</v>
      </c>
      <c r="N272" s="47" t="s">
        <v>1379</v>
      </c>
      <c r="O272" s="45" t="s">
        <v>1379</v>
      </c>
      <c r="P272" s="45">
        <v>-12.77241388888889</v>
      </c>
      <c r="Q272" s="45">
        <v>-74.842772222222223</v>
      </c>
      <c r="R272" s="45" t="s">
        <v>1041</v>
      </c>
      <c r="S272" s="51" t="s">
        <v>1042</v>
      </c>
      <c r="U272" s="52"/>
    </row>
    <row r="273" spans="1:21" ht="17.25" customHeight="1" x14ac:dyDescent="0.3">
      <c r="A273" s="45">
        <v>272</v>
      </c>
      <c r="B273" s="53" t="s">
        <v>1379</v>
      </c>
      <c r="C273" s="47" t="s">
        <v>1379</v>
      </c>
      <c r="D273" s="47" t="s">
        <v>1379</v>
      </c>
      <c r="E273" s="47" t="s">
        <v>1379</v>
      </c>
      <c r="F273" s="47" t="s">
        <v>1379</v>
      </c>
      <c r="G273" s="45" t="s">
        <v>1379</v>
      </c>
      <c r="H273" s="48" t="s">
        <v>1379</v>
      </c>
      <c r="I273" s="49" t="s">
        <v>1379</v>
      </c>
      <c r="J273" s="47" t="s">
        <v>1379</v>
      </c>
      <c r="K273" s="47" t="s">
        <v>1379</v>
      </c>
      <c r="L273" s="45" t="s">
        <v>1379</v>
      </c>
      <c r="M273" s="50" t="s">
        <v>1379</v>
      </c>
      <c r="N273" s="47" t="s">
        <v>1379</v>
      </c>
      <c r="O273" s="45" t="s">
        <v>1379</v>
      </c>
      <c r="P273" s="45">
        <v>-12.460574999999999</v>
      </c>
      <c r="Q273" s="45">
        <v>-75.916388888888889</v>
      </c>
      <c r="R273" s="45" t="s">
        <v>1043</v>
      </c>
      <c r="S273" s="51" t="s">
        <v>1044</v>
      </c>
      <c r="U273" s="52"/>
    </row>
    <row r="274" spans="1:21" ht="17.25" customHeight="1" x14ac:dyDescent="0.3">
      <c r="A274" s="45">
        <v>273</v>
      </c>
      <c r="B274" s="53" t="s">
        <v>1379</v>
      </c>
      <c r="C274" s="47" t="s">
        <v>1379</v>
      </c>
      <c r="D274" s="47" t="s">
        <v>1379</v>
      </c>
      <c r="E274" s="47" t="s">
        <v>1379</v>
      </c>
      <c r="F274" s="47" t="s">
        <v>1379</v>
      </c>
      <c r="G274" s="45" t="s">
        <v>1379</v>
      </c>
      <c r="H274" s="48" t="s">
        <v>1379</v>
      </c>
      <c r="I274" s="49" t="s">
        <v>1379</v>
      </c>
      <c r="J274" s="47" t="s">
        <v>1379</v>
      </c>
      <c r="K274" s="47" t="s">
        <v>1379</v>
      </c>
      <c r="L274" s="45" t="s">
        <v>1379</v>
      </c>
      <c r="M274" s="50" t="s">
        <v>1379</v>
      </c>
      <c r="N274" s="47" t="s">
        <v>1379</v>
      </c>
      <c r="O274" s="45" t="s">
        <v>1379</v>
      </c>
      <c r="P274" s="45">
        <v>-12.460574999999999</v>
      </c>
      <c r="Q274" s="45">
        <v>-75.916388888888889</v>
      </c>
      <c r="R274" s="45" t="s">
        <v>1043</v>
      </c>
      <c r="S274" s="51" t="s">
        <v>1045</v>
      </c>
      <c r="U274" s="52"/>
    </row>
    <row r="275" spans="1:21" ht="17.25" customHeight="1" x14ac:dyDescent="0.3">
      <c r="A275" s="45">
        <v>274</v>
      </c>
      <c r="B275" s="53" t="s">
        <v>1379</v>
      </c>
      <c r="C275" s="47" t="s">
        <v>1379</v>
      </c>
      <c r="D275" s="47" t="s">
        <v>1379</v>
      </c>
      <c r="E275" s="47" t="s">
        <v>1379</v>
      </c>
      <c r="F275" s="47" t="s">
        <v>1379</v>
      </c>
      <c r="G275" s="45" t="s">
        <v>1379</v>
      </c>
      <c r="H275" s="48" t="s">
        <v>1379</v>
      </c>
      <c r="I275" s="49" t="s">
        <v>1379</v>
      </c>
      <c r="J275" s="47" t="s">
        <v>1379</v>
      </c>
      <c r="K275" s="47" t="s">
        <v>1379</v>
      </c>
      <c r="L275" s="45" t="s">
        <v>1379</v>
      </c>
      <c r="M275" s="50" t="s">
        <v>1379</v>
      </c>
      <c r="N275" s="47" t="s">
        <v>1379</v>
      </c>
      <c r="O275" s="45" t="s">
        <v>1379</v>
      </c>
      <c r="P275" s="45">
        <v>-4.2233333333333336</v>
      </c>
      <c r="Q275" s="45">
        <v>-69.958472222222227</v>
      </c>
      <c r="R275" s="45" t="s">
        <v>1046</v>
      </c>
      <c r="S275" s="51" t="s">
        <v>1047</v>
      </c>
      <c r="U275" s="52"/>
    </row>
    <row r="276" spans="1:21" ht="17.25" customHeight="1" x14ac:dyDescent="0.3">
      <c r="A276" s="45">
        <v>275</v>
      </c>
      <c r="B276" s="53" t="s">
        <v>1379</v>
      </c>
      <c r="C276" s="47" t="s">
        <v>1379</v>
      </c>
      <c r="D276" s="47" t="s">
        <v>1379</v>
      </c>
      <c r="E276" s="47" t="s">
        <v>1379</v>
      </c>
      <c r="F276" s="47" t="s">
        <v>1379</v>
      </c>
      <c r="G276" s="45" t="s">
        <v>1379</v>
      </c>
      <c r="H276" s="48" t="s">
        <v>1379</v>
      </c>
      <c r="I276" s="49" t="s">
        <v>1379</v>
      </c>
      <c r="J276" s="47" t="s">
        <v>1379</v>
      </c>
      <c r="K276" s="47" t="s">
        <v>1379</v>
      </c>
      <c r="L276" s="45" t="s">
        <v>1379</v>
      </c>
      <c r="M276" s="50" t="s">
        <v>1379</v>
      </c>
      <c r="N276" s="47" t="s">
        <v>1379</v>
      </c>
      <c r="O276" s="45" t="s">
        <v>1379</v>
      </c>
      <c r="P276" s="45">
        <v>-5.9070138888888897</v>
      </c>
      <c r="Q276" s="45">
        <v>-76.109888888888889</v>
      </c>
      <c r="R276" s="45" t="s">
        <v>1048</v>
      </c>
      <c r="S276" s="51" t="s">
        <v>1049</v>
      </c>
      <c r="U276" s="52"/>
    </row>
    <row r="277" spans="1:21" ht="17.25" customHeight="1" x14ac:dyDescent="0.3">
      <c r="A277" s="45">
        <v>276</v>
      </c>
      <c r="B277" s="54" t="s">
        <v>1379</v>
      </c>
      <c r="C277" s="47" t="s">
        <v>1379</v>
      </c>
      <c r="D277" s="47" t="s">
        <v>1379</v>
      </c>
      <c r="E277" s="47" t="s">
        <v>1379</v>
      </c>
      <c r="F277" s="47" t="s">
        <v>1379</v>
      </c>
      <c r="G277" s="45" t="s">
        <v>1379</v>
      </c>
      <c r="H277" s="48" t="s">
        <v>1379</v>
      </c>
      <c r="I277" s="49" t="s">
        <v>1379</v>
      </c>
      <c r="J277" s="47" t="s">
        <v>1379</v>
      </c>
      <c r="K277" s="47" t="s">
        <v>1379</v>
      </c>
      <c r="L277" s="50" t="s">
        <v>1379</v>
      </c>
      <c r="M277" s="50" t="s">
        <v>1379</v>
      </c>
      <c r="N277" s="47" t="s">
        <v>1379</v>
      </c>
      <c r="O277" s="45" t="s">
        <v>1379</v>
      </c>
      <c r="P277" s="45">
        <v>-13.620391666666666</v>
      </c>
      <c r="Q277" s="45">
        <v>-72.884002777777781</v>
      </c>
      <c r="R277" s="45" t="s">
        <v>1050</v>
      </c>
      <c r="S277" s="51" t="s">
        <v>1051</v>
      </c>
      <c r="U277" s="52"/>
    </row>
    <row r="278" spans="1:21" ht="17.25" customHeight="1" x14ac:dyDescent="0.3">
      <c r="A278" s="45">
        <v>277</v>
      </c>
      <c r="B278" s="54" t="s">
        <v>1379</v>
      </c>
      <c r="C278" s="47" t="s">
        <v>1379</v>
      </c>
      <c r="D278" s="47" t="s">
        <v>1379</v>
      </c>
      <c r="E278" s="47" t="s">
        <v>1379</v>
      </c>
      <c r="F278" s="47" t="s">
        <v>1379</v>
      </c>
      <c r="G278" s="45" t="s">
        <v>1379</v>
      </c>
      <c r="H278" s="48" t="s">
        <v>1379</v>
      </c>
      <c r="I278" s="49" t="s">
        <v>1379</v>
      </c>
      <c r="J278" s="47" t="s">
        <v>1379</v>
      </c>
      <c r="K278" s="47" t="s">
        <v>1379</v>
      </c>
      <c r="L278" s="50" t="s">
        <v>1379</v>
      </c>
      <c r="M278" s="50" t="s">
        <v>1379</v>
      </c>
      <c r="N278" s="47" t="s">
        <v>1379</v>
      </c>
      <c r="O278" s="45" t="s">
        <v>1379</v>
      </c>
      <c r="P278" s="45">
        <v>-13.620391666666666</v>
      </c>
      <c r="Q278" s="45">
        <v>-72.884002777777781</v>
      </c>
      <c r="R278" s="45" t="s">
        <v>1050</v>
      </c>
      <c r="S278" s="51" t="s">
        <v>1052</v>
      </c>
      <c r="U278" s="52"/>
    </row>
    <row r="279" spans="1:21" ht="17.25" customHeight="1" x14ac:dyDescent="0.3">
      <c r="A279" s="45">
        <v>278</v>
      </c>
      <c r="B279" s="54" t="s">
        <v>1379</v>
      </c>
      <c r="C279" s="47" t="s">
        <v>1379</v>
      </c>
      <c r="D279" s="47" t="s">
        <v>1379</v>
      </c>
      <c r="E279" s="47" t="s">
        <v>1379</v>
      </c>
      <c r="F279" s="47" t="s">
        <v>1379</v>
      </c>
      <c r="G279" s="45" t="s">
        <v>1379</v>
      </c>
      <c r="H279" s="48" t="s">
        <v>1379</v>
      </c>
      <c r="I279" s="49" t="s">
        <v>1379</v>
      </c>
      <c r="J279" s="47" t="s">
        <v>1379</v>
      </c>
      <c r="K279" s="47" t="s">
        <v>1379</v>
      </c>
      <c r="L279" s="50" t="s">
        <v>1379</v>
      </c>
      <c r="M279" s="50" t="s">
        <v>1379</v>
      </c>
      <c r="N279" s="47" t="s">
        <v>1379</v>
      </c>
      <c r="O279" s="45" t="s">
        <v>1379</v>
      </c>
      <c r="P279" s="45">
        <v>-15.459024999999999</v>
      </c>
      <c r="Q279" s="45">
        <v>-74.674888888888887</v>
      </c>
      <c r="R279" s="45" t="s">
        <v>1053</v>
      </c>
      <c r="S279" s="51" t="s">
        <v>1054</v>
      </c>
      <c r="U279" s="52"/>
    </row>
    <row r="280" spans="1:21" ht="17.25" customHeight="1" x14ac:dyDescent="0.3">
      <c r="A280" s="45">
        <v>279</v>
      </c>
      <c r="B280" s="54" t="s">
        <v>1379</v>
      </c>
      <c r="C280" s="47" t="s">
        <v>1379</v>
      </c>
      <c r="D280" s="47" t="s">
        <v>1379</v>
      </c>
      <c r="E280" s="47" t="s">
        <v>1379</v>
      </c>
      <c r="F280" s="47" t="s">
        <v>1379</v>
      </c>
      <c r="G280" s="45" t="s">
        <v>1379</v>
      </c>
      <c r="H280" s="48" t="s">
        <v>1379</v>
      </c>
      <c r="I280" s="49" t="s">
        <v>1379</v>
      </c>
      <c r="J280" s="47" t="s">
        <v>1379</v>
      </c>
      <c r="K280" s="47" t="s">
        <v>1379</v>
      </c>
      <c r="L280" s="50" t="s">
        <v>1379</v>
      </c>
      <c r="M280" s="50" t="s">
        <v>1379</v>
      </c>
      <c r="N280" s="47" t="s">
        <v>1379</v>
      </c>
      <c r="O280" s="45" t="s">
        <v>1379</v>
      </c>
      <c r="P280" s="45">
        <v>-12.12113888888889</v>
      </c>
      <c r="Q280" s="45">
        <v>-69.117944444444433</v>
      </c>
      <c r="R280" s="45" t="s">
        <v>1055</v>
      </c>
      <c r="S280" s="51" t="s">
        <v>1056</v>
      </c>
      <c r="U280" s="52"/>
    </row>
    <row r="281" spans="1:21" ht="17.25" customHeight="1" x14ac:dyDescent="0.3">
      <c r="A281" s="45">
        <v>280</v>
      </c>
      <c r="B281" s="54" t="s">
        <v>1379</v>
      </c>
      <c r="C281" s="47" t="s">
        <v>1379</v>
      </c>
      <c r="D281" s="47" t="s">
        <v>1379</v>
      </c>
      <c r="E281" s="47" t="s">
        <v>1379</v>
      </c>
      <c r="F281" s="47" t="s">
        <v>1379</v>
      </c>
      <c r="G281" s="45" t="s">
        <v>1379</v>
      </c>
      <c r="H281" s="48" t="s">
        <v>1379</v>
      </c>
      <c r="I281" s="49" t="s">
        <v>1379</v>
      </c>
      <c r="J281" s="47" t="s">
        <v>1379</v>
      </c>
      <c r="K281" s="47" t="s">
        <v>1379</v>
      </c>
      <c r="L281" s="50" t="s">
        <v>1379</v>
      </c>
      <c r="M281" s="50" t="s">
        <v>1379</v>
      </c>
      <c r="N281" s="47" t="s">
        <v>1379</v>
      </c>
      <c r="O281" s="45" t="s">
        <v>1379</v>
      </c>
      <c r="P281" s="45">
        <v>-11.6615</v>
      </c>
      <c r="Q281" s="45">
        <v>-69.235194444444446</v>
      </c>
      <c r="R281" s="45" t="s">
        <v>1057</v>
      </c>
      <c r="S281" s="51" t="s">
        <v>1058</v>
      </c>
      <c r="U281" s="52"/>
    </row>
    <row r="282" spans="1:21" ht="17.25" customHeight="1" x14ac:dyDescent="0.3">
      <c r="A282" s="45">
        <v>281</v>
      </c>
      <c r="B282" s="54" t="s">
        <v>1379</v>
      </c>
      <c r="C282" s="47" t="s">
        <v>1379</v>
      </c>
      <c r="D282" s="47" t="s">
        <v>1379</v>
      </c>
      <c r="E282" s="47" t="s">
        <v>1379</v>
      </c>
      <c r="F282" s="47" t="s">
        <v>1379</v>
      </c>
      <c r="G282" s="45" t="s">
        <v>1379</v>
      </c>
      <c r="H282" s="48" t="s">
        <v>1379</v>
      </c>
      <c r="I282" s="49" t="s">
        <v>1379</v>
      </c>
      <c r="J282" s="47" t="s">
        <v>1379</v>
      </c>
      <c r="K282" s="47" t="s">
        <v>1379</v>
      </c>
      <c r="L282" s="50" t="s">
        <v>1379</v>
      </c>
      <c r="M282" s="50" t="s">
        <v>1379</v>
      </c>
      <c r="N282" s="47" t="s">
        <v>1379</v>
      </c>
      <c r="O282" s="45" t="s">
        <v>1379</v>
      </c>
      <c r="P282" s="45">
        <v>-14.633105555555556</v>
      </c>
      <c r="Q282" s="45">
        <v>-69.443877777777786</v>
      </c>
      <c r="R282" s="45" t="s">
        <v>1059</v>
      </c>
      <c r="S282" s="51" t="s">
        <v>1060</v>
      </c>
      <c r="U282" s="52"/>
    </row>
    <row r="283" spans="1:21" ht="17.25" customHeight="1" x14ac:dyDescent="0.3">
      <c r="A283" s="45">
        <v>282</v>
      </c>
      <c r="B283" s="54" t="s">
        <v>1379</v>
      </c>
      <c r="C283" s="47" t="s">
        <v>1379</v>
      </c>
      <c r="D283" s="47" t="s">
        <v>1379</v>
      </c>
      <c r="E283" s="47" t="s">
        <v>1379</v>
      </c>
      <c r="F283" s="47" t="s">
        <v>1379</v>
      </c>
      <c r="G283" s="45" t="s">
        <v>1379</v>
      </c>
      <c r="H283" s="48" t="s">
        <v>1379</v>
      </c>
      <c r="I283" s="49" t="s">
        <v>1379</v>
      </c>
      <c r="J283" s="47" t="s">
        <v>1379</v>
      </c>
      <c r="K283" s="47" t="s">
        <v>1379</v>
      </c>
      <c r="L283" s="50" t="s">
        <v>1379</v>
      </c>
      <c r="M283" s="50" t="s">
        <v>1379</v>
      </c>
      <c r="N283" s="47" t="s">
        <v>1379</v>
      </c>
      <c r="O283" s="45" t="s">
        <v>1379</v>
      </c>
      <c r="P283" s="45">
        <v>-15.496366666666665</v>
      </c>
      <c r="Q283" s="45">
        <v>-72.357172222222218</v>
      </c>
      <c r="R283" s="45" t="s">
        <v>1061</v>
      </c>
      <c r="S283" s="51" t="s">
        <v>1062</v>
      </c>
      <c r="U283" s="52"/>
    </row>
    <row r="284" spans="1:21" ht="17.25" customHeight="1" x14ac:dyDescent="0.3">
      <c r="A284" s="45">
        <v>283</v>
      </c>
      <c r="B284" s="54" t="s">
        <v>1379</v>
      </c>
      <c r="C284" s="47" t="s">
        <v>1379</v>
      </c>
      <c r="D284" s="47" t="s">
        <v>1379</v>
      </c>
      <c r="E284" s="47" t="s">
        <v>1379</v>
      </c>
      <c r="F284" s="47" t="s">
        <v>1379</v>
      </c>
      <c r="G284" s="45" t="s">
        <v>1379</v>
      </c>
      <c r="H284" s="48" t="s">
        <v>1379</v>
      </c>
      <c r="I284" s="49" t="s">
        <v>1379</v>
      </c>
      <c r="J284" s="47" t="s">
        <v>1379</v>
      </c>
      <c r="K284" s="47" t="s">
        <v>1379</v>
      </c>
      <c r="L284" s="50" t="s">
        <v>1379</v>
      </c>
      <c r="M284" s="50" t="s">
        <v>1379</v>
      </c>
      <c r="N284" s="47" t="s">
        <v>1379</v>
      </c>
      <c r="O284" s="45" t="s">
        <v>1379</v>
      </c>
      <c r="P284" s="45">
        <v>-13.661388888888888</v>
      </c>
      <c r="Q284" s="45">
        <v>-73.38644444444445</v>
      </c>
      <c r="R284" s="45" t="s">
        <v>1063</v>
      </c>
      <c r="S284" s="51" t="s">
        <v>1064</v>
      </c>
      <c r="U284" s="52"/>
    </row>
    <row r="285" spans="1:21" ht="17.25" customHeight="1" x14ac:dyDescent="0.3">
      <c r="A285" s="45">
        <v>284</v>
      </c>
      <c r="B285" s="54" t="s">
        <v>1379</v>
      </c>
      <c r="C285" s="47" t="s">
        <v>1379</v>
      </c>
      <c r="D285" s="47" t="s">
        <v>1379</v>
      </c>
      <c r="E285" s="47" t="s">
        <v>1379</v>
      </c>
      <c r="F285" s="47" t="s">
        <v>1379</v>
      </c>
      <c r="G285" s="45" t="s">
        <v>1379</v>
      </c>
      <c r="H285" s="48" t="s">
        <v>1379</v>
      </c>
      <c r="I285" s="49" t="s">
        <v>1379</v>
      </c>
      <c r="J285" s="47" t="s">
        <v>1379</v>
      </c>
      <c r="K285" s="47" t="s">
        <v>1379</v>
      </c>
      <c r="L285" s="50" t="s">
        <v>1379</v>
      </c>
      <c r="M285" s="50" t="s">
        <v>1379</v>
      </c>
      <c r="N285" s="47" t="s">
        <v>1379</v>
      </c>
      <c r="O285" s="45" t="s">
        <v>1379</v>
      </c>
      <c r="P285" s="45">
        <v>-13.658611111111112</v>
      </c>
      <c r="Q285" s="45">
        <v>-73.382777777777775</v>
      </c>
      <c r="R285" s="45" t="s">
        <v>1065</v>
      </c>
      <c r="S285" s="51" t="s">
        <v>1066</v>
      </c>
      <c r="U285" s="52"/>
    </row>
    <row r="286" spans="1:21" ht="17.25" customHeight="1" x14ac:dyDescent="0.3">
      <c r="A286" s="45">
        <v>285</v>
      </c>
      <c r="B286" s="54" t="s">
        <v>1379</v>
      </c>
      <c r="C286" s="47" t="s">
        <v>1379</v>
      </c>
      <c r="D286" s="47" t="s">
        <v>1379</v>
      </c>
      <c r="E286" s="47" t="s">
        <v>1379</v>
      </c>
      <c r="F286" s="47" t="s">
        <v>1379</v>
      </c>
      <c r="G286" s="45" t="s">
        <v>1379</v>
      </c>
      <c r="H286" s="48" t="s">
        <v>1379</v>
      </c>
      <c r="I286" s="49" t="s">
        <v>1379</v>
      </c>
      <c r="J286" s="47" t="s">
        <v>1379</v>
      </c>
      <c r="K286" s="47" t="s">
        <v>1379</v>
      </c>
      <c r="L286" s="50" t="s">
        <v>1379</v>
      </c>
      <c r="M286" s="50" t="s">
        <v>1379</v>
      </c>
      <c r="N286" s="47" t="s">
        <v>1379</v>
      </c>
      <c r="O286" s="45" t="s">
        <v>1379</v>
      </c>
      <c r="P286" s="45">
        <v>-13.464611111111111</v>
      </c>
      <c r="Q286" s="45">
        <v>-72.149388888888893</v>
      </c>
      <c r="R286" s="51" t="s">
        <v>1067</v>
      </c>
      <c r="S286" s="51" t="s">
        <v>1068</v>
      </c>
      <c r="U286" s="52"/>
    </row>
    <row r="287" spans="1:21" ht="17.25" customHeight="1" x14ac:dyDescent="0.3">
      <c r="A287" s="45">
        <v>286</v>
      </c>
      <c r="B287" s="54" t="s">
        <v>1379</v>
      </c>
      <c r="C287" s="47" t="s">
        <v>1379</v>
      </c>
      <c r="D287" s="47" t="s">
        <v>1379</v>
      </c>
      <c r="E287" s="47" t="s">
        <v>1379</v>
      </c>
      <c r="F287" s="47" t="s">
        <v>1379</v>
      </c>
      <c r="G287" s="45" t="s">
        <v>1379</v>
      </c>
      <c r="H287" s="48" t="s">
        <v>1379</v>
      </c>
      <c r="I287" s="49" t="s">
        <v>1379</v>
      </c>
      <c r="J287" s="47" t="s">
        <v>1379</v>
      </c>
      <c r="K287" s="47" t="s">
        <v>1379</v>
      </c>
      <c r="L287" s="50" t="s">
        <v>1379</v>
      </c>
      <c r="M287" s="50" t="s">
        <v>1379</v>
      </c>
      <c r="N287" s="47" t="s">
        <v>1379</v>
      </c>
      <c r="O287" s="45" t="s">
        <v>1379</v>
      </c>
      <c r="P287" s="45">
        <v>-14.369227777777779</v>
      </c>
      <c r="Q287" s="45">
        <v>-72.871347222222212</v>
      </c>
      <c r="R287" s="45" t="s">
        <v>1069</v>
      </c>
      <c r="S287" s="51" t="s">
        <v>1070</v>
      </c>
      <c r="U287" s="52"/>
    </row>
    <row r="288" spans="1:21" ht="17.25" customHeight="1" x14ac:dyDescent="0.3">
      <c r="A288" s="45">
        <v>287</v>
      </c>
      <c r="B288" s="54" t="s">
        <v>1379</v>
      </c>
      <c r="C288" s="47" t="s">
        <v>1379</v>
      </c>
      <c r="D288" s="47" t="s">
        <v>1379</v>
      </c>
      <c r="E288" s="47" t="s">
        <v>1379</v>
      </c>
      <c r="F288" s="47" t="s">
        <v>1379</v>
      </c>
      <c r="G288" s="45" t="s">
        <v>1379</v>
      </c>
      <c r="H288" s="48" t="s">
        <v>1379</v>
      </c>
      <c r="I288" s="49" t="s">
        <v>1379</v>
      </c>
      <c r="J288" s="47" t="s">
        <v>1379</v>
      </c>
      <c r="K288" s="47" t="s">
        <v>1379</v>
      </c>
      <c r="L288" s="50" t="s">
        <v>1379</v>
      </c>
      <c r="M288" s="50" t="s">
        <v>1379</v>
      </c>
      <c r="N288" s="47" t="s">
        <v>1379</v>
      </c>
      <c r="O288" s="45" t="s">
        <v>1379</v>
      </c>
      <c r="P288" s="45">
        <v>-14.369222222222223</v>
      </c>
      <c r="Q288" s="45">
        <v>-72.871416666666661</v>
      </c>
      <c r="R288" s="45" t="s">
        <v>1071</v>
      </c>
      <c r="S288" s="51" t="s">
        <v>1072</v>
      </c>
      <c r="U288" s="52"/>
    </row>
    <row r="289" spans="1:21" ht="17.25" customHeight="1" x14ac:dyDescent="0.3">
      <c r="A289" s="45">
        <v>288</v>
      </c>
      <c r="B289" s="54" t="s">
        <v>1379</v>
      </c>
      <c r="C289" s="47" t="s">
        <v>1379</v>
      </c>
      <c r="D289" s="47" t="s">
        <v>1379</v>
      </c>
      <c r="E289" s="47" t="s">
        <v>1379</v>
      </c>
      <c r="F289" s="47" t="s">
        <v>1379</v>
      </c>
      <c r="G289" s="45" t="s">
        <v>1379</v>
      </c>
      <c r="H289" s="48" t="s">
        <v>1379</v>
      </c>
      <c r="I289" s="49" t="s">
        <v>1379</v>
      </c>
      <c r="J289" s="47" t="s">
        <v>1379</v>
      </c>
      <c r="K289" s="47" t="s">
        <v>1379</v>
      </c>
      <c r="L289" s="50" t="s">
        <v>1379</v>
      </c>
      <c r="M289" s="50" t="s">
        <v>1379</v>
      </c>
      <c r="N289" s="47" t="s">
        <v>1379</v>
      </c>
      <c r="O289" s="45" t="s">
        <v>1379</v>
      </c>
      <c r="P289" s="45">
        <v>-16.075849999999999</v>
      </c>
      <c r="Q289" s="45">
        <v>-72.496161111111107</v>
      </c>
      <c r="R289" s="45" t="s">
        <v>1073</v>
      </c>
      <c r="S289" s="51" t="s">
        <v>1074</v>
      </c>
      <c r="U289" s="52"/>
    </row>
    <row r="290" spans="1:21" ht="17.25" customHeight="1" x14ac:dyDescent="0.3">
      <c r="A290" s="45">
        <v>289</v>
      </c>
      <c r="B290" s="54" t="s">
        <v>1379</v>
      </c>
      <c r="C290" s="47" t="s">
        <v>1379</v>
      </c>
      <c r="D290" s="47" t="s">
        <v>1379</v>
      </c>
      <c r="E290" s="47" t="s">
        <v>1379</v>
      </c>
      <c r="F290" s="47" t="s">
        <v>1379</v>
      </c>
      <c r="G290" s="45" t="s">
        <v>1379</v>
      </c>
      <c r="H290" s="48" t="s">
        <v>1379</v>
      </c>
      <c r="I290" s="49" t="s">
        <v>1379</v>
      </c>
      <c r="J290" s="47" t="s">
        <v>1379</v>
      </c>
      <c r="K290" s="47" t="s">
        <v>1379</v>
      </c>
      <c r="L290" s="50" t="s">
        <v>1379</v>
      </c>
      <c r="M290" s="50" t="s">
        <v>1379</v>
      </c>
      <c r="N290" s="47" t="s">
        <v>1379</v>
      </c>
      <c r="O290" s="45" t="s">
        <v>1379</v>
      </c>
      <c r="P290" s="45">
        <v>-16.404583333333331</v>
      </c>
      <c r="Q290" s="45">
        <v>-71.582027777777768</v>
      </c>
      <c r="R290" s="45" t="s">
        <v>1075</v>
      </c>
      <c r="S290" s="51" t="s">
        <v>1076</v>
      </c>
      <c r="U290" s="52"/>
    </row>
    <row r="291" spans="1:21" ht="17.25" customHeight="1" x14ac:dyDescent="0.3">
      <c r="A291" s="45">
        <v>290</v>
      </c>
      <c r="B291" s="54" t="s">
        <v>1379</v>
      </c>
      <c r="C291" s="47" t="s">
        <v>1379</v>
      </c>
      <c r="D291" s="47" t="s">
        <v>1379</v>
      </c>
      <c r="E291" s="47" t="s">
        <v>1379</v>
      </c>
      <c r="F291" s="47" t="s">
        <v>1379</v>
      </c>
      <c r="G291" s="45" t="s">
        <v>1379</v>
      </c>
      <c r="H291" s="48" t="s">
        <v>1379</v>
      </c>
      <c r="I291" s="49" t="s">
        <v>1379</v>
      </c>
      <c r="J291" s="47" t="s">
        <v>1379</v>
      </c>
      <c r="K291" s="47" t="s">
        <v>1379</v>
      </c>
      <c r="L291" s="50" t="s">
        <v>1379</v>
      </c>
      <c r="M291" s="50" t="s">
        <v>1379</v>
      </c>
      <c r="N291" s="47" t="s">
        <v>1379</v>
      </c>
      <c r="O291" s="45" t="s">
        <v>1379</v>
      </c>
      <c r="P291" s="45">
        <v>-16.404583333333331</v>
      </c>
      <c r="Q291" s="45">
        <v>-71.582027777777768</v>
      </c>
      <c r="R291" s="45" t="s">
        <v>1075</v>
      </c>
      <c r="S291" s="51" t="s">
        <v>1077</v>
      </c>
      <c r="U291" s="52"/>
    </row>
    <row r="292" spans="1:21" ht="17.25" customHeight="1" x14ac:dyDescent="0.3">
      <c r="A292" s="45">
        <v>291</v>
      </c>
      <c r="B292" s="54" t="s">
        <v>1379</v>
      </c>
      <c r="C292" s="47" t="s">
        <v>1379</v>
      </c>
      <c r="D292" s="47" t="s">
        <v>1379</v>
      </c>
      <c r="E292" s="47" t="s">
        <v>1379</v>
      </c>
      <c r="F292" s="47" t="s">
        <v>1379</v>
      </c>
      <c r="G292" s="45" t="s">
        <v>1379</v>
      </c>
      <c r="H292" s="48" t="s">
        <v>1379</v>
      </c>
      <c r="I292" s="49" t="s">
        <v>1379</v>
      </c>
      <c r="J292" s="47" t="s">
        <v>1379</v>
      </c>
      <c r="K292" s="47" t="s">
        <v>1379</v>
      </c>
      <c r="L292" s="50" t="s">
        <v>1379</v>
      </c>
      <c r="M292" s="50" t="s">
        <v>1379</v>
      </c>
      <c r="N292" s="47" t="s">
        <v>1379</v>
      </c>
      <c r="O292" s="45" t="s">
        <v>1379</v>
      </c>
      <c r="P292" s="45">
        <v>-16.393694444444446</v>
      </c>
      <c r="Q292" s="45">
        <v>-71.523416666666662</v>
      </c>
      <c r="R292" s="45" t="s">
        <v>1078</v>
      </c>
      <c r="S292" s="51" t="s">
        <v>1079</v>
      </c>
      <c r="U292" s="52"/>
    </row>
    <row r="293" spans="1:21" ht="17.25" customHeight="1" x14ac:dyDescent="0.3">
      <c r="A293" s="45">
        <v>292</v>
      </c>
      <c r="B293" s="54" t="s">
        <v>1379</v>
      </c>
      <c r="C293" s="47" t="s">
        <v>1379</v>
      </c>
      <c r="D293" s="47" t="s">
        <v>1379</v>
      </c>
      <c r="E293" s="47" t="s">
        <v>1379</v>
      </c>
      <c r="F293" s="47" t="s">
        <v>1379</v>
      </c>
      <c r="G293" s="45" t="s">
        <v>1379</v>
      </c>
      <c r="H293" s="48" t="s">
        <v>1379</v>
      </c>
      <c r="I293" s="49" t="s">
        <v>1379</v>
      </c>
      <c r="J293" s="47" t="s">
        <v>1379</v>
      </c>
      <c r="K293" s="47" t="s">
        <v>1379</v>
      </c>
      <c r="L293" s="50" t="s">
        <v>1379</v>
      </c>
      <c r="M293" s="50" t="s">
        <v>1379</v>
      </c>
      <c r="N293" s="47" t="s">
        <v>1379</v>
      </c>
      <c r="O293" s="45" t="s">
        <v>1379</v>
      </c>
      <c r="P293" s="45">
        <v>-16.393694444444446</v>
      </c>
      <c r="Q293" s="45">
        <v>-71.523416666666662</v>
      </c>
      <c r="R293" s="45" t="s">
        <v>1078</v>
      </c>
      <c r="S293" s="51" t="s">
        <v>1080</v>
      </c>
      <c r="U293" s="52"/>
    </row>
    <row r="294" spans="1:21" ht="17.25" customHeight="1" x14ac:dyDescent="0.3">
      <c r="A294" s="45">
        <v>293</v>
      </c>
      <c r="B294" s="54" t="s">
        <v>1379</v>
      </c>
      <c r="C294" s="47" t="s">
        <v>1379</v>
      </c>
      <c r="D294" s="47" t="s">
        <v>1379</v>
      </c>
      <c r="E294" s="47" t="s">
        <v>1379</v>
      </c>
      <c r="F294" s="47" t="s">
        <v>1379</v>
      </c>
      <c r="G294" s="45" t="s">
        <v>1379</v>
      </c>
      <c r="H294" s="48" t="s">
        <v>1379</v>
      </c>
      <c r="I294" s="49" t="s">
        <v>1379</v>
      </c>
      <c r="J294" s="47" t="s">
        <v>1379</v>
      </c>
      <c r="K294" s="47" t="s">
        <v>1379</v>
      </c>
      <c r="L294" s="50" t="s">
        <v>1379</v>
      </c>
      <c r="M294" s="50" t="s">
        <v>1379</v>
      </c>
      <c r="N294" s="47" t="s">
        <v>1379</v>
      </c>
      <c r="O294" s="45" t="s">
        <v>1379</v>
      </c>
      <c r="P294" s="45">
        <v>-16.224658333333331</v>
      </c>
      <c r="Q294" s="45">
        <v>-73.612294444444444</v>
      </c>
      <c r="R294" s="45" t="s">
        <v>1081</v>
      </c>
      <c r="S294" s="51" t="s">
        <v>1082</v>
      </c>
      <c r="U294" s="52"/>
    </row>
    <row r="295" spans="1:21" ht="17.25" customHeight="1" x14ac:dyDescent="0.3">
      <c r="A295" s="45">
        <v>294</v>
      </c>
      <c r="B295" s="54" t="s">
        <v>1379</v>
      </c>
      <c r="C295" s="47" t="s">
        <v>1379</v>
      </c>
      <c r="D295" s="47" t="s">
        <v>1379</v>
      </c>
      <c r="E295" s="47" t="s">
        <v>1379</v>
      </c>
      <c r="F295" s="47" t="s">
        <v>1379</v>
      </c>
      <c r="G295" s="45" t="s">
        <v>1379</v>
      </c>
      <c r="H295" s="48" t="s">
        <v>1379</v>
      </c>
      <c r="I295" s="49" t="s">
        <v>1379</v>
      </c>
      <c r="J295" s="47" t="s">
        <v>1379</v>
      </c>
      <c r="K295" s="47" t="s">
        <v>1379</v>
      </c>
      <c r="L295" s="50" t="s">
        <v>1379</v>
      </c>
      <c r="M295" s="50" t="s">
        <v>1379</v>
      </c>
      <c r="N295" s="47" t="s">
        <v>1379</v>
      </c>
      <c r="O295" s="45" t="s">
        <v>1379</v>
      </c>
      <c r="P295" s="45">
        <v>-13.774222222222223</v>
      </c>
      <c r="Q295" s="45">
        <v>-70.31894444444444</v>
      </c>
      <c r="R295" s="45" t="s">
        <v>1083</v>
      </c>
      <c r="S295" s="51" t="s">
        <v>1084</v>
      </c>
      <c r="U295" s="52"/>
    </row>
    <row r="296" spans="1:21" ht="17.25" customHeight="1" x14ac:dyDescent="0.3">
      <c r="A296" s="45">
        <v>295</v>
      </c>
      <c r="B296" s="54" t="s">
        <v>1379</v>
      </c>
      <c r="C296" s="47" t="s">
        <v>1379</v>
      </c>
      <c r="D296" s="47" t="s">
        <v>1379</v>
      </c>
      <c r="E296" s="47" t="s">
        <v>1379</v>
      </c>
      <c r="F296" s="47" t="s">
        <v>1379</v>
      </c>
      <c r="G296" s="45" t="s">
        <v>1379</v>
      </c>
      <c r="H296" s="48" t="s">
        <v>1379</v>
      </c>
      <c r="I296" s="49" t="s">
        <v>1379</v>
      </c>
      <c r="J296" s="47" t="s">
        <v>1379</v>
      </c>
      <c r="K296" s="47" t="s">
        <v>1379</v>
      </c>
      <c r="L296" s="50" t="s">
        <v>1379</v>
      </c>
      <c r="M296" s="50" t="s">
        <v>1379</v>
      </c>
      <c r="N296" s="47" t="s">
        <v>1379</v>
      </c>
      <c r="O296" s="45" t="s">
        <v>1379</v>
      </c>
      <c r="P296" s="45">
        <v>-14.8805</v>
      </c>
      <c r="Q296" s="45">
        <v>-70.597583333333333</v>
      </c>
      <c r="R296" s="45" t="s">
        <v>1085</v>
      </c>
      <c r="S296" s="51" t="s">
        <v>1086</v>
      </c>
      <c r="U296" s="52"/>
    </row>
    <row r="297" spans="1:21" ht="17.25" customHeight="1" x14ac:dyDescent="0.3">
      <c r="A297" s="45">
        <v>296</v>
      </c>
      <c r="B297" s="54" t="s">
        <v>1379</v>
      </c>
      <c r="C297" s="47" t="s">
        <v>1379</v>
      </c>
      <c r="D297" s="47" t="s">
        <v>1379</v>
      </c>
      <c r="E297" s="47" t="s">
        <v>1379</v>
      </c>
      <c r="F297" s="47" t="s">
        <v>1379</v>
      </c>
      <c r="G297" s="45" t="s">
        <v>1379</v>
      </c>
      <c r="H297" s="48" t="s">
        <v>1379</v>
      </c>
      <c r="I297" s="49" t="s">
        <v>1379</v>
      </c>
      <c r="J297" s="47" t="s">
        <v>1379</v>
      </c>
      <c r="K297" s="47" t="s">
        <v>1379</v>
      </c>
      <c r="L297" s="50" t="s">
        <v>1379</v>
      </c>
      <c r="M297" s="50" t="s">
        <v>1379</v>
      </c>
      <c r="N297" s="47" t="s">
        <v>1379</v>
      </c>
      <c r="O297" s="45" t="s">
        <v>1379</v>
      </c>
      <c r="P297" s="45">
        <v>-14.900833333333333</v>
      </c>
      <c r="Q297" s="45">
        <v>-70.191722222222225</v>
      </c>
      <c r="R297" s="45" t="s">
        <v>1087</v>
      </c>
      <c r="S297" s="51" t="s">
        <v>1088</v>
      </c>
      <c r="U297" s="52"/>
    </row>
    <row r="298" spans="1:21" ht="17.25" customHeight="1" x14ac:dyDescent="0.3">
      <c r="A298" s="45">
        <v>297</v>
      </c>
      <c r="B298" s="54" t="s">
        <v>1379</v>
      </c>
      <c r="C298" s="47" t="s">
        <v>1379</v>
      </c>
      <c r="D298" s="47" t="s">
        <v>1379</v>
      </c>
      <c r="E298" s="47" t="s">
        <v>1379</v>
      </c>
      <c r="F298" s="47" t="s">
        <v>1379</v>
      </c>
      <c r="G298" s="45" t="s">
        <v>1379</v>
      </c>
      <c r="H298" s="48" t="s">
        <v>1379</v>
      </c>
      <c r="I298" s="49" t="s">
        <v>1379</v>
      </c>
      <c r="J298" s="47" t="s">
        <v>1379</v>
      </c>
      <c r="K298" s="47" t="s">
        <v>1379</v>
      </c>
      <c r="L298" s="50" t="s">
        <v>1379</v>
      </c>
      <c r="M298" s="50" t="s">
        <v>1379</v>
      </c>
      <c r="N298" s="47" t="s">
        <v>1379</v>
      </c>
      <c r="O298" s="45" t="s">
        <v>1379</v>
      </c>
      <c r="P298" s="45">
        <v>-12.621022222222223</v>
      </c>
      <c r="Q298" s="45">
        <v>-70.394863888888892</v>
      </c>
      <c r="R298" s="45" t="s">
        <v>1089</v>
      </c>
      <c r="S298" s="51" t="s">
        <v>1090</v>
      </c>
      <c r="U298" s="52"/>
    </row>
    <row r="299" spans="1:21" ht="17.25" customHeight="1" x14ac:dyDescent="0.3">
      <c r="A299" s="45">
        <v>298</v>
      </c>
      <c r="B299" s="54" t="s">
        <v>1379</v>
      </c>
      <c r="C299" s="47" t="s">
        <v>1379</v>
      </c>
      <c r="D299" s="47" t="s">
        <v>1379</v>
      </c>
      <c r="E299" s="47" t="s">
        <v>1379</v>
      </c>
      <c r="F299" s="47" t="s">
        <v>1379</v>
      </c>
      <c r="G299" s="45" t="s">
        <v>1379</v>
      </c>
      <c r="H299" s="48" t="s">
        <v>1379</v>
      </c>
      <c r="I299" s="49" t="s">
        <v>1379</v>
      </c>
      <c r="J299" s="47" t="s">
        <v>1379</v>
      </c>
      <c r="K299" s="47" t="s">
        <v>1379</v>
      </c>
      <c r="L299" s="50" t="s">
        <v>1379</v>
      </c>
      <c r="M299" s="50" t="s">
        <v>1379</v>
      </c>
      <c r="N299" s="47" t="s">
        <v>1379</v>
      </c>
      <c r="O299" s="45" t="s">
        <v>1379</v>
      </c>
      <c r="P299" s="45">
        <v>-15.625277777777779</v>
      </c>
      <c r="Q299" s="45">
        <v>-70.347777777777779</v>
      </c>
      <c r="R299" s="45" t="s">
        <v>1091</v>
      </c>
      <c r="S299" s="51" t="s">
        <v>1092</v>
      </c>
      <c r="U299" s="52"/>
    </row>
    <row r="300" spans="1:21" ht="17.25" customHeight="1" x14ac:dyDescent="0.3">
      <c r="A300" s="45">
        <v>299</v>
      </c>
      <c r="B300" s="54" t="s">
        <v>1379</v>
      </c>
      <c r="C300" s="47" t="s">
        <v>1379</v>
      </c>
      <c r="D300" s="47" t="s">
        <v>1379</v>
      </c>
      <c r="E300" s="47" t="s">
        <v>1379</v>
      </c>
      <c r="F300" s="47" t="s">
        <v>1379</v>
      </c>
      <c r="G300" s="45" t="s">
        <v>1379</v>
      </c>
      <c r="H300" s="48" t="s">
        <v>1379</v>
      </c>
      <c r="I300" s="49" t="s">
        <v>1379</v>
      </c>
      <c r="J300" s="47" t="s">
        <v>1379</v>
      </c>
      <c r="K300" s="47" t="s">
        <v>1379</v>
      </c>
      <c r="L300" s="50" t="s">
        <v>1379</v>
      </c>
      <c r="M300" s="50" t="s">
        <v>1379</v>
      </c>
      <c r="N300" s="47" t="s">
        <v>1379</v>
      </c>
      <c r="O300" s="45" t="s">
        <v>1379</v>
      </c>
      <c r="P300" s="45">
        <v>-13.291583333333334</v>
      </c>
      <c r="Q300" s="45">
        <v>-71.92861666666667</v>
      </c>
      <c r="R300" s="45" t="s">
        <v>1093</v>
      </c>
      <c r="S300" s="51" t="s">
        <v>1094</v>
      </c>
      <c r="U300" s="52"/>
    </row>
    <row r="301" spans="1:21" ht="17.25" customHeight="1" x14ac:dyDescent="0.3">
      <c r="A301" s="45">
        <v>300</v>
      </c>
      <c r="B301" s="54" t="s">
        <v>1379</v>
      </c>
      <c r="C301" s="47" t="s">
        <v>1379</v>
      </c>
      <c r="D301" s="47" t="s">
        <v>1379</v>
      </c>
      <c r="E301" s="47" t="s">
        <v>1379</v>
      </c>
      <c r="F301" s="47" t="s">
        <v>1379</v>
      </c>
      <c r="G301" s="45" t="s">
        <v>1379</v>
      </c>
      <c r="H301" s="48" t="s">
        <v>1379</v>
      </c>
      <c r="I301" s="49" t="s">
        <v>1379</v>
      </c>
      <c r="J301" s="47" t="s">
        <v>1379</v>
      </c>
      <c r="K301" s="47" t="s">
        <v>1379</v>
      </c>
      <c r="L301" s="50" t="s">
        <v>1379</v>
      </c>
      <c r="M301" s="50" t="s">
        <v>1379</v>
      </c>
      <c r="N301" s="47" t="s">
        <v>1379</v>
      </c>
      <c r="O301" s="45" t="s">
        <v>1379</v>
      </c>
      <c r="P301" s="45">
        <v>-16.622333333333334</v>
      </c>
      <c r="Q301" s="45">
        <v>-72.712333333333333</v>
      </c>
      <c r="R301" s="45" t="s">
        <v>1095</v>
      </c>
      <c r="S301" s="51" t="s">
        <v>1096</v>
      </c>
      <c r="U301" s="52"/>
    </row>
    <row r="302" spans="1:21" ht="17.25" customHeight="1" x14ac:dyDescent="0.3">
      <c r="A302" s="45">
        <v>301</v>
      </c>
      <c r="B302" s="54" t="s">
        <v>1379</v>
      </c>
      <c r="C302" s="47" t="s">
        <v>1379</v>
      </c>
      <c r="D302" s="47" t="s">
        <v>1379</v>
      </c>
      <c r="E302" s="47" t="s">
        <v>1379</v>
      </c>
      <c r="F302" s="47" t="s">
        <v>1379</v>
      </c>
      <c r="G302" s="45" t="s">
        <v>1379</v>
      </c>
      <c r="H302" s="48" t="s">
        <v>1379</v>
      </c>
      <c r="I302" s="49" t="s">
        <v>1379</v>
      </c>
      <c r="J302" s="47" t="s">
        <v>1379</v>
      </c>
      <c r="K302" s="47" t="s">
        <v>1379</v>
      </c>
      <c r="L302" s="50" t="s">
        <v>1379</v>
      </c>
      <c r="M302" s="50" t="s">
        <v>1379</v>
      </c>
      <c r="N302" s="47" t="s">
        <v>1379</v>
      </c>
      <c r="O302" s="45" t="s">
        <v>1379</v>
      </c>
      <c r="P302" s="45">
        <v>-16.622444444444444</v>
      </c>
      <c r="Q302" s="45">
        <v>-72.712249999999997</v>
      </c>
      <c r="R302" s="45" t="s">
        <v>1097</v>
      </c>
      <c r="S302" s="51" t="s">
        <v>1098</v>
      </c>
      <c r="U302" s="52"/>
    </row>
    <row r="303" spans="1:21" ht="17.25" customHeight="1" x14ac:dyDescent="0.3">
      <c r="A303" s="45">
        <v>302</v>
      </c>
      <c r="B303" s="54" t="s">
        <v>1379</v>
      </c>
      <c r="C303" s="47" t="s">
        <v>1379</v>
      </c>
      <c r="D303" s="47" t="s">
        <v>1379</v>
      </c>
      <c r="E303" s="47" t="s">
        <v>1379</v>
      </c>
      <c r="F303" s="47" t="s">
        <v>1379</v>
      </c>
      <c r="G303" s="45" t="s">
        <v>1379</v>
      </c>
      <c r="H303" s="48" t="s">
        <v>1379</v>
      </c>
      <c r="I303" s="49" t="s">
        <v>1379</v>
      </c>
      <c r="J303" s="47" t="s">
        <v>1379</v>
      </c>
      <c r="K303" s="47" t="s">
        <v>1379</v>
      </c>
      <c r="L303" s="50" t="s">
        <v>1379</v>
      </c>
      <c r="M303" s="50" t="s">
        <v>1379</v>
      </c>
      <c r="N303" s="47" t="s">
        <v>1379</v>
      </c>
      <c r="O303" s="45" t="s">
        <v>1379</v>
      </c>
      <c r="P303" s="45">
        <v>-17.264630555555556</v>
      </c>
      <c r="Q303" s="45">
        <v>-70.251713888888887</v>
      </c>
      <c r="R303" s="45" t="s">
        <v>1099</v>
      </c>
      <c r="S303" s="51" t="s">
        <v>1100</v>
      </c>
      <c r="U303" s="52"/>
    </row>
    <row r="304" spans="1:21" ht="17.25" customHeight="1" x14ac:dyDescent="0.3">
      <c r="A304" s="45">
        <v>303</v>
      </c>
      <c r="B304" s="54" t="s">
        <v>1379</v>
      </c>
      <c r="C304" s="47" t="s">
        <v>1379</v>
      </c>
      <c r="D304" s="47" t="s">
        <v>1379</v>
      </c>
      <c r="E304" s="47" t="s">
        <v>1379</v>
      </c>
      <c r="F304" s="47" t="s">
        <v>1379</v>
      </c>
      <c r="G304" s="45" t="s">
        <v>1379</v>
      </c>
      <c r="H304" s="48" t="s">
        <v>1379</v>
      </c>
      <c r="I304" s="49" t="s">
        <v>1379</v>
      </c>
      <c r="J304" s="47" t="s">
        <v>1379</v>
      </c>
      <c r="K304" s="47" t="s">
        <v>1379</v>
      </c>
      <c r="L304" s="50" t="s">
        <v>1379</v>
      </c>
      <c r="M304" s="50" t="s">
        <v>1379</v>
      </c>
      <c r="N304" s="47" t="s">
        <v>1379</v>
      </c>
      <c r="O304" s="45" t="s">
        <v>1379</v>
      </c>
      <c r="P304" s="45">
        <v>-15.775583333333334</v>
      </c>
      <c r="Q304" s="45">
        <v>-73.376916666666659</v>
      </c>
      <c r="R304" s="45" t="s">
        <v>1101</v>
      </c>
      <c r="S304" s="51" t="s">
        <v>1102</v>
      </c>
      <c r="U304" s="52"/>
    </row>
    <row r="305" spans="1:21" ht="17.25" customHeight="1" x14ac:dyDescent="0.3">
      <c r="A305" s="45">
        <v>304</v>
      </c>
      <c r="B305" s="54" t="s">
        <v>1379</v>
      </c>
      <c r="C305" s="47" t="s">
        <v>1379</v>
      </c>
      <c r="D305" s="47" t="s">
        <v>1379</v>
      </c>
      <c r="E305" s="47" t="s">
        <v>1379</v>
      </c>
      <c r="F305" s="47" t="s">
        <v>1379</v>
      </c>
      <c r="G305" s="45" t="s">
        <v>1379</v>
      </c>
      <c r="H305" s="48" t="s">
        <v>1379</v>
      </c>
      <c r="I305" s="49" t="s">
        <v>1379</v>
      </c>
      <c r="J305" s="47" t="s">
        <v>1379</v>
      </c>
      <c r="K305" s="47" t="s">
        <v>1379</v>
      </c>
      <c r="L305" s="50" t="s">
        <v>1379</v>
      </c>
      <c r="M305" s="50" t="s">
        <v>1379</v>
      </c>
      <c r="N305" s="47" t="s">
        <v>1379</v>
      </c>
      <c r="O305" s="45" t="s">
        <v>1379</v>
      </c>
      <c r="P305" s="45">
        <v>-13.583558333333334</v>
      </c>
      <c r="Q305" s="45">
        <v>-72.066147222222213</v>
      </c>
      <c r="R305" s="45" t="s">
        <v>1103</v>
      </c>
      <c r="S305" s="51" t="s">
        <v>1104</v>
      </c>
      <c r="U305" s="52"/>
    </row>
    <row r="306" spans="1:21" ht="17.25" customHeight="1" x14ac:dyDescent="0.3">
      <c r="A306" s="45">
        <v>305</v>
      </c>
      <c r="B306" s="54" t="s">
        <v>1379</v>
      </c>
      <c r="C306" s="47" t="s">
        <v>1379</v>
      </c>
      <c r="D306" s="47" t="s">
        <v>1379</v>
      </c>
      <c r="E306" s="47" t="s">
        <v>1379</v>
      </c>
      <c r="F306" s="47" t="s">
        <v>1379</v>
      </c>
      <c r="G306" s="45" t="s">
        <v>1379</v>
      </c>
      <c r="H306" s="48" t="s">
        <v>1379</v>
      </c>
      <c r="I306" s="49" t="s">
        <v>1379</v>
      </c>
      <c r="J306" s="47" t="s">
        <v>1379</v>
      </c>
      <c r="K306" s="47" t="s">
        <v>1379</v>
      </c>
      <c r="L306" s="50" t="s">
        <v>1379</v>
      </c>
      <c r="M306" s="50" t="s">
        <v>1379</v>
      </c>
      <c r="N306" s="47" t="s">
        <v>1379</v>
      </c>
      <c r="O306" s="45" t="s">
        <v>1379</v>
      </c>
      <c r="P306" s="45">
        <v>-13.583558333333334</v>
      </c>
      <c r="Q306" s="45">
        <v>-72.066147222222213</v>
      </c>
      <c r="R306" s="45" t="s">
        <v>1103</v>
      </c>
      <c r="S306" s="51" t="s">
        <v>1105</v>
      </c>
      <c r="U306" s="52"/>
    </row>
    <row r="307" spans="1:21" ht="17.25" customHeight="1" x14ac:dyDescent="0.3">
      <c r="A307" s="45">
        <v>306</v>
      </c>
      <c r="B307" s="54" t="s">
        <v>1379</v>
      </c>
      <c r="C307" s="47" t="s">
        <v>1379</v>
      </c>
      <c r="D307" s="47" t="s">
        <v>1379</v>
      </c>
      <c r="E307" s="47" t="s">
        <v>1379</v>
      </c>
      <c r="F307" s="47" t="s">
        <v>1379</v>
      </c>
      <c r="G307" s="45" t="s">
        <v>1379</v>
      </c>
      <c r="H307" s="48" t="s">
        <v>1379</v>
      </c>
      <c r="I307" s="49" t="s">
        <v>1379</v>
      </c>
      <c r="J307" s="47" t="s">
        <v>1379</v>
      </c>
      <c r="K307" s="47" t="s">
        <v>1379</v>
      </c>
      <c r="L307" s="50" t="s">
        <v>1379</v>
      </c>
      <c r="M307" s="50" t="s">
        <v>1379</v>
      </c>
      <c r="N307" s="47" t="s">
        <v>1379</v>
      </c>
      <c r="O307" s="45" t="s">
        <v>1379</v>
      </c>
      <c r="P307" s="45">
        <v>-15.851611111111112</v>
      </c>
      <c r="Q307" s="45">
        <v>-74.250805555555559</v>
      </c>
      <c r="R307" s="45" t="s">
        <v>1106</v>
      </c>
      <c r="S307" s="51" t="s">
        <v>1107</v>
      </c>
      <c r="U307" s="52"/>
    </row>
    <row r="308" spans="1:21" ht="17.25" customHeight="1" x14ac:dyDescent="0.3">
      <c r="A308" s="45">
        <v>307</v>
      </c>
      <c r="B308" s="54" t="s">
        <v>1379</v>
      </c>
      <c r="C308" s="47" t="s">
        <v>1379</v>
      </c>
      <c r="D308" s="47" t="s">
        <v>1379</v>
      </c>
      <c r="E308" s="47" t="s">
        <v>1379</v>
      </c>
      <c r="F308" s="47" t="s">
        <v>1379</v>
      </c>
      <c r="G308" s="45" t="s">
        <v>1379</v>
      </c>
      <c r="H308" s="48" t="s">
        <v>1379</v>
      </c>
      <c r="I308" s="49" t="s">
        <v>1379</v>
      </c>
      <c r="J308" s="47" t="s">
        <v>1379</v>
      </c>
      <c r="K308" s="47" t="s">
        <v>1379</v>
      </c>
      <c r="L308" s="50" t="s">
        <v>1379</v>
      </c>
      <c r="M308" s="50" t="s">
        <v>1379</v>
      </c>
      <c r="N308" s="47" t="s">
        <v>1379</v>
      </c>
      <c r="O308" s="45" t="s">
        <v>1379</v>
      </c>
      <c r="P308" s="45">
        <v>-14.295583333333333</v>
      </c>
      <c r="Q308" s="45">
        <v>-73.249944444444452</v>
      </c>
      <c r="R308" s="45" t="s">
        <v>1108</v>
      </c>
      <c r="S308" s="51" t="s">
        <v>1109</v>
      </c>
      <c r="U308" s="52"/>
    </row>
    <row r="309" spans="1:21" ht="17.25" customHeight="1" x14ac:dyDescent="0.3">
      <c r="A309" s="45">
        <v>308</v>
      </c>
      <c r="B309" s="54" t="s">
        <v>1379</v>
      </c>
      <c r="C309" s="47" t="s">
        <v>1379</v>
      </c>
      <c r="D309" s="47" t="s">
        <v>1379</v>
      </c>
      <c r="E309" s="47" t="s">
        <v>1379</v>
      </c>
      <c r="F309" s="47" t="s">
        <v>1379</v>
      </c>
      <c r="G309" s="45" t="s">
        <v>1379</v>
      </c>
      <c r="H309" s="48" t="s">
        <v>1379</v>
      </c>
      <c r="I309" s="49" t="s">
        <v>1379</v>
      </c>
      <c r="J309" s="47" t="s">
        <v>1379</v>
      </c>
      <c r="K309" s="47" t="s">
        <v>1379</v>
      </c>
      <c r="L309" s="50" t="s">
        <v>1379</v>
      </c>
      <c r="M309" s="50" t="s">
        <v>1379</v>
      </c>
      <c r="N309" s="47" t="s">
        <v>1379</v>
      </c>
      <c r="O309" s="45" t="s">
        <v>1379</v>
      </c>
      <c r="P309" s="45">
        <v>-13.970863888888889</v>
      </c>
      <c r="Q309" s="45">
        <v>-71.416644444444444</v>
      </c>
      <c r="R309" s="45" t="s">
        <v>1110</v>
      </c>
      <c r="S309" s="51" t="s">
        <v>1111</v>
      </c>
      <c r="U309" s="52"/>
    </row>
    <row r="310" spans="1:21" ht="17.25" customHeight="1" x14ac:dyDescent="0.3">
      <c r="A310" s="45">
        <v>309</v>
      </c>
      <c r="B310" s="54" t="s">
        <v>1379</v>
      </c>
      <c r="C310" s="47" t="s">
        <v>1379</v>
      </c>
      <c r="D310" s="47" t="s">
        <v>1379</v>
      </c>
      <c r="E310" s="47" t="s">
        <v>1379</v>
      </c>
      <c r="F310" s="47" t="s">
        <v>1379</v>
      </c>
      <c r="G310" s="45" t="s">
        <v>1379</v>
      </c>
      <c r="H310" s="48" t="s">
        <v>1379</v>
      </c>
      <c r="I310" s="49" t="s">
        <v>1379</v>
      </c>
      <c r="J310" s="47" t="s">
        <v>1379</v>
      </c>
      <c r="K310" s="47" t="s">
        <v>1379</v>
      </c>
      <c r="L310" s="50" t="s">
        <v>1379</v>
      </c>
      <c r="M310" s="50" t="s">
        <v>1379</v>
      </c>
      <c r="N310" s="47" t="s">
        <v>1379</v>
      </c>
      <c r="O310" s="45" t="s">
        <v>1379</v>
      </c>
      <c r="P310" s="45">
        <v>-13.408055555555556</v>
      </c>
      <c r="Q310" s="45">
        <v>-76.145555555555561</v>
      </c>
      <c r="R310" s="45" t="s">
        <v>1112</v>
      </c>
      <c r="S310" s="51" t="s">
        <v>1113</v>
      </c>
      <c r="U310" s="52"/>
    </row>
    <row r="311" spans="1:21" ht="17.25" customHeight="1" x14ac:dyDescent="0.3">
      <c r="A311" s="45">
        <v>310</v>
      </c>
      <c r="B311" s="54" t="s">
        <v>1379</v>
      </c>
      <c r="C311" s="47" t="s">
        <v>1379</v>
      </c>
      <c r="D311" s="47" t="s">
        <v>1379</v>
      </c>
      <c r="E311" s="47" t="s">
        <v>1379</v>
      </c>
      <c r="F311" s="47" t="s">
        <v>1379</v>
      </c>
      <c r="G311" s="45" t="s">
        <v>1379</v>
      </c>
      <c r="H311" s="48" t="s">
        <v>1379</v>
      </c>
      <c r="I311" s="49" t="s">
        <v>1379</v>
      </c>
      <c r="J311" s="47" t="s">
        <v>1379</v>
      </c>
      <c r="K311" s="47" t="s">
        <v>1379</v>
      </c>
      <c r="L311" s="50" t="s">
        <v>1379</v>
      </c>
      <c r="M311" s="50" t="s">
        <v>1379</v>
      </c>
      <c r="N311" s="47" t="s">
        <v>1379</v>
      </c>
      <c r="O311" s="45" t="s">
        <v>1379</v>
      </c>
      <c r="P311" s="45">
        <v>-13.393597222222223</v>
      </c>
      <c r="Q311" s="45">
        <v>-72.04998333333333</v>
      </c>
      <c r="R311" s="45" t="s">
        <v>1114</v>
      </c>
      <c r="S311" s="51" t="s">
        <v>1115</v>
      </c>
      <c r="U311" s="52"/>
    </row>
    <row r="312" spans="1:21" ht="17.25" customHeight="1" x14ac:dyDescent="0.3">
      <c r="A312" s="45">
        <v>311</v>
      </c>
      <c r="B312" s="54" t="s">
        <v>1379</v>
      </c>
      <c r="C312" s="47" t="s">
        <v>1379</v>
      </c>
      <c r="D312" s="47" t="s">
        <v>1379</v>
      </c>
      <c r="E312" s="47" t="s">
        <v>1379</v>
      </c>
      <c r="F312" s="47" t="s">
        <v>1379</v>
      </c>
      <c r="G312" s="45" t="s">
        <v>1379</v>
      </c>
      <c r="H312" s="48" t="s">
        <v>1379</v>
      </c>
      <c r="I312" s="49" t="s">
        <v>1379</v>
      </c>
      <c r="J312" s="47" t="s">
        <v>1379</v>
      </c>
      <c r="K312" s="47" t="s">
        <v>1379</v>
      </c>
      <c r="L312" s="50" t="s">
        <v>1379</v>
      </c>
      <c r="M312" s="50" t="s">
        <v>1379</v>
      </c>
      <c r="N312" s="47" t="s">
        <v>1379</v>
      </c>
      <c r="O312" s="45" t="s">
        <v>1379</v>
      </c>
      <c r="P312" s="45">
        <v>-13.526250000000001</v>
      </c>
      <c r="Q312" s="45">
        <v>-73.704805555555552</v>
      </c>
      <c r="R312" s="45" t="s">
        <v>1116</v>
      </c>
      <c r="S312" s="51" t="s">
        <v>1117</v>
      </c>
      <c r="U312" s="52"/>
    </row>
    <row r="313" spans="1:21" ht="17.25" customHeight="1" x14ac:dyDescent="0.3">
      <c r="A313" s="45">
        <v>312</v>
      </c>
      <c r="B313" s="54" t="s">
        <v>1379</v>
      </c>
      <c r="C313" s="47" t="s">
        <v>1379</v>
      </c>
      <c r="D313" s="47" t="s">
        <v>1379</v>
      </c>
      <c r="E313" s="47" t="s">
        <v>1379</v>
      </c>
      <c r="F313" s="47" t="s">
        <v>1379</v>
      </c>
      <c r="G313" s="45" t="s">
        <v>1379</v>
      </c>
      <c r="H313" s="48" t="s">
        <v>1379</v>
      </c>
      <c r="I313" s="49" t="s">
        <v>1379</v>
      </c>
      <c r="J313" s="47" t="s">
        <v>1379</v>
      </c>
      <c r="K313" s="47" t="s">
        <v>1379</v>
      </c>
      <c r="L313" s="50" t="s">
        <v>1379</v>
      </c>
      <c r="M313" s="50" t="s">
        <v>1379</v>
      </c>
      <c r="N313" s="47" t="s">
        <v>1379</v>
      </c>
      <c r="O313" s="45" t="s">
        <v>1379</v>
      </c>
      <c r="P313" s="45">
        <v>-15.637333333333332</v>
      </c>
      <c r="Q313" s="45">
        <v>-71.598861111111106</v>
      </c>
      <c r="R313" s="45" t="s">
        <v>1118</v>
      </c>
      <c r="S313" s="51" t="s">
        <v>1119</v>
      </c>
      <c r="U313" s="52"/>
    </row>
    <row r="314" spans="1:21" ht="17.25" customHeight="1" x14ac:dyDescent="0.3">
      <c r="A314" s="45">
        <v>313</v>
      </c>
      <c r="B314" s="54" t="s">
        <v>1379</v>
      </c>
      <c r="C314" s="47" t="s">
        <v>1379</v>
      </c>
      <c r="D314" s="47" t="s">
        <v>1379</v>
      </c>
      <c r="E314" s="47" t="s">
        <v>1379</v>
      </c>
      <c r="F314" s="47" t="s">
        <v>1379</v>
      </c>
      <c r="G314" s="45" t="s">
        <v>1379</v>
      </c>
      <c r="H314" s="48" t="s">
        <v>1379</v>
      </c>
      <c r="I314" s="49" t="s">
        <v>1379</v>
      </c>
      <c r="J314" s="47" t="s">
        <v>1379</v>
      </c>
      <c r="K314" s="47" t="s">
        <v>1379</v>
      </c>
      <c r="L314" s="50" t="s">
        <v>1379</v>
      </c>
      <c r="M314" s="50" t="s">
        <v>1379</v>
      </c>
      <c r="N314" s="47" t="s">
        <v>1379</v>
      </c>
      <c r="O314" s="45" t="s">
        <v>1379</v>
      </c>
      <c r="P314" s="45">
        <v>-15.841750000000001</v>
      </c>
      <c r="Q314" s="45">
        <v>-72.662833333333339</v>
      </c>
      <c r="R314" s="45" t="s">
        <v>1120</v>
      </c>
      <c r="S314" s="51" t="s">
        <v>1121</v>
      </c>
      <c r="U314" s="52"/>
    </row>
    <row r="315" spans="1:21" ht="17.25" customHeight="1" x14ac:dyDescent="0.3">
      <c r="A315" s="45">
        <v>314</v>
      </c>
      <c r="B315" s="54" t="s">
        <v>1379</v>
      </c>
      <c r="C315" s="47" t="s">
        <v>1379</v>
      </c>
      <c r="D315" s="47" t="s">
        <v>1379</v>
      </c>
      <c r="E315" s="47" t="s">
        <v>1379</v>
      </c>
      <c r="F315" s="47" t="s">
        <v>1379</v>
      </c>
      <c r="G315" s="45" t="s">
        <v>1379</v>
      </c>
      <c r="H315" s="48" t="s">
        <v>1379</v>
      </c>
      <c r="I315" s="49" t="s">
        <v>1379</v>
      </c>
      <c r="J315" s="47" t="s">
        <v>1379</v>
      </c>
      <c r="K315" s="47" t="s">
        <v>1379</v>
      </c>
      <c r="L315" s="50" t="s">
        <v>1379</v>
      </c>
      <c r="M315" s="50" t="s">
        <v>1379</v>
      </c>
      <c r="N315" s="47" t="s">
        <v>1379</v>
      </c>
      <c r="O315" s="45" t="s">
        <v>1379</v>
      </c>
      <c r="P315" s="45">
        <v>-14.104166666666666</v>
      </c>
      <c r="Q315" s="45">
        <v>-72.715000000000003</v>
      </c>
      <c r="R315" s="45" t="s">
        <v>1122</v>
      </c>
      <c r="S315" s="51" t="s">
        <v>1123</v>
      </c>
      <c r="U315" s="52"/>
    </row>
    <row r="316" spans="1:21" ht="17.25" customHeight="1" x14ac:dyDescent="0.3">
      <c r="A316" s="45">
        <v>315</v>
      </c>
      <c r="B316" s="54" t="s">
        <v>1379</v>
      </c>
      <c r="C316" s="47" t="s">
        <v>1379</v>
      </c>
      <c r="D316" s="47" t="s">
        <v>1379</v>
      </c>
      <c r="E316" s="47" t="s">
        <v>1379</v>
      </c>
      <c r="F316" s="47" t="s">
        <v>1379</v>
      </c>
      <c r="G316" s="45" t="s">
        <v>1379</v>
      </c>
      <c r="H316" s="48" t="s">
        <v>1379</v>
      </c>
      <c r="I316" s="49" t="s">
        <v>1379</v>
      </c>
      <c r="J316" s="47" t="s">
        <v>1379</v>
      </c>
      <c r="K316" s="47" t="s">
        <v>1379</v>
      </c>
      <c r="L316" s="50" t="s">
        <v>1379</v>
      </c>
      <c r="M316" s="50" t="s">
        <v>1379</v>
      </c>
      <c r="N316" s="47" t="s">
        <v>1379</v>
      </c>
      <c r="O316" s="45" t="s">
        <v>1379</v>
      </c>
      <c r="P316" s="45">
        <v>-14.09995</v>
      </c>
      <c r="Q316" s="45">
        <v>-71.433466666666675</v>
      </c>
      <c r="R316" s="45" t="s">
        <v>1124</v>
      </c>
      <c r="S316" s="51" t="s">
        <v>1125</v>
      </c>
      <c r="U316" s="52"/>
    </row>
    <row r="317" spans="1:21" ht="17.25" customHeight="1" x14ac:dyDescent="0.3">
      <c r="A317" s="45">
        <v>316</v>
      </c>
      <c r="B317" s="54" t="s">
        <v>1379</v>
      </c>
      <c r="C317" s="47" t="s">
        <v>1379</v>
      </c>
      <c r="D317" s="47" t="s">
        <v>1379</v>
      </c>
      <c r="E317" s="47" t="s">
        <v>1379</v>
      </c>
      <c r="F317" s="47" t="s">
        <v>1379</v>
      </c>
      <c r="G317" s="45" t="s">
        <v>1379</v>
      </c>
      <c r="H317" s="48" t="s">
        <v>1379</v>
      </c>
      <c r="I317" s="49" t="s">
        <v>1379</v>
      </c>
      <c r="J317" s="47" t="s">
        <v>1379</v>
      </c>
      <c r="K317" s="47" t="s">
        <v>1379</v>
      </c>
      <c r="L317" s="50" t="s">
        <v>1379</v>
      </c>
      <c r="M317" s="50" t="s">
        <v>1379</v>
      </c>
      <c r="N317" s="47" t="s">
        <v>1379</v>
      </c>
      <c r="O317" s="45" t="s">
        <v>1379</v>
      </c>
      <c r="P317" s="45">
        <v>-15.221633333333333</v>
      </c>
      <c r="Q317" s="45">
        <v>-72.892800000000008</v>
      </c>
      <c r="R317" s="45" t="s">
        <v>1126</v>
      </c>
      <c r="S317" s="51" t="s">
        <v>1127</v>
      </c>
      <c r="U317" s="52"/>
    </row>
    <row r="318" spans="1:21" ht="17.25" customHeight="1" x14ac:dyDescent="0.3">
      <c r="A318" s="45">
        <v>317</v>
      </c>
      <c r="B318" s="54" t="s">
        <v>1379</v>
      </c>
      <c r="C318" s="47" t="s">
        <v>1379</v>
      </c>
      <c r="D318" s="47" t="s">
        <v>1379</v>
      </c>
      <c r="E318" s="47" t="s">
        <v>1379</v>
      </c>
      <c r="F318" s="47" t="s">
        <v>1379</v>
      </c>
      <c r="G318" s="45" t="s">
        <v>1379</v>
      </c>
      <c r="H318" s="48" t="s">
        <v>1379</v>
      </c>
      <c r="I318" s="49" t="s">
        <v>1379</v>
      </c>
      <c r="J318" s="47" t="s">
        <v>1379</v>
      </c>
      <c r="K318" s="47" t="s">
        <v>1379</v>
      </c>
      <c r="L318" s="50" t="s">
        <v>1379</v>
      </c>
      <c r="M318" s="50" t="s">
        <v>1379</v>
      </c>
      <c r="N318" s="47" t="s">
        <v>1379</v>
      </c>
      <c r="O318" s="45" t="s">
        <v>1379</v>
      </c>
      <c r="P318" s="45">
        <v>-14.359055555555555</v>
      </c>
      <c r="Q318" s="45">
        <v>-70.019638888888892</v>
      </c>
      <c r="R318" s="45" t="s">
        <v>1128</v>
      </c>
      <c r="S318" s="51" t="s">
        <v>1129</v>
      </c>
      <c r="U318" s="52"/>
    </row>
    <row r="319" spans="1:21" ht="17.25" customHeight="1" x14ac:dyDescent="0.3">
      <c r="A319" s="45">
        <v>318</v>
      </c>
      <c r="B319" s="54" t="s">
        <v>1379</v>
      </c>
      <c r="C319" s="47" t="s">
        <v>1379</v>
      </c>
      <c r="D319" s="47" t="s">
        <v>1379</v>
      </c>
      <c r="E319" s="47" t="s">
        <v>1379</v>
      </c>
      <c r="F319" s="47" t="s">
        <v>1379</v>
      </c>
      <c r="G319" s="45" t="s">
        <v>1379</v>
      </c>
      <c r="H319" s="48" t="s">
        <v>1379</v>
      </c>
      <c r="I319" s="49" t="s">
        <v>1379</v>
      </c>
      <c r="J319" s="47" t="s">
        <v>1379</v>
      </c>
      <c r="K319" s="47" t="s">
        <v>1379</v>
      </c>
      <c r="L319" s="50" t="s">
        <v>1379</v>
      </c>
      <c r="M319" s="50" t="s">
        <v>1379</v>
      </c>
      <c r="N319" s="47" t="s">
        <v>1379</v>
      </c>
      <c r="O319" s="45" t="s">
        <v>1379</v>
      </c>
      <c r="P319" s="45">
        <v>-13.536741666666666</v>
      </c>
      <c r="Q319" s="45">
        <v>-72.696325000000002</v>
      </c>
      <c r="R319" s="45" t="s">
        <v>1130</v>
      </c>
      <c r="S319" s="51" t="s">
        <v>1131</v>
      </c>
      <c r="U319" s="52"/>
    </row>
    <row r="320" spans="1:21" ht="17.25" customHeight="1" x14ac:dyDescent="0.3">
      <c r="A320" s="45">
        <v>319</v>
      </c>
      <c r="B320" s="54" t="s">
        <v>1379</v>
      </c>
      <c r="C320" s="47" t="s">
        <v>1379</v>
      </c>
      <c r="D320" s="47" t="s">
        <v>1379</v>
      </c>
      <c r="E320" s="47" t="s">
        <v>1379</v>
      </c>
      <c r="F320" s="47" t="s">
        <v>1379</v>
      </c>
      <c r="G320" s="45" t="s">
        <v>1379</v>
      </c>
      <c r="H320" s="48" t="s">
        <v>1379</v>
      </c>
      <c r="I320" s="49" t="s">
        <v>1379</v>
      </c>
      <c r="J320" s="47" t="s">
        <v>1379</v>
      </c>
      <c r="K320" s="47" t="s">
        <v>1379</v>
      </c>
      <c r="L320" s="50" t="s">
        <v>1379</v>
      </c>
      <c r="M320" s="50" t="s">
        <v>1379</v>
      </c>
      <c r="N320" s="47" t="s">
        <v>1379</v>
      </c>
      <c r="O320" s="45" t="s">
        <v>1379</v>
      </c>
      <c r="P320" s="45">
        <v>-13.536741666666666</v>
      </c>
      <c r="Q320" s="45">
        <v>-72.696325000000002</v>
      </c>
      <c r="R320" s="45" t="s">
        <v>1130</v>
      </c>
      <c r="S320" s="51" t="s">
        <v>1132</v>
      </c>
      <c r="U320" s="52"/>
    </row>
    <row r="321" spans="1:21" ht="17.25" customHeight="1" x14ac:dyDescent="0.3">
      <c r="A321" s="45">
        <v>320</v>
      </c>
      <c r="B321" s="54" t="s">
        <v>1379</v>
      </c>
      <c r="C321" s="47" t="s">
        <v>1379</v>
      </c>
      <c r="D321" s="47" t="s">
        <v>1379</v>
      </c>
      <c r="E321" s="47" t="s">
        <v>1379</v>
      </c>
      <c r="F321" s="47" t="s">
        <v>1379</v>
      </c>
      <c r="G321" s="45" t="s">
        <v>1379</v>
      </c>
      <c r="H321" s="48" t="s">
        <v>1379</v>
      </c>
      <c r="I321" s="49" t="s">
        <v>1379</v>
      </c>
      <c r="J321" s="47" t="s">
        <v>1379</v>
      </c>
      <c r="K321" s="47" t="s">
        <v>1379</v>
      </c>
      <c r="L321" s="50" t="s">
        <v>1379</v>
      </c>
      <c r="M321" s="50" t="s">
        <v>1379</v>
      </c>
      <c r="N321" s="47" t="s">
        <v>1379</v>
      </c>
      <c r="O321" s="45" t="s">
        <v>1379</v>
      </c>
      <c r="P321" s="45">
        <v>-13.512916666666667</v>
      </c>
      <c r="Q321" s="45">
        <v>-71.995305555555561</v>
      </c>
      <c r="R321" s="45" t="s">
        <v>1133</v>
      </c>
      <c r="S321" s="51" t="s">
        <v>1134</v>
      </c>
      <c r="U321" s="52"/>
    </row>
    <row r="322" spans="1:21" ht="17.25" customHeight="1" x14ac:dyDescent="0.3">
      <c r="A322" s="45">
        <v>321</v>
      </c>
      <c r="B322" s="54" t="s">
        <v>1379</v>
      </c>
      <c r="C322" s="47" t="s">
        <v>1379</v>
      </c>
      <c r="D322" s="47" t="s">
        <v>1379</v>
      </c>
      <c r="E322" s="47" t="s">
        <v>1379</v>
      </c>
      <c r="F322" s="47" t="s">
        <v>1379</v>
      </c>
      <c r="G322" s="45" t="s">
        <v>1379</v>
      </c>
      <c r="H322" s="48" t="s">
        <v>1379</v>
      </c>
      <c r="I322" s="49" t="s">
        <v>1379</v>
      </c>
      <c r="J322" s="47" t="s">
        <v>1379</v>
      </c>
      <c r="K322" s="47" t="s">
        <v>1379</v>
      </c>
      <c r="L322" s="50" t="s">
        <v>1379</v>
      </c>
      <c r="M322" s="50" t="s">
        <v>1379</v>
      </c>
      <c r="N322" s="47" t="s">
        <v>1379</v>
      </c>
      <c r="O322" s="45" t="s">
        <v>1379</v>
      </c>
      <c r="P322" s="45">
        <v>-13.529416666666668</v>
      </c>
      <c r="Q322" s="45">
        <v>-72.013555555555556</v>
      </c>
      <c r="R322" s="45" t="s">
        <v>1135</v>
      </c>
      <c r="S322" s="51" t="s">
        <v>1136</v>
      </c>
      <c r="U322" s="52"/>
    </row>
    <row r="323" spans="1:21" ht="17.25" customHeight="1" x14ac:dyDescent="0.3">
      <c r="A323" s="45">
        <v>322</v>
      </c>
      <c r="B323" s="54" t="s">
        <v>1379</v>
      </c>
      <c r="C323" s="47" t="s">
        <v>1379</v>
      </c>
      <c r="D323" s="47" t="s">
        <v>1379</v>
      </c>
      <c r="E323" s="47" t="s">
        <v>1379</v>
      </c>
      <c r="F323" s="47" t="s">
        <v>1379</v>
      </c>
      <c r="G323" s="45" t="s">
        <v>1379</v>
      </c>
      <c r="H323" s="48" t="s">
        <v>1379</v>
      </c>
      <c r="I323" s="49" t="s">
        <v>1379</v>
      </c>
      <c r="J323" s="47" t="s">
        <v>1379</v>
      </c>
      <c r="K323" s="47" t="s">
        <v>1379</v>
      </c>
      <c r="L323" s="50" t="s">
        <v>1379</v>
      </c>
      <c r="M323" s="50" t="s">
        <v>1379</v>
      </c>
      <c r="N323" s="47" t="s">
        <v>1379</v>
      </c>
      <c r="O323" s="45" t="s">
        <v>1379</v>
      </c>
      <c r="P323" s="45">
        <v>-16.561666666666667</v>
      </c>
      <c r="Q323" s="45">
        <v>-69.039749999999998</v>
      </c>
      <c r="R323" s="45" t="s">
        <v>1137</v>
      </c>
      <c r="S323" s="51" t="s">
        <v>1138</v>
      </c>
      <c r="U323" s="52"/>
    </row>
    <row r="324" spans="1:21" ht="17.25" customHeight="1" x14ac:dyDescent="0.3">
      <c r="A324" s="45">
        <v>323</v>
      </c>
      <c r="B324" s="54" t="s">
        <v>1379</v>
      </c>
      <c r="C324" s="47" t="s">
        <v>1379</v>
      </c>
      <c r="D324" s="47" t="s">
        <v>1379</v>
      </c>
      <c r="E324" s="47" t="s">
        <v>1379</v>
      </c>
      <c r="F324" s="47" t="s">
        <v>1379</v>
      </c>
      <c r="G324" s="45" t="s">
        <v>1379</v>
      </c>
      <c r="H324" s="48" t="s">
        <v>1379</v>
      </c>
      <c r="I324" s="49" t="s">
        <v>1379</v>
      </c>
      <c r="J324" s="47" t="s">
        <v>1379</v>
      </c>
      <c r="K324" s="47" t="s">
        <v>1379</v>
      </c>
      <c r="L324" s="50" t="s">
        <v>1379</v>
      </c>
      <c r="M324" s="50" t="s">
        <v>1379</v>
      </c>
      <c r="N324" s="47" t="s">
        <v>1379</v>
      </c>
      <c r="O324" s="45" t="s">
        <v>1379</v>
      </c>
      <c r="P324" s="45">
        <v>-16.561666666666667</v>
      </c>
      <c r="Q324" s="45">
        <v>-69.039833333333334</v>
      </c>
      <c r="R324" s="45" t="s">
        <v>1139</v>
      </c>
      <c r="S324" s="51" t="s">
        <v>1140</v>
      </c>
      <c r="U324" s="52"/>
    </row>
    <row r="325" spans="1:21" ht="17.25" customHeight="1" x14ac:dyDescent="0.3">
      <c r="A325" s="45">
        <v>324</v>
      </c>
      <c r="B325" s="54" t="s">
        <v>1379</v>
      </c>
      <c r="C325" s="47" t="s">
        <v>1379</v>
      </c>
      <c r="D325" s="47" t="s">
        <v>1379</v>
      </c>
      <c r="E325" s="47" t="s">
        <v>1379</v>
      </c>
      <c r="F325" s="47" t="s">
        <v>1379</v>
      </c>
      <c r="G325" s="45" t="s">
        <v>1379</v>
      </c>
      <c r="H325" s="48" t="s">
        <v>1379</v>
      </c>
      <c r="I325" s="49" t="s">
        <v>1379</v>
      </c>
      <c r="J325" s="47" t="s">
        <v>1379</v>
      </c>
      <c r="K325" s="47" t="s">
        <v>1379</v>
      </c>
      <c r="L325" s="50" t="s">
        <v>1379</v>
      </c>
      <c r="M325" s="50" t="s">
        <v>1379</v>
      </c>
      <c r="N325" s="47" t="s">
        <v>1379</v>
      </c>
      <c r="O325" s="45" t="s">
        <v>1379</v>
      </c>
      <c r="P325" s="45">
        <v>-14.789633333333333</v>
      </c>
      <c r="Q325" s="45">
        <v>-71.395766666666674</v>
      </c>
      <c r="R325" s="45" t="s">
        <v>1141</v>
      </c>
      <c r="S325" s="51" t="s">
        <v>1142</v>
      </c>
      <c r="U325" s="52"/>
    </row>
    <row r="326" spans="1:21" ht="17.25" customHeight="1" x14ac:dyDescent="0.3">
      <c r="A326" s="45">
        <v>325</v>
      </c>
      <c r="B326" s="54" t="s">
        <v>1379</v>
      </c>
      <c r="C326" s="47" t="s">
        <v>1379</v>
      </c>
      <c r="D326" s="47" t="s">
        <v>1379</v>
      </c>
      <c r="E326" s="47" t="s">
        <v>1379</v>
      </c>
      <c r="F326" s="47" t="s">
        <v>1379</v>
      </c>
      <c r="G326" s="45" t="s">
        <v>1379</v>
      </c>
      <c r="H326" s="48" t="s">
        <v>1379</v>
      </c>
      <c r="I326" s="49" t="s">
        <v>1379</v>
      </c>
      <c r="J326" s="47" t="s">
        <v>1379</v>
      </c>
      <c r="K326" s="47" t="s">
        <v>1379</v>
      </c>
      <c r="L326" s="50" t="s">
        <v>1379</v>
      </c>
      <c r="M326" s="50" t="s">
        <v>1379</v>
      </c>
      <c r="N326" s="47" t="s">
        <v>1379</v>
      </c>
      <c r="O326" s="45" t="s">
        <v>1379</v>
      </c>
      <c r="P326" s="45">
        <v>-15.202611111111111</v>
      </c>
      <c r="Q326" s="45">
        <v>-69.764472222222224</v>
      </c>
      <c r="R326" s="45" t="s">
        <v>1143</v>
      </c>
      <c r="S326" s="51" t="s">
        <v>1144</v>
      </c>
      <c r="U326" s="52"/>
    </row>
    <row r="327" spans="1:21" ht="17.25" customHeight="1" x14ac:dyDescent="0.3">
      <c r="A327" s="45">
        <v>326</v>
      </c>
      <c r="B327" s="54" t="s">
        <v>1379</v>
      </c>
      <c r="C327" s="47" t="s">
        <v>1379</v>
      </c>
      <c r="D327" s="47" t="s">
        <v>1379</v>
      </c>
      <c r="E327" s="47" t="s">
        <v>1379</v>
      </c>
      <c r="F327" s="47" t="s">
        <v>1379</v>
      </c>
      <c r="G327" s="45" t="s">
        <v>1379</v>
      </c>
      <c r="H327" s="48" t="s">
        <v>1379</v>
      </c>
      <c r="I327" s="49" t="s">
        <v>1379</v>
      </c>
      <c r="J327" s="47" t="s">
        <v>1379</v>
      </c>
      <c r="K327" s="47" t="s">
        <v>1379</v>
      </c>
      <c r="L327" s="50" t="s">
        <v>1379</v>
      </c>
      <c r="M327" s="50" t="s">
        <v>1379</v>
      </c>
      <c r="N327" s="47" t="s">
        <v>1379</v>
      </c>
      <c r="O327" s="45" t="s">
        <v>1379</v>
      </c>
      <c r="P327" s="45">
        <v>-13.645925</v>
      </c>
      <c r="Q327" s="45">
        <v>-73.054672222222223</v>
      </c>
      <c r="R327" s="45" t="s">
        <v>1145</v>
      </c>
      <c r="S327" s="51" t="s">
        <v>1146</v>
      </c>
      <c r="U327" s="52"/>
    </row>
    <row r="328" spans="1:21" ht="17.25" customHeight="1" x14ac:dyDescent="0.3">
      <c r="A328" s="45">
        <v>327</v>
      </c>
      <c r="B328" s="54" t="s">
        <v>1379</v>
      </c>
      <c r="C328" s="47" t="s">
        <v>1379</v>
      </c>
      <c r="D328" s="47" t="s">
        <v>1379</v>
      </c>
      <c r="E328" s="47" t="s">
        <v>1379</v>
      </c>
      <c r="F328" s="47" t="s">
        <v>1379</v>
      </c>
      <c r="G328" s="45" t="s">
        <v>1379</v>
      </c>
      <c r="H328" s="48" t="s">
        <v>1379</v>
      </c>
      <c r="I328" s="49" t="s">
        <v>1379</v>
      </c>
      <c r="J328" s="47" t="s">
        <v>1379</v>
      </c>
      <c r="K328" s="47" t="s">
        <v>1379</v>
      </c>
      <c r="L328" s="50" t="s">
        <v>1379</v>
      </c>
      <c r="M328" s="50" t="s">
        <v>1379</v>
      </c>
      <c r="N328" s="47" t="s">
        <v>1379</v>
      </c>
      <c r="O328" s="45" t="s">
        <v>1379</v>
      </c>
      <c r="P328" s="45">
        <v>-13.509611111111111</v>
      </c>
      <c r="Q328" s="45">
        <v>-71.652361111111119</v>
      </c>
      <c r="R328" s="45" t="s">
        <v>1147</v>
      </c>
      <c r="S328" s="51" t="s">
        <v>1148</v>
      </c>
      <c r="U328" s="52"/>
    </row>
    <row r="329" spans="1:21" ht="17.25" customHeight="1" x14ac:dyDescent="0.3">
      <c r="A329" s="45">
        <v>328</v>
      </c>
      <c r="B329" s="54" t="s">
        <v>1379</v>
      </c>
      <c r="C329" s="47" t="s">
        <v>1379</v>
      </c>
      <c r="D329" s="47" t="s">
        <v>1379</v>
      </c>
      <c r="E329" s="47" t="s">
        <v>1379</v>
      </c>
      <c r="F329" s="47" t="s">
        <v>1379</v>
      </c>
      <c r="G329" s="45" t="s">
        <v>1379</v>
      </c>
      <c r="H329" s="48" t="s">
        <v>1379</v>
      </c>
      <c r="I329" s="49" t="s">
        <v>1379</v>
      </c>
      <c r="J329" s="47" t="s">
        <v>1379</v>
      </c>
      <c r="K329" s="47" t="s">
        <v>1379</v>
      </c>
      <c r="L329" s="50" t="s">
        <v>1379</v>
      </c>
      <c r="M329" s="50" t="s">
        <v>1379</v>
      </c>
      <c r="N329" s="47" t="s">
        <v>1379</v>
      </c>
      <c r="O329" s="45" t="s">
        <v>1379</v>
      </c>
      <c r="P329" s="45">
        <v>-15.145333333333333</v>
      </c>
      <c r="Q329" s="45">
        <v>-72.772499999999994</v>
      </c>
      <c r="R329" s="45" t="s">
        <v>1149</v>
      </c>
      <c r="S329" s="51" t="s">
        <v>1150</v>
      </c>
      <c r="U329" s="52"/>
    </row>
    <row r="330" spans="1:21" ht="17.25" customHeight="1" x14ac:dyDescent="0.3">
      <c r="A330" s="45">
        <v>329</v>
      </c>
      <c r="B330" s="54" t="s">
        <v>1379</v>
      </c>
      <c r="C330" s="47" t="s">
        <v>1379</v>
      </c>
      <c r="D330" s="47" t="s">
        <v>1379</v>
      </c>
      <c r="E330" s="47" t="s">
        <v>1379</v>
      </c>
      <c r="F330" s="47" t="s">
        <v>1379</v>
      </c>
      <c r="G330" s="45" t="s">
        <v>1379</v>
      </c>
      <c r="H330" s="48" t="s">
        <v>1379</v>
      </c>
      <c r="I330" s="49" t="s">
        <v>1379</v>
      </c>
      <c r="J330" s="47" t="s">
        <v>1379</v>
      </c>
      <c r="K330" s="47" t="s">
        <v>1379</v>
      </c>
      <c r="L330" s="50" t="s">
        <v>1379</v>
      </c>
      <c r="M330" s="50" t="s">
        <v>1379</v>
      </c>
      <c r="N330" s="47" t="s">
        <v>1379</v>
      </c>
      <c r="O330" s="45" t="s">
        <v>1379</v>
      </c>
      <c r="P330" s="45">
        <v>-12.996102777777777</v>
      </c>
      <c r="Q330" s="45">
        <v>-70.525400000000005</v>
      </c>
      <c r="R330" s="45" t="s">
        <v>1151</v>
      </c>
      <c r="S330" s="51" t="s">
        <v>1152</v>
      </c>
      <c r="U330" s="52"/>
    </row>
    <row r="331" spans="1:21" ht="17.25" customHeight="1" x14ac:dyDescent="0.3">
      <c r="A331" s="45">
        <v>330</v>
      </c>
      <c r="B331" s="54" t="s">
        <v>1379</v>
      </c>
      <c r="C331" s="47" t="s">
        <v>1379</v>
      </c>
      <c r="D331" s="47" t="s">
        <v>1379</v>
      </c>
      <c r="E331" s="47" t="s">
        <v>1379</v>
      </c>
      <c r="F331" s="47" t="s">
        <v>1379</v>
      </c>
      <c r="G331" s="45" t="s">
        <v>1379</v>
      </c>
      <c r="H331" s="48" t="s">
        <v>1379</v>
      </c>
      <c r="I331" s="49" t="s">
        <v>1379</v>
      </c>
      <c r="J331" s="47" t="s">
        <v>1379</v>
      </c>
      <c r="K331" s="47" t="s">
        <v>1379</v>
      </c>
      <c r="L331" s="50" t="s">
        <v>1379</v>
      </c>
      <c r="M331" s="50" t="s">
        <v>1379</v>
      </c>
      <c r="N331" s="47" t="s">
        <v>1379</v>
      </c>
      <c r="O331" s="45" t="s">
        <v>1379</v>
      </c>
      <c r="P331" s="45">
        <v>-11.407500000000001</v>
      </c>
      <c r="Q331" s="45">
        <v>-69.488527777777776</v>
      </c>
      <c r="R331" s="45" t="s">
        <v>1153</v>
      </c>
      <c r="S331" s="51" t="s">
        <v>1154</v>
      </c>
      <c r="U331" s="52"/>
    </row>
    <row r="332" spans="1:21" ht="17.25" customHeight="1" x14ac:dyDescent="0.3">
      <c r="A332" s="45">
        <v>331</v>
      </c>
      <c r="B332" s="54" t="s">
        <v>1379</v>
      </c>
      <c r="C332" s="47" t="s">
        <v>1379</v>
      </c>
      <c r="D332" s="47" t="s">
        <v>1379</v>
      </c>
      <c r="E332" s="47" t="s">
        <v>1379</v>
      </c>
      <c r="F332" s="47" t="s">
        <v>1379</v>
      </c>
      <c r="G332" s="45" t="s">
        <v>1379</v>
      </c>
      <c r="H332" s="48" t="s">
        <v>1379</v>
      </c>
      <c r="I332" s="49" t="s">
        <v>1379</v>
      </c>
      <c r="J332" s="47" t="s">
        <v>1379</v>
      </c>
      <c r="K332" s="47" t="s">
        <v>1379</v>
      </c>
      <c r="L332" s="50" t="s">
        <v>1379</v>
      </c>
      <c r="M332" s="50" t="s">
        <v>1379</v>
      </c>
      <c r="N332" s="47" t="s">
        <v>1379</v>
      </c>
      <c r="O332" s="45" t="s">
        <v>1379</v>
      </c>
      <c r="P332" s="45">
        <v>-11.407500000000001</v>
      </c>
      <c r="Q332" s="45">
        <v>-69.488527777777776</v>
      </c>
      <c r="R332" s="45" t="s">
        <v>1153</v>
      </c>
      <c r="S332" s="51" t="s">
        <v>1155</v>
      </c>
      <c r="U332" s="52"/>
    </row>
    <row r="333" spans="1:21" ht="17.25" customHeight="1" x14ac:dyDescent="0.3">
      <c r="A333" s="45">
        <v>332</v>
      </c>
      <c r="B333" s="54" t="s">
        <v>1379</v>
      </c>
      <c r="C333" s="47" t="s">
        <v>1379</v>
      </c>
      <c r="D333" s="47" t="s">
        <v>1379</v>
      </c>
      <c r="E333" s="47" t="s">
        <v>1379</v>
      </c>
      <c r="F333" s="47" t="s">
        <v>1379</v>
      </c>
      <c r="G333" s="45" t="s">
        <v>1379</v>
      </c>
      <c r="H333" s="48" t="s">
        <v>1379</v>
      </c>
      <c r="I333" s="49" t="s">
        <v>1379</v>
      </c>
      <c r="J333" s="47" t="s">
        <v>1379</v>
      </c>
      <c r="K333" s="47" t="s">
        <v>1379</v>
      </c>
      <c r="L333" s="50" t="s">
        <v>1379</v>
      </c>
      <c r="M333" s="50" t="s">
        <v>1379</v>
      </c>
      <c r="N333" s="47" t="s">
        <v>1379</v>
      </c>
      <c r="O333" s="45" t="s">
        <v>1379</v>
      </c>
      <c r="P333" s="45">
        <v>-13.994416666666666</v>
      </c>
      <c r="Q333" s="45">
        <v>-75.784750000000003</v>
      </c>
      <c r="R333" s="45" t="s">
        <v>1156</v>
      </c>
      <c r="S333" s="51" t="s">
        <v>1157</v>
      </c>
      <c r="U333" s="52"/>
    </row>
    <row r="334" spans="1:21" ht="17.25" customHeight="1" x14ac:dyDescent="0.3">
      <c r="A334" s="45">
        <v>333</v>
      </c>
      <c r="B334" s="54" t="s">
        <v>1379</v>
      </c>
      <c r="C334" s="47" t="s">
        <v>1379</v>
      </c>
      <c r="D334" s="47" t="s">
        <v>1379</v>
      </c>
      <c r="E334" s="47" t="s">
        <v>1379</v>
      </c>
      <c r="F334" s="47" t="s">
        <v>1379</v>
      </c>
      <c r="G334" s="45" t="s">
        <v>1379</v>
      </c>
      <c r="H334" s="48" t="s">
        <v>1379</v>
      </c>
      <c r="I334" s="49" t="s">
        <v>1379</v>
      </c>
      <c r="J334" s="47" t="s">
        <v>1379</v>
      </c>
      <c r="K334" s="47" t="s">
        <v>1379</v>
      </c>
      <c r="L334" s="50" t="s">
        <v>1379</v>
      </c>
      <c r="M334" s="50" t="s">
        <v>1379</v>
      </c>
      <c r="N334" s="47" t="s">
        <v>1379</v>
      </c>
      <c r="O334" s="45" t="s">
        <v>1379</v>
      </c>
      <c r="P334" s="45">
        <v>-13.994416666666666</v>
      </c>
      <c r="Q334" s="45">
        <v>-75.784750000000003</v>
      </c>
      <c r="R334" s="45" t="s">
        <v>1156</v>
      </c>
      <c r="S334" s="51" t="s">
        <v>1158</v>
      </c>
      <c r="U334" s="52"/>
    </row>
    <row r="335" spans="1:21" ht="17.25" customHeight="1" x14ac:dyDescent="0.3">
      <c r="A335" s="45">
        <v>334</v>
      </c>
      <c r="B335" s="54" t="s">
        <v>1379</v>
      </c>
      <c r="C335" s="47" t="s">
        <v>1379</v>
      </c>
      <c r="D335" s="47" t="s">
        <v>1379</v>
      </c>
      <c r="E335" s="47" t="s">
        <v>1379</v>
      </c>
      <c r="F335" s="47" t="s">
        <v>1379</v>
      </c>
      <c r="G335" s="45" t="s">
        <v>1379</v>
      </c>
      <c r="H335" s="48" t="s">
        <v>1379</v>
      </c>
      <c r="I335" s="49" t="s">
        <v>1379</v>
      </c>
      <c r="J335" s="47" t="s">
        <v>1379</v>
      </c>
      <c r="K335" s="47" t="s">
        <v>1379</v>
      </c>
      <c r="L335" s="50" t="s">
        <v>1379</v>
      </c>
      <c r="M335" s="50" t="s">
        <v>1379</v>
      </c>
      <c r="N335" s="47" t="s">
        <v>1379</v>
      </c>
      <c r="O335" s="45" t="s">
        <v>1379</v>
      </c>
      <c r="P335" s="45">
        <v>-16.143055555555556</v>
      </c>
      <c r="Q335" s="45">
        <v>-70.539166666666659</v>
      </c>
      <c r="R335" s="45" t="s">
        <v>1159</v>
      </c>
      <c r="S335" s="51" t="s">
        <v>1160</v>
      </c>
      <c r="U335" s="52"/>
    </row>
    <row r="336" spans="1:21" ht="17.25" customHeight="1" x14ac:dyDescent="0.3">
      <c r="A336" s="45">
        <v>335</v>
      </c>
      <c r="B336" s="54" t="s">
        <v>1379</v>
      </c>
      <c r="C336" s="47" t="s">
        <v>1379</v>
      </c>
      <c r="D336" s="47" t="s">
        <v>1379</v>
      </c>
      <c r="E336" s="47" t="s">
        <v>1379</v>
      </c>
      <c r="F336" s="47" t="s">
        <v>1379</v>
      </c>
      <c r="G336" s="45" t="s">
        <v>1379</v>
      </c>
      <c r="H336" s="48" t="s">
        <v>1379</v>
      </c>
      <c r="I336" s="49" t="s">
        <v>1379</v>
      </c>
      <c r="J336" s="47" t="s">
        <v>1379</v>
      </c>
      <c r="K336" s="47" t="s">
        <v>1379</v>
      </c>
      <c r="L336" s="50" t="s">
        <v>1379</v>
      </c>
      <c r="M336" s="50" t="s">
        <v>1379</v>
      </c>
      <c r="N336" s="47" t="s">
        <v>1379</v>
      </c>
      <c r="O336" s="45" t="s">
        <v>1379</v>
      </c>
      <c r="P336" s="45">
        <v>-16.093361111111111</v>
      </c>
      <c r="Q336" s="45">
        <v>-69.630794444444433</v>
      </c>
      <c r="R336" s="45" t="s">
        <v>1161</v>
      </c>
      <c r="S336" s="51" t="s">
        <v>1162</v>
      </c>
      <c r="U336" s="52"/>
    </row>
    <row r="337" spans="1:21" ht="17.25" customHeight="1" x14ac:dyDescent="0.3">
      <c r="A337" s="45">
        <v>336</v>
      </c>
      <c r="B337" s="54" t="s">
        <v>1379</v>
      </c>
      <c r="C337" s="47" t="s">
        <v>1379</v>
      </c>
      <c r="D337" s="47" t="s">
        <v>1379</v>
      </c>
      <c r="E337" s="47" t="s">
        <v>1379</v>
      </c>
      <c r="F337" s="47" t="s">
        <v>1379</v>
      </c>
      <c r="G337" s="45" t="s">
        <v>1379</v>
      </c>
      <c r="H337" s="48" t="s">
        <v>1379</v>
      </c>
      <c r="I337" s="49" t="s">
        <v>1379</v>
      </c>
      <c r="J337" s="47" t="s">
        <v>1379</v>
      </c>
      <c r="K337" s="47" t="s">
        <v>1379</v>
      </c>
      <c r="L337" s="50" t="s">
        <v>1379</v>
      </c>
      <c r="M337" s="50" t="s">
        <v>1379</v>
      </c>
      <c r="N337" s="47" t="s">
        <v>1379</v>
      </c>
      <c r="O337" s="45" t="s">
        <v>1379</v>
      </c>
      <c r="P337" s="45">
        <v>-17.662816666666664</v>
      </c>
      <c r="Q337" s="45">
        <v>-71.350763888888878</v>
      </c>
      <c r="R337" s="45" t="s">
        <v>1163</v>
      </c>
      <c r="S337" s="51" t="s">
        <v>1164</v>
      </c>
      <c r="U337" s="52"/>
    </row>
    <row r="338" spans="1:21" ht="17.25" customHeight="1" x14ac:dyDescent="0.3">
      <c r="A338" s="45">
        <v>337</v>
      </c>
      <c r="B338" s="54" t="s">
        <v>1379</v>
      </c>
      <c r="C338" s="47" t="s">
        <v>1379</v>
      </c>
      <c r="D338" s="47" t="s">
        <v>1379</v>
      </c>
      <c r="E338" s="47" t="s">
        <v>1379</v>
      </c>
      <c r="F338" s="47" t="s">
        <v>1379</v>
      </c>
      <c r="G338" s="45" t="s">
        <v>1379</v>
      </c>
      <c r="H338" s="48" t="s">
        <v>1379</v>
      </c>
      <c r="I338" s="49" t="s">
        <v>1379</v>
      </c>
      <c r="J338" s="47" t="s">
        <v>1379</v>
      </c>
      <c r="K338" s="47" t="s">
        <v>1379</v>
      </c>
      <c r="L338" s="50" t="s">
        <v>1379</v>
      </c>
      <c r="M338" s="50" t="s">
        <v>1379</v>
      </c>
      <c r="N338" s="47" t="s">
        <v>1379</v>
      </c>
      <c r="O338" s="45" t="s">
        <v>1379</v>
      </c>
      <c r="P338" s="45">
        <v>-10.954138888888888</v>
      </c>
      <c r="Q338" s="45">
        <v>-69.574638888888884</v>
      </c>
      <c r="R338" s="45" t="s">
        <v>1165</v>
      </c>
      <c r="S338" s="51" t="s">
        <v>1166</v>
      </c>
      <c r="U338" s="52"/>
    </row>
    <row r="339" spans="1:21" ht="17.25" customHeight="1" x14ac:dyDescent="0.3">
      <c r="A339" s="45">
        <v>338</v>
      </c>
      <c r="B339" s="54" t="s">
        <v>1379</v>
      </c>
      <c r="C339" s="47" t="s">
        <v>1379</v>
      </c>
      <c r="D339" s="47" t="s">
        <v>1379</v>
      </c>
      <c r="E339" s="47" t="s">
        <v>1379</v>
      </c>
      <c r="F339" s="47" t="s">
        <v>1379</v>
      </c>
      <c r="G339" s="45" t="s">
        <v>1379</v>
      </c>
      <c r="H339" s="48" t="s">
        <v>1379</v>
      </c>
      <c r="I339" s="49" t="s">
        <v>1379</v>
      </c>
      <c r="J339" s="47" t="s">
        <v>1379</v>
      </c>
      <c r="K339" s="47" t="s">
        <v>1379</v>
      </c>
      <c r="L339" s="50" t="s">
        <v>1379</v>
      </c>
      <c r="M339" s="50" t="s">
        <v>1379</v>
      </c>
      <c r="N339" s="47" t="s">
        <v>1379</v>
      </c>
      <c r="O339" s="45" t="s">
        <v>1379</v>
      </c>
      <c r="P339" s="45">
        <v>-12.457827777777776</v>
      </c>
      <c r="Q339" s="45">
        <v>-72.966116666666665</v>
      </c>
      <c r="R339" s="45" t="s">
        <v>1167</v>
      </c>
      <c r="S339" s="51" t="s">
        <v>1168</v>
      </c>
      <c r="U339" s="52"/>
    </row>
    <row r="340" spans="1:21" ht="17.25" customHeight="1" x14ac:dyDescent="0.3">
      <c r="A340" s="45">
        <v>339</v>
      </c>
      <c r="B340" s="54" t="s">
        <v>1379</v>
      </c>
      <c r="C340" s="47" t="s">
        <v>1379</v>
      </c>
      <c r="D340" s="47" t="s">
        <v>1379</v>
      </c>
      <c r="E340" s="47" t="s">
        <v>1379</v>
      </c>
      <c r="F340" s="47" t="s">
        <v>1379</v>
      </c>
      <c r="G340" s="45" t="s">
        <v>1379</v>
      </c>
      <c r="H340" s="48" t="s">
        <v>1379</v>
      </c>
      <c r="I340" s="49" t="s">
        <v>1379</v>
      </c>
      <c r="J340" s="47" t="s">
        <v>1379</v>
      </c>
      <c r="K340" s="47" t="s">
        <v>1379</v>
      </c>
      <c r="L340" s="50" t="s">
        <v>1379</v>
      </c>
      <c r="M340" s="50" t="s">
        <v>1379</v>
      </c>
      <c r="N340" s="47" t="s">
        <v>1379</v>
      </c>
      <c r="O340" s="45" t="s">
        <v>1379</v>
      </c>
      <c r="P340" s="45">
        <v>-16.204308333333334</v>
      </c>
      <c r="Q340" s="45">
        <v>-69.440094444444455</v>
      </c>
      <c r="R340" s="45" t="s">
        <v>1169</v>
      </c>
      <c r="S340" s="51" t="s">
        <v>1170</v>
      </c>
      <c r="U340" s="52"/>
    </row>
    <row r="341" spans="1:21" ht="17.25" customHeight="1" x14ac:dyDescent="0.3">
      <c r="A341" s="45">
        <v>340</v>
      </c>
      <c r="B341" s="54" t="s">
        <v>1379</v>
      </c>
      <c r="C341" s="47" t="s">
        <v>1379</v>
      </c>
      <c r="D341" s="47" t="s">
        <v>1379</v>
      </c>
      <c r="E341" s="47" t="s">
        <v>1379</v>
      </c>
      <c r="F341" s="47" t="s">
        <v>1379</v>
      </c>
      <c r="G341" s="45" t="s">
        <v>1379</v>
      </c>
      <c r="H341" s="48" t="s">
        <v>1379</v>
      </c>
      <c r="I341" s="49" t="s">
        <v>1379</v>
      </c>
      <c r="J341" s="47" t="s">
        <v>1379</v>
      </c>
      <c r="K341" s="47" t="s">
        <v>1379</v>
      </c>
      <c r="L341" s="50" t="s">
        <v>1379</v>
      </c>
      <c r="M341" s="50" t="s">
        <v>1379</v>
      </c>
      <c r="N341" s="47" t="s">
        <v>1379</v>
      </c>
      <c r="O341" s="45" t="s">
        <v>1379</v>
      </c>
      <c r="P341" s="45">
        <v>-16.204308333333334</v>
      </c>
      <c r="Q341" s="45">
        <v>-69.440094444444455</v>
      </c>
      <c r="R341" s="45" t="s">
        <v>1169</v>
      </c>
      <c r="S341" s="51" t="s">
        <v>1171</v>
      </c>
      <c r="U341" s="52"/>
    </row>
    <row r="342" spans="1:21" ht="17.25" customHeight="1" x14ac:dyDescent="0.3">
      <c r="A342" s="45">
        <v>341</v>
      </c>
      <c r="B342" s="54" t="s">
        <v>1379</v>
      </c>
      <c r="C342" s="47" t="s">
        <v>1379</v>
      </c>
      <c r="D342" s="47" t="s">
        <v>1379</v>
      </c>
      <c r="E342" s="47" t="s">
        <v>1379</v>
      </c>
      <c r="F342" s="47" t="s">
        <v>1379</v>
      </c>
      <c r="G342" s="45" t="s">
        <v>1379</v>
      </c>
      <c r="H342" s="48" t="s">
        <v>1379</v>
      </c>
      <c r="I342" s="49" t="s">
        <v>1379</v>
      </c>
      <c r="J342" s="47" t="s">
        <v>1379</v>
      </c>
      <c r="K342" s="47" t="s">
        <v>1379</v>
      </c>
      <c r="L342" s="50" t="s">
        <v>1379</v>
      </c>
      <c r="M342" s="50" t="s">
        <v>1379</v>
      </c>
      <c r="N342" s="47" t="s">
        <v>1379</v>
      </c>
      <c r="O342" s="45" t="s">
        <v>1379</v>
      </c>
      <c r="P342" s="45">
        <v>-15.497997222222221</v>
      </c>
      <c r="Q342" s="45">
        <v>-70.137197222222227</v>
      </c>
      <c r="R342" s="45" t="s">
        <v>1172</v>
      </c>
      <c r="S342" s="51" t="s">
        <v>1173</v>
      </c>
      <c r="U342" s="52"/>
    </row>
    <row r="343" spans="1:21" ht="17.25" customHeight="1" x14ac:dyDescent="0.3">
      <c r="A343" s="45">
        <v>342</v>
      </c>
      <c r="B343" s="54" t="s">
        <v>1379</v>
      </c>
      <c r="C343" s="47" t="s">
        <v>1379</v>
      </c>
      <c r="D343" s="47" t="s">
        <v>1379</v>
      </c>
      <c r="E343" s="47" t="s">
        <v>1379</v>
      </c>
      <c r="F343" s="47" t="s">
        <v>1379</v>
      </c>
      <c r="G343" s="45" t="s">
        <v>1379</v>
      </c>
      <c r="H343" s="48" t="s">
        <v>1379</v>
      </c>
      <c r="I343" s="49" t="s">
        <v>1379</v>
      </c>
      <c r="J343" s="47" t="s">
        <v>1379</v>
      </c>
      <c r="K343" s="47" t="s">
        <v>1379</v>
      </c>
      <c r="L343" s="50" t="s">
        <v>1379</v>
      </c>
      <c r="M343" s="50" t="s">
        <v>1379</v>
      </c>
      <c r="N343" s="47" t="s">
        <v>1379</v>
      </c>
      <c r="O343" s="45" t="s">
        <v>1379</v>
      </c>
      <c r="P343" s="45">
        <v>-13.539305555555556</v>
      </c>
      <c r="Q343" s="45">
        <v>-73.286083333333337</v>
      </c>
      <c r="R343" s="45" t="s">
        <v>1174</v>
      </c>
      <c r="S343" s="51" t="s">
        <v>1175</v>
      </c>
      <c r="U343" s="52"/>
    </row>
    <row r="344" spans="1:21" ht="17.25" customHeight="1" x14ac:dyDescent="0.3">
      <c r="A344" s="45">
        <v>343</v>
      </c>
      <c r="B344" s="54" t="s">
        <v>1379</v>
      </c>
      <c r="C344" s="47" t="s">
        <v>1379</v>
      </c>
      <c r="D344" s="47" t="s">
        <v>1379</v>
      </c>
      <c r="E344" s="47" t="s">
        <v>1379</v>
      </c>
      <c r="F344" s="47" t="s">
        <v>1379</v>
      </c>
      <c r="G344" s="45" t="s">
        <v>1379</v>
      </c>
      <c r="H344" s="48" t="s">
        <v>1379</v>
      </c>
      <c r="I344" s="49" t="s">
        <v>1379</v>
      </c>
      <c r="J344" s="47" t="s">
        <v>1379</v>
      </c>
      <c r="K344" s="47" t="s">
        <v>1379</v>
      </c>
      <c r="L344" s="50" t="s">
        <v>1379</v>
      </c>
      <c r="M344" s="50" t="s">
        <v>1379</v>
      </c>
      <c r="N344" s="47" t="s">
        <v>1379</v>
      </c>
      <c r="O344" s="45" t="s">
        <v>1379</v>
      </c>
      <c r="P344" s="45">
        <v>-12.638483333333333</v>
      </c>
      <c r="Q344" s="45">
        <v>-73.201683333333335</v>
      </c>
      <c r="R344" s="45" t="s">
        <v>1176</v>
      </c>
      <c r="S344" s="51" t="s">
        <v>1177</v>
      </c>
      <c r="U344" s="52"/>
    </row>
    <row r="345" spans="1:21" ht="17.25" customHeight="1" x14ac:dyDescent="0.3">
      <c r="A345" s="45">
        <v>344</v>
      </c>
      <c r="B345" s="54" t="s">
        <v>1379</v>
      </c>
      <c r="C345" s="47" t="s">
        <v>1379</v>
      </c>
      <c r="D345" s="47" t="s">
        <v>1379</v>
      </c>
      <c r="E345" s="47" t="s">
        <v>1379</v>
      </c>
      <c r="F345" s="47" t="s">
        <v>1379</v>
      </c>
      <c r="G345" s="45" t="s">
        <v>1379</v>
      </c>
      <c r="H345" s="48" t="s">
        <v>1379</v>
      </c>
      <c r="I345" s="49" t="s">
        <v>1379</v>
      </c>
      <c r="J345" s="47" t="s">
        <v>1379</v>
      </c>
      <c r="K345" s="47" t="s">
        <v>1379</v>
      </c>
      <c r="L345" s="50" t="s">
        <v>1379</v>
      </c>
      <c r="M345" s="50" t="s">
        <v>1379</v>
      </c>
      <c r="N345" s="47" t="s">
        <v>1379</v>
      </c>
      <c r="O345" s="45" t="s">
        <v>1379</v>
      </c>
      <c r="P345" s="45">
        <v>-12.96661111111111</v>
      </c>
      <c r="Q345" s="45">
        <v>-71.423055555555564</v>
      </c>
      <c r="R345" s="45" t="s">
        <v>1178</v>
      </c>
      <c r="S345" s="51" t="s">
        <v>1179</v>
      </c>
      <c r="U345" s="52"/>
    </row>
    <row r="346" spans="1:21" ht="17.25" customHeight="1" x14ac:dyDescent="0.3">
      <c r="A346" s="45">
        <v>345</v>
      </c>
      <c r="B346" s="54" t="s">
        <v>1379</v>
      </c>
      <c r="C346" s="47" t="s">
        <v>1379</v>
      </c>
      <c r="D346" s="47" t="s">
        <v>1379</v>
      </c>
      <c r="E346" s="47" t="s">
        <v>1379</v>
      </c>
      <c r="F346" s="47" t="s">
        <v>1379</v>
      </c>
      <c r="G346" s="45" t="s">
        <v>1379</v>
      </c>
      <c r="H346" s="48" t="s">
        <v>1379</v>
      </c>
      <c r="I346" s="49" t="s">
        <v>1379</v>
      </c>
      <c r="J346" s="47" t="s">
        <v>1379</v>
      </c>
      <c r="K346" s="47" t="s">
        <v>1379</v>
      </c>
      <c r="L346" s="50" t="s">
        <v>1379</v>
      </c>
      <c r="M346" s="50" t="s">
        <v>1379</v>
      </c>
      <c r="N346" s="47" t="s">
        <v>1379</v>
      </c>
      <c r="O346" s="45" t="s">
        <v>1379</v>
      </c>
      <c r="P346" s="45">
        <v>-12.96661111111111</v>
      </c>
      <c r="Q346" s="45">
        <v>-71.423055555555564</v>
      </c>
      <c r="R346" s="45" t="s">
        <v>1178</v>
      </c>
      <c r="S346" s="51" t="s">
        <v>1180</v>
      </c>
      <c r="U346" s="52"/>
    </row>
    <row r="347" spans="1:21" ht="17.25" customHeight="1" x14ac:dyDescent="0.3">
      <c r="A347" s="45">
        <v>346</v>
      </c>
      <c r="B347" s="54" t="s">
        <v>1379</v>
      </c>
      <c r="C347" s="47" t="s">
        <v>1379</v>
      </c>
      <c r="D347" s="47" t="s">
        <v>1379</v>
      </c>
      <c r="E347" s="47" t="s">
        <v>1379</v>
      </c>
      <c r="F347" s="47" t="s">
        <v>1379</v>
      </c>
      <c r="G347" s="45" t="s">
        <v>1379</v>
      </c>
      <c r="H347" s="48" t="s">
        <v>1379</v>
      </c>
      <c r="I347" s="49" t="s">
        <v>1379</v>
      </c>
      <c r="J347" s="47" t="s">
        <v>1379</v>
      </c>
      <c r="K347" s="47" t="s">
        <v>1379</v>
      </c>
      <c r="L347" s="50" t="s">
        <v>1379</v>
      </c>
      <c r="M347" s="50" t="s">
        <v>1379</v>
      </c>
      <c r="N347" s="47" t="s">
        <v>1379</v>
      </c>
      <c r="O347" s="45" t="s">
        <v>1379</v>
      </c>
      <c r="P347" s="45">
        <v>-16.432500000000001</v>
      </c>
      <c r="Q347" s="45">
        <v>-71.825027777777777</v>
      </c>
      <c r="R347" s="45" t="s">
        <v>1181</v>
      </c>
      <c r="S347" s="51" t="s">
        <v>1182</v>
      </c>
      <c r="U347" s="52"/>
    </row>
    <row r="348" spans="1:21" ht="17.25" customHeight="1" x14ac:dyDescent="0.3">
      <c r="A348" s="45">
        <v>347</v>
      </c>
      <c r="B348" s="54" t="s">
        <v>1379</v>
      </c>
      <c r="C348" s="47" t="s">
        <v>1379</v>
      </c>
      <c r="D348" s="47" t="s">
        <v>1379</v>
      </c>
      <c r="E348" s="47" t="s">
        <v>1379</v>
      </c>
      <c r="F348" s="47" t="s">
        <v>1379</v>
      </c>
      <c r="G348" s="45" t="s">
        <v>1379</v>
      </c>
      <c r="H348" s="48" t="s">
        <v>1379</v>
      </c>
      <c r="I348" s="49" t="s">
        <v>1379</v>
      </c>
      <c r="J348" s="47" t="s">
        <v>1379</v>
      </c>
      <c r="K348" s="47" t="s">
        <v>1379</v>
      </c>
      <c r="L348" s="50" t="s">
        <v>1379</v>
      </c>
      <c r="M348" s="50" t="s">
        <v>1379</v>
      </c>
      <c r="N348" s="47" t="s">
        <v>1379</v>
      </c>
      <c r="O348" s="45" t="s">
        <v>1379</v>
      </c>
      <c r="P348" s="45">
        <v>-12.729277777777778</v>
      </c>
      <c r="Q348" s="45">
        <v>-69.575305555555545</v>
      </c>
      <c r="R348" s="45" t="s">
        <v>1183</v>
      </c>
      <c r="S348" s="51" t="s">
        <v>1184</v>
      </c>
      <c r="U348" s="52"/>
    </row>
    <row r="349" spans="1:21" ht="17.25" customHeight="1" x14ac:dyDescent="0.3">
      <c r="A349" s="45">
        <v>348</v>
      </c>
      <c r="B349" s="54" t="s">
        <v>1379</v>
      </c>
      <c r="C349" s="47" t="s">
        <v>1379</v>
      </c>
      <c r="D349" s="47" t="s">
        <v>1379</v>
      </c>
      <c r="E349" s="47" t="s">
        <v>1379</v>
      </c>
      <c r="F349" s="47" t="s">
        <v>1379</v>
      </c>
      <c r="G349" s="45" t="s">
        <v>1379</v>
      </c>
      <c r="H349" s="48" t="s">
        <v>1379</v>
      </c>
      <c r="I349" s="49" t="s">
        <v>1379</v>
      </c>
      <c r="J349" s="47" t="s">
        <v>1379</v>
      </c>
      <c r="K349" s="47" t="s">
        <v>1379</v>
      </c>
      <c r="L349" s="50" t="s">
        <v>1379</v>
      </c>
      <c r="M349" s="50" t="s">
        <v>1379</v>
      </c>
      <c r="N349" s="47" t="s">
        <v>1379</v>
      </c>
      <c r="O349" s="45" t="s">
        <v>1379</v>
      </c>
      <c r="P349" s="45">
        <v>-12.729277777777778</v>
      </c>
      <c r="Q349" s="45">
        <v>-69.575305555555545</v>
      </c>
      <c r="R349" s="45" t="s">
        <v>1183</v>
      </c>
      <c r="S349" s="51" t="s">
        <v>1185</v>
      </c>
      <c r="U349" s="52"/>
    </row>
    <row r="350" spans="1:21" ht="17.25" customHeight="1" x14ac:dyDescent="0.3">
      <c r="A350" s="45">
        <v>349</v>
      </c>
      <c r="B350" s="54" t="s">
        <v>1379</v>
      </c>
      <c r="C350" s="47" t="s">
        <v>1379</v>
      </c>
      <c r="D350" s="47" t="s">
        <v>1379</v>
      </c>
      <c r="E350" s="47" t="s">
        <v>1379</v>
      </c>
      <c r="F350" s="47" t="s">
        <v>1379</v>
      </c>
      <c r="G350" s="45" t="s">
        <v>1379</v>
      </c>
      <c r="H350" s="48" t="s">
        <v>1379</v>
      </c>
      <c r="I350" s="49" t="s">
        <v>1379</v>
      </c>
      <c r="J350" s="47" t="s">
        <v>1379</v>
      </c>
      <c r="K350" s="47" t="s">
        <v>1379</v>
      </c>
      <c r="L350" s="50" t="s">
        <v>1379</v>
      </c>
      <c r="M350" s="50" t="s">
        <v>1379</v>
      </c>
      <c r="N350" s="47" t="s">
        <v>1379</v>
      </c>
      <c r="O350" s="45" t="s">
        <v>1379</v>
      </c>
      <c r="P350" s="45">
        <v>-13.364472222222222</v>
      </c>
      <c r="Q350" s="45">
        <v>-71.922638888888898</v>
      </c>
      <c r="R350" s="45" t="s">
        <v>1186</v>
      </c>
      <c r="S350" s="51" t="s">
        <v>1187</v>
      </c>
      <c r="U350" s="52"/>
    </row>
    <row r="351" spans="1:21" ht="17.25" customHeight="1" x14ac:dyDescent="0.3">
      <c r="A351" s="45">
        <v>350</v>
      </c>
      <c r="B351" s="54" t="s">
        <v>1379</v>
      </c>
      <c r="C351" s="47" t="s">
        <v>1379</v>
      </c>
      <c r="D351" s="47" t="s">
        <v>1379</v>
      </c>
      <c r="E351" s="47" t="s">
        <v>1379</v>
      </c>
      <c r="F351" s="47" t="s">
        <v>1379</v>
      </c>
      <c r="G351" s="45" t="s">
        <v>1379</v>
      </c>
      <c r="H351" s="48" t="s">
        <v>1379</v>
      </c>
      <c r="I351" s="49" t="s">
        <v>1379</v>
      </c>
      <c r="J351" s="47" t="s">
        <v>1379</v>
      </c>
      <c r="K351" s="47" t="s">
        <v>1379</v>
      </c>
      <c r="L351" s="50" t="s">
        <v>1379</v>
      </c>
      <c r="M351" s="50" t="s">
        <v>1379</v>
      </c>
      <c r="N351" s="47" t="s">
        <v>1379</v>
      </c>
      <c r="O351" s="45" t="s">
        <v>1379</v>
      </c>
      <c r="P351" s="45">
        <v>-13.870716666666667</v>
      </c>
      <c r="Q351" s="45">
        <v>-72.768888888888881</v>
      </c>
      <c r="R351" s="45" t="s">
        <v>1188</v>
      </c>
      <c r="S351" s="51" t="s">
        <v>1189</v>
      </c>
      <c r="U351" s="52"/>
    </row>
    <row r="352" spans="1:21" ht="17.25" customHeight="1" x14ac:dyDescent="0.3">
      <c r="A352" s="45">
        <v>351</v>
      </c>
      <c r="B352" s="54" t="s">
        <v>1379</v>
      </c>
      <c r="C352" s="47" t="s">
        <v>1379</v>
      </c>
      <c r="D352" s="47" t="s">
        <v>1379</v>
      </c>
      <c r="E352" s="47" t="s">
        <v>1379</v>
      </c>
      <c r="F352" s="47" t="s">
        <v>1379</v>
      </c>
      <c r="G352" s="45" t="s">
        <v>1379</v>
      </c>
      <c r="H352" s="48" t="s">
        <v>1379</v>
      </c>
      <c r="I352" s="49" t="s">
        <v>1379</v>
      </c>
      <c r="J352" s="47" t="s">
        <v>1379</v>
      </c>
      <c r="K352" s="47" t="s">
        <v>1379</v>
      </c>
      <c r="L352" s="50" t="s">
        <v>1379</v>
      </c>
      <c r="M352" s="50" t="s">
        <v>1379</v>
      </c>
      <c r="N352" s="47" t="s">
        <v>1379</v>
      </c>
      <c r="O352" s="45" t="s">
        <v>1379</v>
      </c>
      <c r="P352" s="45">
        <v>-17.612333333333336</v>
      </c>
      <c r="Q352" s="45">
        <v>-70.763194444444451</v>
      </c>
      <c r="R352" s="45" t="s">
        <v>1190</v>
      </c>
      <c r="S352" s="51" t="s">
        <v>1191</v>
      </c>
      <c r="U352" s="52"/>
    </row>
    <row r="353" spans="1:21" ht="17.25" customHeight="1" x14ac:dyDescent="0.3">
      <c r="A353" s="45">
        <v>352</v>
      </c>
      <c r="B353" s="54" t="s">
        <v>1379</v>
      </c>
      <c r="C353" s="47" t="s">
        <v>1379</v>
      </c>
      <c r="D353" s="47" t="s">
        <v>1379</v>
      </c>
      <c r="E353" s="47" t="s">
        <v>1379</v>
      </c>
      <c r="F353" s="47" t="s">
        <v>1379</v>
      </c>
      <c r="G353" s="45" t="s">
        <v>1379</v>
      </c>
      <c r="H353" s="48" t="s">
        <v>1379</v>
      </c>
      <c r="I353" s="49" t="s">
        <v>1379</v>
      </c>
      <c r="J353" s="47" t="s">
        <v>1379</v>
      </c>
      <c r="K353" s="47" t="s">
        <v>1379</v>
      </c>
      <c r="L353" s="50" t="s">
        <v>1379</v>
      </c>
      <c r="M353" s="50" t="s">
        <v>1379</v>
      </c>
      <c r="N353" s="47" t="s">
        <v>1379</v>
      </c>
      <c r="O353" s="45" t="s">
        <v>1379</v>
      </c>
      <c r="P353" s="45">
        <v>-15.561613888888889</v>
      </c>
      <c r="Q353" s="45">
        <v>-74.841919444444443</v>
      </c>
      <c r="R353" s="45" t="s">
        <v>1192</v>
      </c>
      <c r="S353" s="51" t="s">
        <v>1193</v>
      </c>
      <c r="U353" s="52"/>
    </row>
    <row r="354" spans="1:21" ht="17.25" customHeight="1" x14ac:dyDescent="0.3">
      <c r="A354" s="45">
        <v>353</v>
      </c>
      <c r="B354" s="54" t="s">
        <v>1379</v>
      </c>
      <c r="C354" s="47" t="s">
        <v>1379</v>
      </c>
      <c r="D354" s="47" t="s">
        <v>1379</v>
      </c>
      <c r="E354" s="47" t="s">
        <v>1379</v>
      </c>
      <c r="F354" s="47" t="s">
        <v>1379</v>
      </c>
      <c r="G354" s="45" t="s">
        <v>1379</v>
      </c>
      <c r="H354" s="48" t="s">
        <v>1379</v>
      </c>
      <c r="I354" s="49" t="s">
        <v>1379</v>
      </c>
      <c r="J354" s="47" t="s">
        <v>1379</v>
      </c>
      <c r="K354" s="47" t="s">
        <v>1379</v>
      </c>
      <c r="L354" s="50" t="s">
        <v>1379</v>
      </c>
      <c r="M354" s="50" t="s">
        <v>1379</v>
      </c>
      <c r="N354" s="47" t="s">
        <v>1379</v>
      </c>
      <c r="O354" s="45" t="s">
        <v>1379</v>
      </c>
      <c r="P354" s="45">
        <v>-14.06463888888889</v>
      </c>
      <c r="Q354" s="45">
        <v>-70.427805555555565</v>
      </c>
      <c r="R354" s="45" t="s">
        <v>1194</v>
      </c>
      <c r="S354" s="51" t="s">
        <v>1195</v>
      </c>
      <c r="U354" s="52"/>
    </row>
    <row r="355" spans="1:21" ht="17.25" customHeight="1" x14ac:dyDescent="0.3">
      <c r="A355" s="45">
        <v>354</v>
      </c>
      <c r="B355" s="54" t="s">
        <v>1379</v>
      </c>
      <c r="C355" s="47" t="s">
        <v>1379</v>
      </c>
      <c r="D355" s="47" t="s">
        <v>1379</v>
      </c>
      <c r="E355" s="47" t="s">
        <v>1379</v>
      </c>
      <c r="F355" s="47" t="s">
        <v>1379</v>
      </c>
      <c r="G355" s="45" t="s">
        <v>1379</v>
      </c>
      <c r="H355" s="48" t="s">
        <v>1379</v>
      </c>
      <c r="I355" s="49" t="s">
        <v>1379</v>
      </c>
      <c r="J355" s="47" t="s">
        <v>1379</v>
      </c>
      <c r="K355" s="47" t="s">
        <v>1379</v>
      </c>
      <c r="L355" s="50" t="s">
        <v>1379</v>
      </c>
      <c r="M355" s="50" t="s">
        <v>1379</v>
      </c>
      <c r="N355" s="47" t="s">
        <v>1379</v>
      </c>
      <c r="O355" s="45" t="s">
        <v>1379</v>
      </c>
      <c r="P355" s="45">
        <v>-12.952527777777776</v>
      </c>
      <c r="Q355" s="45">
        <v>-72.660750000000007</v>
      </c>
      <c r="R355" s="45" t="s">
        <v>1196</v>
      </c>
      <c r="S355" s="51" t="s">
        <v>1197</v>
      </c>
      <c r="U355" s="52"/>
    </row>
    <row r="356" spans="1:21" ht="17.25" customHeight="1" x14ac:dyDescent="0.3">
      <c r="A356" s="45">
        <v>355</v>
      </c>
      <c r="B356" s="54" t="s">
        <v>1379</v>
      </c>
      <c r="C356" s="47" t="s">
        <v>1379</v>
      </c>
      <c r="D356" s="47" t="s">
        <v>1379</v>
      </c>
      <c r="E356" s="47" t="s">
        <v>1379</v>
      </c>
      <c r="F356" s="47" t="s">
        <v>1379</v>
      </c>
      <c r="G356" s="45" t="s">
        <v>1379</v>
      </c>
      <c r="H356" s="48" t="s">
        <v>1379</v>
      </c>
      <c r="I356" s="49" t="s">
        <v>1379</v>
      </c>
      <c r="J356" s="47" t="s">
        <v>1379</v>
      </c>
      <c r="K356" s="47" t="s">
        <v>1379</v>
      </c>
      <c r="L356" s="50" t="s">
        <v>1379</v>
      </c>
      <c r="M356" s="50" t="s">
        <v>1379</v>
      </c>
      <c r="N356" s="47" t="s">
        <v>1379</v>
      </c>
      <c r="O356" s="45" t="s">
        <v>1379</v>
      </c>
      <c r="P356" s="45">
        <v>-13.591405555555555</v>
      </c>
      <c r="Q356" s="45">
        <v>-70.978525000000005</v>
      </c>
      <c r="R356" s="45" t="s">
        <v>1198</v>
      </c>
      <c r="S356" s="51" t="s">
        <v>1199</v>
      </c>
      <c r="U356" s="52"/>
    </row>
    <row r="357" spans="1:21" ht="17.25" customHeight="1" x14ac:dyDescent="0.3">
      <c r="A357" s="45">
        <v>356</v>
      </c>
      <c r="B357" s="54" t="s">
        <v>1379</v>
      </c>
      <c r="C357" s="47" t="s">
        <v>1379</v>
      </c>
      <c r="D357" s="47" t="s">
        <v>1379</v>
      </c>
      <c r="E357" s="47" t="s">
        <v>1379</v>
      </c>
      <c r="F357" s="47" t="s">
        <v>1379</v>
      </c>
      <c r="G357" s="45" t="s">
        <v>1379</v>
      </c>
      <c r="H357" s="48" t="s">
        <v>1379</v>
      </c>
      <c r="I357" s="49" t="s">
        <v>1379</v>
      </c>
      <c r="J357" s="47" t="s">
        <v>1379</v>
      </c>
      <c r="K357" s="47" t="s">
        <v>1379</v>
      </c>
      <c r="L357" s="50" t="s">
        <v>1379</v>
      </c>
      <c r="M357" s="50" t="s">
        <v>1379</v>
      </c>
      <c r="N357" s="47" t="s">
        <v>1379</v>
      </c>
      <c r="O357" s="45" t="s">
        <v>1379</v>
      </c>
      <c r="P357" s="45">
        <v>-15.359722222222222</v>
      </c>
      <c r="Q357" s="45">
        <v>-75.159444444444446</v>
      </c>
      <c r="R357" s="45" t="s">
        <v>1200</v>
      </c>
      <c r="S357" s="51" t="s">
        <v>1201</v>
      </c>
      <c r="U357" s="52"/>
    </row>
    <row r="358" spans="1:21" ht="17.25" customHeight="1" x14ac:dyDescent="0.3">
      <c r="A358" s="45">
        <v>357</v>
      </c>
      <c r="B358" s="54" t="s">
        <v>1379</v>
      </c>
      <c r="C358" s="47" t="s">
        <v>1379</v>
      </c>
      <c r="D358" s="47" t="s">
        <v>1379</v>
      </c>
      <c r="E358" s="47" t="s">
        <v>1379</v>
      </c>
      <c r="F358" s="47" t="s">
        <v>1379</v>
      </c>
      <c r="G358" s="45" t="s">
        <v>1379</v>
      </c>
      <c r="H358" s="48" t="s">
        <v>1379</v>
      </c>
      <c r="I358" s="49" t="s">
        <v>1379</v>
      </c>
      <c r="J358" s="47" t="s">
        <v>1379</v>
      </c>
      <c r="K358" s="47" t="s">
        <v>1379</v>
      </c>
      <c r="L358" s="50" t="s">
        <v>1379</v>
      </c>
      <c r="M358" s="50" t="s">
        <v>1379</v>
      </c>
      <c r="N358" s="47" t="s">
        <v>1379</v>
      </c>
      <c r="O358" s="45" t="s">
        <v>1379</v>
      </c>
      <c r="P358" s="45">
        <v>-13.100527777777778</v>
      </c>
      <c r="Q358" s="45">
        <v>-70.373944444444433</v>
      </c>
      <c r="R358" s="45" t="s">
        <v>1202</v>
      </c>
      <c r="S358" s="51" t="s">
        <v>1203</v>
      </c>
      <c r="U358" s="52"/>
    </row>
    <row r="359" spans="1:21" ht="17.25" customHeight="1" x14ac:dyDescent="0.3">
      <c r="A359" s="45">
        <v>358</v>
      </c>
      <c r="B359" s="54" t="s">
        <v>1379</v>
      </c>
      <c r="C359" s="47" t="s">
        <v>1379</v>
      </c>
      <c r="D359" s="47" t="s">
        <v>1379</v>
      </c>
      <c r="E359" s="47" t="s">
        <v>1379</v>
      </c>
      <c r="F359" s="47" t="s">
        <v>1379</v>
      </c>
      <c r="G359" s="45" t="s">
        <v>1379</v>
      </c>
      <c r="H359" s="48" t="s">
        <v>1379</v>
      </c>
      <c r="I359" s="49" t="s">
        <v>1379</v>
      </c>
      <c r="J359" s="47" t="s">
        <v>1379</v>
      </c>
      <c r="K359" s="47" t="s">
        <v>1379</v>
      </c>
      <c r="L359" s="50" t="s">
        <v>1379</v>
      </c>
      <c r="M359" s="50" t="s">
        <v>1379</v>
      </c>
      <c r="N359" s="47" t="s">
        <v>1379</v>
      </c>
      <c r="O359" s="45" t="s">
        <v>1379</v>
      </c>
      <c r="P359" s="45">
        <v>-13.100527777777778</v>
      </c>
      <c r="Q359" s="45">
        <v>-70.373944444444433</v>
      </c>
      <c r="R359" s="45" t="s">
        <v>1202</v>
      </c>
      <c r="S359" s="51" t="s">
        <v>1204</v>
      </c>
      <c r="U359" s="52"/>
    </row>
    <row r="360" spans="1:21" ht="17.25" customHeight="1" x14ac:dyDescent="0.3">
      <c r="A360" s="45">
        <v>359</v>
      </c>
      <c r="B360" s="54" t="s">
        <v>1379</v>
      </c>
      <c r="C360" s="47" t="s">
        <v>1379</v>
      </c>
      <c r="D360" s="47" t="s">
        <v>1379</v>
      </c>
      <c r="E360" s="47" t="s">
        <v>1379</v>
      </c>
      <c r="F360" s="47" t="s">
        <v>1379</v>
      </c>
      <c r="G360" s="45" t="s">
        <v>1379</v>
      </c>
      <c r="H360" s="48" t="s">
        <v>1379</v>
      </c>
      <c r="I360" s="49" t="s">
        <v>1379</v>
      </c>
      <c r="J360" s="47" t="s">
        <v>1379</v>
      </c>
      <c r="K360" s="47" t="s">
        <v>1379</v>
      </c>
      <c r="L360" s="50" t="s">
        <v>1379</v>
      </c>
      <c r="M360" s="50" t="s">
        <v>1379</v>
      </c>
      <c r="N360" s="47" t="s">
        <v>1379</v>
      </c>
      <c r="O360" s="45" t="s">
        <v>1379</v>
      </c>
      <c r="P360" s="45">
        <v>-17.017499999999998</v>
      </c>
      <c r="Q360" s="45">
        <v>-72.018055555555549</v>
      </c>
      <c r="R360" s="45" t="s">
        <v>1205</v>
      </c>
      <c r="S360" s="51" t="s">
        <v>1206</v>
      </c>
      <c r="U360" s="52"/>
    </row>
    <row r="361" spans="1:21" ht="17.25" customHeight="1" x14ac:dyDescent="0.3">
      <c r="A361" s="45">
        <v>360</v>
      </c>
      <c r="B361" s="54" t="s">
        <v>1379</v>
      </c>
      <c r="C361" s="47" t="s">
        <v>1379</v>
      </c>
      <c r="D361" s="47" t="s">
        <v>1379</v>
      </c>
      <c r="E361" s="47" t="s">
        <v>1379</v>
      </c>
      <c r="F361" s="47" t="s">
        <v>1379</v>
      </c>
      <c r="G361" s="45" t="s">
        <v>1379</v>
      </c>
      <c r="H361" s="48" t="s">
        <v>1379</v>
      </c>
      <c r="I361" s="49" t="s">
        <v>1379</v>
      </c>
      <c r="J361" s="47" t="s">
        <v>1379</v>
      </c>
      <c r="K361" s="47" t="s">
        <v>1379</v>
      </c>
      <c r="L361" s="50" t="s">
        <v>1379</v>
      </c>
      <c r="M361" s="50" t="s">
        <v>1379</v>
      </c>
      <c r="N361" s="47" t="s">
        <v>1379</v>
      </c>
      <c r="O361" s="45" t="s">
        <v>1379</v>
      </c>
      <c r="P361" s="45">
        <v>-13.507472222222223</v>
      </c>
      <c r="Q361" s="45">
        <v>-72.527722222222224</v>
      </c>
      <c r="R361" s="45" t="s">
        <v>1207</v>
      </c>
      <c r="S361" s="51" t="s">
        <v>1208</v>
      </c>
      <c r="U361" s="52"/>
    </row>
    <row r="362" spans="1:21" ht="17.25" customHeight="1" x14ac:dyDescent="0.3">
      <c r="A362" s="45">
        <v>361</v>
      </c>
      <c r="B362" s="54" t="s">
        <v>1379</v>
      </c>
      <c r="C362" s="47" t="s">
        <v>1379</v>
      </c>
      <c r="D362" s="47" t="s">
        <v>1379</v>
      </c>
      <c r="E362" s="47" t="s">
        <v>1379</v>
      </c>
      <c r="F362" s="47" t="s">
        <v>1379</v>
      </c>
      <c r="G362" s="45" t="s">
        <v>1379</v>
      </c>
      <c r="H362" s="48" t="s">
        <v>1379</v>
      </c>
      <c r="I362" s="49" t="s">
        <v>1379</v>
      </c>
      <c r="J362" s="47" t="s">
        <v>1379</v>
      </c>
      <c r="K362" s="47" t="s">
        <v>1379</v>
      </c>
      <c r="L362" s="50" t="s">
        <v>1379</v>
      </c>
      <c r="M362" s="50" t="s">
        <v>1379</v>
      </c>
      <c r="N362" s="47" t="s">
        <v>1379</v>
      </c>
      <c r="O362" s="45" t="s">
        <v>1379</v>
      </c>
      <c r="P362" s="45">
        <v>-13.51068888888889</v>
      </c>
      <c r="Q362" s="45">
        <v>-72.535883333333331</v>
      </c>
      <c r="R362" s="45" t="s">
        <v>1209</v>
      </c>
      <c r="S362" s="51" t="s">
        <v>1210</v>
      </c>
      <c r="U362" s="52"/>
    </row>
    <row r="363" spans="1:21" ht="17.25" customHeight="1" x14ac:dyDescent="0.3">
      <c r="A363" s="45">
        <v>362</v>
      </c>
      <c r="B363" s="54" t="s">
        <v>1379</v>
      </c>
      <c r="C363" s="47" t="s">
        <v>1379</v>
      </c>
      <c r="D363" s="47" t="s">
        <v>1379</v>
      </c>
      <c r="E363" s="47" t="s">
        <v>1379</v>
      </c>
      <c r="F363" s="47" t="s">
        <v>1379</v>
      </c>
      <c r="G363" s="45" t="s">
        <v>1379</v>
      </c>
      <c r="H363" s="48" t="s">
        <v>1379</v>
      </c>
      <c r="I363" s="49" t="s">
        <v>1379</v>
      </c>
      <c r="J363" s="47" t="s">
        <v>1379</v>
      </c>
      <c r="K363" s="47" t="s">
        <v>1379</v>
      </c>
      <c r="L363" s="50" t="s">
        <v>1379</v>
      </c>
      <c r="M363" s="50" t="s">
        <v>1379</v>
      </c>
      <c r="N363" s="47" t="s">
        <v>1379</v>
      </c>
      <c r="O363" s="45" t="s">
        <v>1379</v>
      </c>
      <c r="P363" s="45">
        <v>-17.197944444444445</v>
      </c>
      <c r="Q363" s="45">
        <v>-70.93972222222223</v>
      </c>
      <c r="R363" s="45" t="s">
        <v>1211</v>
      </c>
      <c r="S363" s="51" t="s">
        <v>1212</v>
      </c>
      <c r="U363" s="52"/>
    </row>
    <row r="364" spans="1:21" ht="17.25" customHeight="1" x14ac:dyDescent="0.3">
      <c r="A364" s="45">
        <v>363</v>
      </c>
      <c r="B364" s="54" t="s">
        <v>1379</v>
      </c>
      <c r="C364" s="47" t="s">
        <v>1379</v>
      </c>
      <c r="D364" s="47" t="s">
        <v>1379</v>
      </c>
      <c r="E364" s="47" t="s">
        <v>1379</v>
      </c>
      <c r="F364" s="47" t="s">
        <v>1379</v>
      </c>
      <c r="G364" s="45" t="s">
        <v>1379</v>
      </c>
      <c r="H364" s="48" t="s">
        <v>1379</v>
      </c>
      <c r="I364" s="49" t="s">
        <v>1379</v>
      </c>
      <c r="J364" s="47" t="s">
        <v>1379</v>
      </c>
      <c r="K364" s="47" t="s">
        <v>1379</v>
      </c>
      <c r="L364" s="50" t="s">
        <v>1379</v>
      </c>
      <c r="M364" s="50" t="s">
        <v>1379</v>
      </c>
      <c r="N364" s="47" t="s">
        <v>1379</v>
      </c>
      <c r="O364" s="45" t="s">
        <v>1379</v>
      </c>
      <c r="P364" s="45">
        <v>-17.197944444444445</v>
      </c>
      <c r="Q364" s="45">
        <v>-70.939916666666676</v>
      </c>
      <c r="R364" s="45" t="s">
        <v>1213</v>
      </c>
      <c r="S364" s="51" t="s">
        <v>1214</v>
      </c>
      <c r="U364" s="52"/>
    </row>
    <row r="365" spans="1:21" ht="17.25" customHeight="1" x14ac:dyDescent="0.3">
      <c r="A365" s="45">
        <v>364</v>
      </c>
      <c r="B365" s="54" t="s">
        <v>1379</v>
      </c>
      <c r="C365" s="47" t="s">
        <v>1379</v>
      </c>
      <c r="D365" s="47" t="s">
        <v>1379</v>
      </c>
      <c r="E365" s="47" t="s">
        <v>1379</v>
      </c>
      <c r="F365" s="47" t="s">
        <v>1379</v>
      </c>
      <c r="G365" s="45" t="s">
        <v>1379</v>
      </c>
      <c r="H365" s="48" t="s">
        <v>1379</v>
      </c>
      <c r="I365" s="49" t="s">
        <v>1379</v>
      </c>
      <c r="J365" s="47" t="s">
        <v>1379</v>
      </c>
      <c r="K365" s="47" t="s">
        <v>1379</v>
      </c>
      <c r="L365" s="50" t="s">
        <v>1379</v>
      </c>
      <c r="M365" s="50" t="s">
        <v>1379</v>
      </c>
      <c r="N365" s="47" t="s">
        <v>1379</v>
      </c>
      <c r="O365" s="45" t="s">
        <v>1379</v>
      </c>
      <c r="P365" s="45">
        <v>-14.815611111111112</v>
      </c>
      <c r="Q365" s="45">
        <v>-74.937638888888898</v>
      </c>
      <c r="R365" s="45" t="s">
        <v>1215</v>
      </c>
      <c r="S365" s="51" t="s">
        <v>1216</v>
      </c>
      <c r="U365" s="52"/>
    </row>
    <row r="366" spans="1:21" ht="17.25" customHeight="1" x14ac:dyDescent="0.3">
      <c r="A366" s="45">
        <v>365</v>
      </c>
      <c r="B366" s="54" t="s">
        <v>1379</v>
      </c>
      <c r="C366" s="47" t="s">
        <v>1379</v>
      </c>
      <c r="D366" s="47" t="s">
        <v>1379</v>
      </c>
      <c r="E366" s="47" t="s">
        <v>1379</v>
      </c>
      <c r="F366" s="47" t="s">
        <v>1379</v>
      </c>
      <c r="G366" s="45" t="s">
        <v>1379</v>
      </c>
      <c r="H366" s="48" t="s">
        <v>1379</v>
      </c>
      <c r="I366" s="49" t="s">
        <v>1379</v>
      </c>
      <c r="J366" s="47" t="s">
        <v>1379</v>
      </c>
      <c r="K366" s="47" t="s">
        <v>1379</v>
      </c>
      <c r="L366" s="50" t="s">
        <v>1379</v>
      </c>
      <c r="M366" s="50" t="s">
        <v>1379</v>
      </c>
      <c r="N366" s="47" t="s">
        <v>1379</v>
      </c>
      <c r="O366" s="45" t="s">
        <v>1379</v>
      </c>
      <c r="P366" s="45">
        <v>-14.815611111111112</v>
      </c>
      <c r="Q366" s="45">
        <v>-74.937638888888898</v>
      </c>
      <c r="R366" s="45" t="s">
        <v>1215</v>
      </c>
      <c r="S366" s="51" t="s">
        <v>1217</v>
      </c>
      <c r="U366" s="52"/>
    </row>
    <row r="367" spans="1:21" ht="17.25" customHeight="1" x14ac:dyDescent="0.3">
      <c r="A367" s="45">
        <v>366</v>
      </c>
      <c r="B367" s="54" t="s">
        <v>1379</v>
      </c>
      <c r="C367" s="47" t="s">
        <v>1379</v>
      </c>
      <c r="D367" s="47" t="s">
        <v>1379</v>
      </c>
      <c r="E367" s="47" t="s">
        <v>1379</v>
      </c>
      <c r="F367" s="47" t="s">
        <v>1379</v>
      </c>
      <c r="G367" s="45" t="s">
        <v>1379</v>
      </c>
      <c r="H367" s="48" t="s">
        <v>1379</v>
      </c>
      <c r="I367" s="49" t="s">
        <v>1379</v>
      </c>
      <c r="J367" s="47" t="s">
        <v>1379</v>
      </c>
      <c r="K367" s="47" t="s">
        <v>1379</v>
      </c>
      <c r="L367" s="50" t="s">
        <v>1379</v>
      </c>
      <c r="M367" s="50" t="s">
        <v>1379</v>
      </c>
      <c r="N367" s="47" t="s">
        <v>1379</v>
      </c>
      <c r="O367" s="45" t="s">
        <v>1379</v>
      </c>
      <c r="P367" s="45">
        <v>-14.479833333333334</v>
      </c>
      <c r="Q367" s="45">
        <v>-70.637944444444457</v>
      </c>
      <c r="R367" s="45" t="s">
        <v>1218</v>
      </c>
      <c r="S367" s="51" t="s">
        <v>1219</v>
      </c>
      <c r="U367" s="52"/>
    </row>
    <row r="368" spans="1:21" ht="17.25" customHeight="1" x14ac:dyDescent="0.3">
      <c r="A368" s="45">
        <v>367</v>
      </c>
      <c r="B368" s="54" t="s">
        <v>1379</v>
      </c>
      <c r="C368" s="47" t="s">
        <v>1379</v>
      </c>
      <c r="D368" s="47" t="s">
        <v>1379</v>
      </c>
      <c r="E368" s="47" t="s">
        <v>1379</v>
      </c>
      <c r="F368" s="47" t="s">
        <v>1379</v>
      </c>
      <c r="G368" s="45" t="s">
        <v>1379</v>
      </c>
      <c r="H368" s="48" t="s">
        <v>1379</v>
      </c>
      <c r="I368" s="49" t="s">
        <v>1379</v>
      </c>
      <c r="J368" s="47" t="s">
        <v>1379</v>
      </c>
      <c r="K368" s="47" t="s">
        <v>1379</v>
      </c>
      <c r="L368" s="50" t="s">
        <v>1379</v>
      </c>
      <c r="M368" s="50" t="s">
        <v>1379</v>
      </c>
      <c r="N368" s="47" t="s">
        <v>1379</v>
      </c>
      <c r="O368" s="45" t="s">
        <v>1379</v>
      </c>
      <c r="P368" s="45">
        <v>-13.455611111111111</v>
      </c>
      <c r="Q368" s="45">
        <v>-73.585555555555544</v>
      </c>
      <c r="R368" s="45" t="s">
        <v>1220</v>
      </c>
      <c r="S368" s="51" t="s">
        <v>1221</v>
      </c>
      <c r="U368" s="52"/>
    </row>
    <row r="369" spans="1:21" ht="17.25" customHeight="1" x14ac:dyDescent="0.3">
      <c r="A369" s="45">
        <v>368</v>
      </c>
      <c r="B369" s="54" t="s">
        <v>1379</v>
      </c>
      <c r="C369" s="47" t="s">
        <v>1379</v>
      </c>
      <c r="D369" s="47" t="s">
        <v>1379</v>
      </c>
      <c r="E369" s="47" t="s">
        <v>1379</v>
      </c>
      <c r="F369" s="47" t="s">
        <v>1379</v>
      </c>
      <c r="G369" s="45" t="s">
        <v>1379</v>
      </c>
      <c r="H369" s="48" t="s">
        <v>1379</v>
      </c>
      <c r="I369" s="49" t="s">
        <v>1379</v>
      </c>
      <c r="J369" s="47" t="s">
        <v>1379</v>
      </c>
      <c r="K369" s="47" t="s">
        <v>1379</v>
      </c>
      <c r="L369" s="50" t="s">
        <v>1379</v>
      </c>
      <c r="M369" s="50" t="s">
        <v>1379</v>
      </c>
      <c r="N369" s="47" t="s">
        <v>1379</v>
      </c>
      <c r="O369" s="45" t="s">
        <v>1379</v>
      </c>
      <c r="P369" s="45">
        <v>-13.455611111111111</v>
      </c>
      <c r="Q369" s="45">
        <v>-73.585555555555544</v>
      </c>
      <c r="R369" s="45" t="s">
        <v>1220</v>
      </c>
      <c r="S369" s="51" t="s">
        <v>1222</v>
      </c>
      <c r="U369" s="52"/>
    </row>
    <row r="370" spans="1:21" ht="17.25" customHeight="1" x14ac:dyDescent="0.3">
      <c r="A370" s="45">
        <v>369</v>
      </c>
      <c r="B370" s="54" t="s">
        <v>1379</v>
      </c>
      <c r="C370" s="47" t="s">
        <v>1379</v>
      </c>
      <c r="D370" s="47" t="s">
        <v>1379</v>
      </c>
      <c r="E370" s="47" t="s">
        <v>1379</v>
      </c>
      <c r="F370" s="47" t="s">
        <v>1379</v>
      </c>
      <c r="G370" s="45" t="s">
        <v>1379</v>
      </c>
      <c r="H370" s="48" t="s">
        <v>1379</v>
      </c>
      <c r="I370" s="49" t="s">
        <v>1379</v>
      </c>
      <c r="J370" s="47" t="s">
        <v>1379</v>
      </c>
      <c r="K370" s="47" t="s">
        <v>1379</v>
      </c>
      <c r="L370" s="50" t="s">
        <v>1379</v>
      </c>
      <c r="M370" s="50" t="s">
        <v>1379</v>
      </c>
      <c r="N370" s="47" t="s">
        <v>1379</v>
      </c>
      <c r="O370" s="45" t="s">
        <v>1379</v>
      </c>
      <c r="P370" s="45">
        <v>-13.63185</v>
      </c>
      <c r="Q370" s="45">
        <v>-71.384883333333335</v>
      </c>
      <c r="R370" s="45" t="s">
        <v>1223</v>
      </c>
      <c r="S370" s="51" t="s">
        <v>1224</v>
      </c>
      <c r="U370" s="52"/>
    </row>
    <row r="371" spans="1:21" ht="17.25" customHeight="1" x14ac:dyDescent="0.3">
      <c r="A371" s="45">
        <v>370</v>
      </c>
      <c r="B371" s="54" t="s">
        <v>1379</v>
      </c>
      <c r="C371" s="47" t="s">
        <v>1379</v>
      </c>
      <c r="D371" s="47" t="s">
        <v>1379</v>
      </c>
      <c r="E371" s="47" t="s">
        <v>1379</v>
      </c>
      <c r="F371" s="47" t="s">
        <v>1379</v>
      </c>
      <c r="G371" s="45" t="s">
        <v>1379</v>
      </c>
      <c r="H371" s="48" t="s">
        <v>1379</v>
      </c>
      <c r="I371" s="49" t="s">
        <v>1379</v>
      </c>
      <c r="J371" s="47" t="s">
        <v>1379</v>
      </c>
      <c r="K371" s="47" t="s">
        <v>1379</v>
      </c>
      <c r="L371" s="50" t="s">
        <v>1379</v>
      </c>
      <c r="M371" s="50" t="s">
        <v>1379</v>
      </c>
      <c r="N371" s="47" t="s">
        <v>1379</v>
      </c>
      <c r="O371" s="45" t="s">
        <v>1379</v>
      </c>
      <c r="P371" s="45">
        <v>-16.436005555555557</v>
      </c>
      <c r="Q371" s="45">
        <v>-73.106741666666665</v>
      </c>
      <c r="R371" s="45" t="s">
        <v>1225</v>
      </c>
      <c r="S371" s="51" t="s">
        <v>1226</v>
      </c>
      <c r="U371" s="52"/>
    </row>
    <row r="372" spans="1:21" ht="17.25" customHeight="1" x14ac:dyDescent="0.3">
      <c r="A372" s="45">
        <v>371</v>
      </c>
      <c r="B372" s="54" t="s">
        <v>1379</v>
      </c>
      <c r="C372" s="47" t="s">
        <v>1379</v>
      </c>
      <c r="D372" s="47" t="s">
        <v>1379</v>
      </c>
      <c r="E372" s="47" t="s">
        <v>1379</v>
      </c>
      <c r="F372" s="47" t="s">
        <v>1379</v>
      </c>
      <c r="G372" s="45" t="s">
        <v>1379</v>
      </c>
      <c r="H372" s="48" t="s">
        <v>1379</v>
      </c>
      <c r="I372" s="49" t="s">
        <v>1379</v>
      </c>
      <c r="J372" s="47" t="s">
        <v>1379</v>
      </c>
      <c r="K372" s="47" t="s">
        <v>1379</v>
      </c>
      <c r="L372" s="50" t="s">
        <v>1379</v>
      </c>
      <c r="M372" s="50" t="s">
        <v>1379</v>
      </c>
      <c r="N372" s="47" t="s">
        <v>1379</v>
      </c>
      <c r="O372" s="45" t="s">
        <v>1379</v>
      </c>
      <c r="P372" s="45">
        <v>-16.647500000000001</v>
      </c>
      <c r="Q372" s="45">
        <v>-70.961916666666667</v>
      </c>
      <c r="R372" s="45" t="s">
        <v>1227</v>
      </c>
      <c r="S372" s="51" t="s">
        <v>1228</v>
      </c>
      <c r="U372" s="52"/>
    </row>
    <row r="373" spans="1:21" ht="17.25" customHeight="1" x14ac:dyDescent="0.3">
      <c r="A373" s="45">
        <v>372</v>
      </c>
      <c r="B373" s="54" t="s">
        <v>1379</v>
      </c>
      <c r="C373" s="47" t="s">
        <v>1379</v>
      </c>
      <c r="D373" s="47" t="s">
        <v>1379</v>
      </c>
      <c r="E373" s="47" t="s">
        <v>1379</v>
      </c>
      <c r="F373" s="47" t="s">
        <v>1379</v>
      </c>
      <c r="G373" s="45" t="s">
        <v>1379</v>
      </c>
      <c r="H373" s="48" t="s">
        <v>1379</v>
      </c>
      <c r="I373" s="49" t="s">
        <v>1379</v>
      </c>
      <c r="J373" s="47" t="s">
        <v>1379</v>
      </c>
      <c r="K373" s="47" t="s">
        <v>1379</v>
      </c>
      <c r="L373" s="50" t="s">
        <v>1379</v>
      </c>
      <c r="M373" s="50" t="s">
        <v>1379</v>
      </c>
      <c r="N373" s="47" t="s">
        <v>1379</v>
      </c>
      <c r="O373" s="45" t="s">
        <v>1379</v>
      </c>
      <c r="P373" s="45">
        <v>-15.269930555555556</v>
      </c>
      <c r="Q373" s="45">
        <v>-72.337297222222219</v>
      </c>
      <c r="R373" s="45" t="s">
        <v>1229</v>
      </c>
      <c r="S373" s="51" t="s">
        <v>1230</v>
      </c>
      <c r="U373" s="52"/>
    </row>
    <row r="374" spans="1:21" ht="17.25" customHeight="1" x14ac:dyDescent="0.3">
      <c r="A374" s="45">
        <v>373</v>
      </c>
      <c r="B374" s="54" t="s">
        <v>1379</v>
      </c>
      <c r="C374" s="47" t="s">
        <v>1379</v>
      </c>
      <c r="D374" s="47" t="s">
        <v>1379</v>
      </c>
      <c r="E374" s="47" t="s">
        <v>1379</v>
      </c>
      <c r="F374" s="47" t="s">
        <v>1379</v>
      </c>
      <c r="G374" s="45" t="s">
        <v>1379</v>
      </c>
      <c r="H374" s="48" t="s">
        <v>1379</v>
      </c>
      <c r="I374" s="49" t="s">
        <v>1379</v>
      </c>
      <c r="J374" s="47" t="s">
        <v>1379</v>
      </c>
      <c r="K374" s="47" t="s">
        <v>1379</v>
      </c>
      <c r="L374" s="50" t="s">
        <v>1379</v>
      </c>
      <c r="M374" s="50" t="s">
        <v>1379</v>
      </c>
      <c r="N374" s="47" t="s">
        <v>1379</v>
      </c>
      <c r="O374" s="45" t="s">
        <v>1379</v>
      </c>
      <c r="R374" s="45"/>
      <c r="S374" s="51" t="s">
        <v>1231</v>
      </c>
      <c r="U374" s="52"/>
    </row>
    <row r="375" spans="1:21" ht="17.25" customHeight="1" x14ac:dyDescent="0.3">
      <c r="A375" s="45">
        <v>374</v>
      </c>
      <c r="B375" s="54" t="s">
        <v>1379</v>
      </c>
      <c r="C375" s="47" t="s">
        <v>1379</v>
      </c>
      <c r="D375" s="47" t="s">
        <v>1379</v>
      </c>
      <c r="E375" s="47" t="s">
        <v>1379</v>
      </c>
      <c r="F375" s="47" t="s">
        <v>1379</v>
      </c>
      <c r="G375" s="45" t="s">
        <v>1379</v>
      </c>
      <c r="H375" s="48" t="s">
        <v>1379</v>
      </c>
      <c r="I375" s="49" t="s">
        <v>1379</v>
      </c>
      <c r="J375" s="47" t="s">
        <v>1379</v>
      </c>
      <c r="K375" s="47" t="s">
        <v>1379</v>
      </c>
      <c r="L375" s="50" t="s">
        <v>1379</v>
      </c>
      <c r="M375" s="50" t="s">
        <v>1379</v>
      </c>
      <c r="N375" s="47" t="s">
        <v>1379</v>
      </c>
      <c r="O375" s="45" t="s">
        <v>1379</v>
      </c>
      <c r="P375" s="45">
        <v>-13.618194444444445</v>
      </c>
      <c r="Q375" s="45">
        <v>-73.299361111111111</v>
      </c>
      <c r="R375" s="45" t="s">
        <v>1232</v>
      </c>
      <c r="S375" s="51" t="s">
        <v>1233</v>
      </c>
      <c r="U375" s="52"/>
    </row>
    <row r="376" spans="1:21" ht="17.25" customHeight="1" x14ac:dyDescent="0.3">
      <c r="A376" s="45">
        <v>375</v>
      </c>
      <c r="B376" s="54" t="s">
        <v>1379</v>
      </c>
      <c r="C376" s="47" t="s">
        <v>1379</v>
      </c>
      <c r="D376" s="47" t="s">
        <v>1379</v>
      </c>
      <c r="E376" s="47" t="s">
        <v>1379</v>
      </c>
      <c r="F376" s="47" t="s">
        <v>1379</v>
      </c>
      <c r="G376" s="45" t="s">
        <v>1379</v>
      </c>
      <c r="H376" s="48" t="s">
        <v>1379</v>
      </c>
      <c r="I376" s="49" t="s">
        <v>1379</v>
      </c>
      <c r="J376" s="47" t="s">
        <v>1379</v>
      </c>
      <c r="K376" s="47" t="s">
        <v>1379</v>
      </c>
      <c r="L376" s="50" t="s">
        <v>1379</v>
      </c>
      <c r="M376" s="50" t="s">
        <v>1379</v>
      </c>
      <c r="N376" s="47" t="s">
        <v>1379</v>
      </c>
      <c r="O376" s="45" t="s">
        <v>1379</v>
      </c>
      <c r="P376" s="45">
        <v>-13.618194444444445</v>
      </c>
      <c r="Q376" s="45">
        <v>-73.299361111111111</v>
      </c>
      <c r="R376" s="45" t="s">
        <v>1232</v>
      </c>
      <c r="S376" s="51" t="s">
        <v>1234</v>
      </c>
      <c r="U376" s="52"/>
    </row>
    <row r="377" spans="1:21" ht="17.25" customHeight="1" x14ac:dyDescent="0.3">
      <c r="A377" s="45">
        <v>376</v>
      </c>
      <c r="B377" s="54" t="s">
        <v>1379</v>
      </c>
      <c r="C377" s="47" t="s">
        <v>1379</v>
      </c>
      <c r="D377" s="47" t="s">
        <v>1379</v>
      </c>
      <c r="E377" s="47" t="s">
        <v>1379</v>
      </c>
      <c r="F377" s="47" t="s">
        <v>1379</v>
      </c>
      <c r="G377" s="45" t="s">
        <v>1379</v>
      </c>
      <c r="H377" s="48" t="s">
        <v>1379</v>
      </c>
      <c r="I377" s="49" t="s">
        <v>1379</v>
      </c>
      <c r="J377" s="47" t="s">
        <v>1379</v>
      </c>
      <c r="K377" s="47" t="s">
        <v>1379</v>
      </c>
      <c r="L377" s="50" t="s">
        <v>1379</v>
      </c>
      <c r="M377" s="50" t="s">
        <v>1379</v>
      </c>
      <c r="N377" s="47" t="s">
        <v>1379</v>
      </c>
      <c r="O377" s="45" t="s">
        <v>1379</v>
      </c>
      <c r="P377" s="45">
        <v>-12.648524999999999</v>
      </c>
      <c r="Q377" s="45">
        <v>-72.701455555555555</v>
      </c>
      <c r="R377" s="45" t="s">
        <v>1235</v>
      </c>
      <c r="S377" s="51" t="s">
        <v>1236</v>
      </c>
      <c r="U377" s="52"/>
    </row>
    <row r="378" spans="1:21" ht="17.25" customHeight="1" x14ac:dyDescent="0.3">
      <c r="A378" s="45">
        <v>377</v>
      </c>
      <c r="B378" s="54" t="s">
        <v>1379</v>
      </c>
      <c r="C378" s="47" t="s">
        <v>1379</v>
      </c>
      <c r="D378" s="47" t="s">
        <v>1379</v>
      </c>
      <c r="E378" s="47" t="s">
        <v>1379</v>
      </c>
      <c r="F378" s="47" t="s">
        <v>1379</v>
      </c>
      <c r="G378" s="45" t="s">
        <v>1379</v>
      </c>
      <c r="H378" s="48" t="s">
        <v>1379</v>
      </c>
      <c r="I378" s="49" t="s">
        <v>1379</v>
      </c>
      <c r="J378" s="47" t="s">
        <v>1379</v>
      </c>
      <c r="K378" s="47" t="s">
        <v>1379</v>
      </c>
      <c r="L378" s="50" t="s">
        <v>1379</v>
      </c>
      <c r="M378" s="50" t="s">
        <v>1379</v>
      </c>
      <c r="N378" s="47" t="s">
        <v>1379</v>
      </c>
      <c r="O378" s="45" t="s">
        <v>1379</v>
      </c>
      <c r="P378" s="45">
        <v>-14.523250000000001</v>
      </c>
      <c r="Q378" s="45">
        <v>-75.196555555555562</v>
      </c>
      <c r="R378" s="45" t="s">
        <v>1237</v>
      </c>
      <c r="S378" s="51" t="s">
        <v>1238</v>
      </c>
      <c r="U378" s="52"/>
    </row>
    <row r="379" spans="1:21" ht="17.25" customHeight="1" x14ac:dyDescent="0.3">
      <c r="A379" s="45">
        <v>378</v>
      </c>
      <c r="B379" s="54" t="s">
        <v>1379</v>
      </c>
      <c r="C379" s="47" t="s">
        <v>1379</v>
      </c>
      <c r="D379" s="47" t="s">
        <v>1379</v>
      </c>
      <c r="E379" s="47" t="s">
        <v>1379</v>
      </c>
      <c r="F379" s="47" t="s">
        <v>1379</v>
      </c>
      <c r="G379" s="45" t="s">
        <v>1379</v>
      </c>
      <c r="H379" s="48" t="s">
        <v>1379</v>
      </c>
      <c r="I379" s="49" t="s">
        <v>1379</v>
      </c>
      <c r="J379" s="47" t="s">
        <v>1379</v>
      </c>
      <c r="K379" s="47" t="s">
        <v>1379</v>
      </c>
      <c r="L379" s="50" t="s">
        <v>1379</v>
      </c>
      <c r="M379" s="50" t="s">
        <v>1379</v>
      </c>
      <c r="N379" s="47" t="s">
        <v>1379</v>
      </c>
      <c r="O379" s="45" t="s">
        <v>1379</v>
      </c>
      <c r="P379" s="45">
        <v>-15.648183333333332</v>
      </c>
      <c r="Q379" s="45">
        <v>-72.505986111111113</v>
      </c>
      <c r="R379" s="45" t="s">
        <v>1239</v>
      </c>
      <c r="S379" s="51" t="s">
        <v>1240</v>
      </c>
      <c r="U379" s="52"/>
    </row>
    <row r="380" spans="1:21" ht="17.25" customHeight="1" x14ac:dyDescent="0.3">
      <c r="A380" s="45">
        <v>379</v>
      </c>
      <c r="B380" s="54" t="s">
        <v>1379</v>
      </c>
      <c r="C380" s="47" t="s">
        <v>1379</v>
      </c>
      <c r="D380" s="47" t="s">
        <v>1379</v>
      </c>
      <c r="E380" s="47" t="s">
        <v>1379</v>
      </c>
      <c r="F380" s="47" t="s">
        <v>1379</v>
      </c>
      <c r="G380" s="45" t="s">
        <v>1379</v>
      </c>
      <c r="H380" s="48" t="s">
        <v>1379</v>
      </c>
      <c r="I380" s="49" t="s">
        <v>1379</v>
      </c>
      <c r="J380" s="47" t="s">
        <v>1379</v>
      </c>
      <c r="K380" s="47" t="s">
        <v>1379</v>
      </c>
      <c r="L380" s="50" t="s">
        <v>1379</v>
      </c>
      <c r="M380" s="50" t="s">
        <v>1379</v>
      </c>
      <c r="N380" s="47" t="s">
        <v>1379</v>
      </c>
      <c r="O380" s="45" t="s">
        <v>1379</v>
      </c>
      <c r="P380" s="45">
        <v>-13.761333333333333</v>
      </c>
      <c r="Q380" s="45">
        <v>-71.850305555555551</v>
      </c>
      <c r="R380" s="45" t="s">
        <v>1241</v>
      </c>
      <c r="S380" s="51" t="s">
        <v>1242</v>
      </c>
      <c r="U380" s="52"/>
    </row>
    <row r="381" spans="1:21" ht="17.25" customHeight="1" x14ac:dyDescent="0.3">
      <c r="A381" s="45">
        <v>380</v>
      </c>
      <c r="B381" s="54" t="s">
        <v>1379</v>
      </c>
      <c r="C381" s="47" t="s">
        <v>1379</v>
      </c>
      <c r="D381" s="47" t="s">
        <v>1379</v>
      </c>
      <c r="E381" s="47" t="s">
        <v>1379</v>
      </c>
      <c r="F381" s="47" t="s">
        <v>1379</v>
      </c>
      <c r="G381" s="45" t="s">
        <v>1379</v>
      </c>
      <c r="H381" s="48" t="s">
        <v>1379</v>
      </c>
      <c r="I381" s="49" t="s">
        <v>1379</v>
      </c>
      <c r="J381" s="47" t="s">
        <v>1379</v>
      </c>
      <c r="K381" s="47" t="s">
        <v>1379</v>
      </c>
      <c r="L381" s="50" t="s">
        <v>1379</v>
      </c>
      <c r="M381" s="50" t="s">
        <v>1379</v>
      </c>
      <c r="N381" s="47" t="s">
        <v>1379</v>
      </c>
      <c r="O381" s="45" t="s">
        <v>1379</v>
      </c>
      <c r="P381" s="45">
        <v>-13.308075000000001</v>
      </c>
      <c r="Q381" s="45">
        <v>-71.586838888888877</v>
      </c>
      <c r="R381" s="45" t="s">
        <v>1243</v>
      </c>
      <c r="S381" s="51" t="s">
        <v>1244</v>
      </c>
      <c r="U381" s="52"/>
    </row>
    <row r="382" spans="1:21" ht="17.25" customHeight="1" x14ac:dyDescent="0.3">
      <c r="A382" s="45">
        <v>381</v>
      </c>
      <c r="B382" s="54" t="s">
        <v>1379</v>
      </c>
      <c r="C382" s="47" t="s">
        <v>1379</v>
      </c>
      <c r="D382" s="47" t="s">
        <v>1379</v>
      </c>
      <c r="E382" s="47" t="s">
        <v>1379</v>
      </c>
      <c r="F382" s="47" t="s">
        <v>1379</v>
      </c>
      <c r="G382" s="45" t="s">
        <v>1379</v>
      </c>
      <c r="H382" s="48" t="s">
        <v>1379</v>
      </c>
      <c r="I382" s="49" t="s">
        <v>1379</v>
      </c>
      <c r="J382" s="47" t="s">
        <v>1379</v>
      </c>
      <c r="K382" s="47" t="s">
        <v>1379</v>
      </c>
      <c r="L382" s="50" t="s">
        <v>1379</v>
      </c>
      <c r="M382" s="50" t="s">
        <v>1379</v>
      </c>
      <c r="N382" s="47" t="s">
        <v>1379</v>
      </c>
      <c r="O382" s="45" t="s">
        <v>1379</v>
      </c>
      <c r="P382" s="45">
        <v>-13.308075000000001</v>
      </c>
      <c r="Q382" s="45">
        <v>-71.586838888888877</v>
      </c>
      <c r="R382" s="45" t="s">
        <v>1243</v>
      </c>
      <c r="S382" s="51" t="s">
        <v>1245</v>
      </c>
      <c r="U382" s="52"/>
    </row>
    <row r="383" spans="1:21" ht="17.25" customHeight="1" x14ac:dyDescent="0.3">
      <c r="A383" s="45">
        <v>382</v>
      </c>
      <c r="B383" s="54" t="s">
        <v>1379</v>
      </c>
      <c r="C383" s="47" t="s">
        <v>1379</v>
      </c>
      <c r="D383" s="47" t="s">
        <v>1379</v>
      </c>
      <c r="E383" s="47" t="s">
        <v>1379</v>
      </c>
      <c r="F383" s="47" t="s">
        <v>1379</v>
      </c>
      <c r="G383" s="45" t="s">
        <v>1379</v>
      </c>
      <c r="H383" s="48" t="s">
        <v>1379</v>
      </c>
      <c r="I383" s="49" t="s">
        <v>1379</v>
      </c>
      <c r="J383" s="47" t="s">
        <v>1379</v>
      </c>
      <c r="K383" s="47" t="s">
        <v>1379</v>
      </c>
      <c r="L383" s="50" t="s">
        <v>1379</v>
      </c>
      <c r="M383" s="50" t="s">
        <v>1379</v>
      </c>
      <c r="N383" s="47" t="s">
        <v>1379</v>
      </c>
      <c r="O383" s="45" t="s">
        <v>1379</v>
      </c>
      <c r="P383" s="45">
        <v>-16.337666666666667</v>
      </c>
      <c r="Q383" s="45">
        <v>-72.20975</v>
      </c>
      <c r="R383" s="45" t="s">
        <v>1246</v>
      </c>
      <c r="S383" s="51" t="s">
        <v>1247</v>
      </c>
      <c r="U383" s="52"/>
    </row>
    <row r="384" spans="1:21" ht="17.25" customHeight="1" x14ac:dyDescent="0.3">
      <c r="A384" s="45">
        <v>383</v>
      </c>
      <c r="B384" s="54" t="s">
        <v>1379</v>
      </c>
      <c r="C384" s="47" t="s">
        <v>1379</v>
      </c>
      <c r="D384" s="47" t="s">
        <v>1379</v>
      </c>
      <c r="E384" s="47" t="s">
        <v>1379</v>
      </c>
      <c r="F384" s="47" t="s">
        <v>1379</v>
      </c>
      <c r="G384" s="45" t="s">
        <v>1379</v>
      </c>
      <c r="H384" s="48" t="s">
        <v>1379</v>
      </c>
      <c r="I384" s="49" t="s">
        <v>1379</v>
      </c>
      <c r="J384" s="47" t="s">
        <v>1379</v>
      </c>
      <c r="K384" s="47" t="s">
        <v>1379</v>
      </c>
      <c r="L384" s="50" t="s">
        <v>1379</v>
      </c>
      <c r="M384" s="50" t="s">
        <v>1379</v>
      </c>
      <c r="N384" s="47" t="s">
        <v>1379</v>
      </c>
      <c r="O384" s="45" t="s">
        <v>1379</v>
      </c>
      <c r="P384" s="45">
        <v>-16.337666666666667</v>
      </c>
      <c r="Q384" s="45">
        <v>-72.20975</v>
      </c>
      <c r="R384" s="45" t="s">
        <v>1246</v>
      </c>
      <c r="S384" s="51" t="s">
        <v>1248</v>
      </c>
      <c r="U384" s="52"/>
    </row>
    <row r="385" spans="1:21" ht="17.25" customHeight="1" x14ac:dyDescent="0.3">
      <c r="A385" s="45">
        <v>384</v>
      </c>
      <c r="B385" s="54" t="s">
        <v>1379</v>
      </c>
      <c r="C385" s="47" t="s">
        <v>1379</v>
      </c>
      <c r="D385" s="47" t="s">
        <v>1379</v>
      </c>
      <c r="E385" s="47" t="s">
        <v>1379</v>
      </c>
      <c r="F385" s="47" t="s">
        <v>1379</v>
      </c>
      <c r="G385" s="45" t="s">
        <v>1379</v>
      </c>
      <c r="H385" s="48" t="s">
        <v>1379</v>
      </c>
      <c r="I385" s="49" t="s">
        <v>1379</v>
      </c>
      <c r="J385" s="47" t="s">
        <v>1379</v>
      </c>
      <c r="K385" s="47" t="s">
        <v>1379</v>
      </c>
      <c r="L385" s="50" t="s">
        <v>1379</v>
      </c>
      <c r="M385" s="50" t="s">
        <v>1379</v>
      </c>
      <c r="N385" s="47" t="s">
        <v>1379</v>
      </c>
      <c r="O385" s="45" t="s">
        <v>1379</v>
      </c>
      <c r="P385" s="45">
        <v>-13.713063888888888</v>
      </c>
      <c r="Q385" s="45">
        <v>-76.183383333333339</v>
      </c>
      <c r="R385" s="45" t="s">
        <v>1249</v>
      </c>
      <c r="S385" s="51" t="s">
        <v>1250</v>
      </c>
      <c r="U385" s="52"/>
    </row>
    <row r="386" spans="1:21" ht="17.25" customHeight="1" x14ac:dyDescent="0.3">
      <c r="A386" s="45">
        <v>385</v>
      </c>
      <c r="B386" s="54" t="s">
        <v>1379</v>
      </c>
      <c r="C386" s="47" t="s">
        <v>1379</v>
      </c>
      <c r="D386" s="47" t="s">
        <v>1379</v>
      </c>
      <c r="E386" s="47" t="s">
        <v>1379</v>
      </c>
      <c r="F386" s="47" t="s">
        <v>1379</v>
      </c>
      <c r="G386" s="45" t="s">
        <v>1379</v>
      </c>
      <c r="H386" s="48" t="s">
        <v>1379</v>
      </c>
      <c r="I386" s="49" t="s">
        <v>1379</v>
      </c>
      <c r="J386" s="47" t="s">
        <v>1379</v>
      </c>
      <c r="K386" s="47" t="s">
        <v>1379</v>
      </c>
      <c r="L386" s="50" t="s">
        <v>1379</v>
      </c>
      <c r="M386" s="50" t="s">
        <v>1379</v>
      </c>
      <c r="N386" s="47" t="s">
        <v>1379</v>
      </c>
      <c r="O386" s="45" t="s">
        <v>1379</v>
      </c>
      <c r="P386" s="45">
        <v>-13.713063888888888</v>
      </c>
      <c r="Q386" s="45">
        <v>-76.183383333333339</v>
      </c>
      <c r="R386" s="45" t="s">
        <v>1249</v>
      </c>
      <c r="S386" s="51" t="s">
        <v>1251</v>
      </c>
      <c r="U386" s="52"/>
    </row>
    <row r="387" spans="1:21" ht="17.25" customHeight="1" x14ac:dyDescent="0.3">
      <c r="A387" s="45">
        <v>386</v>
      </c>
      <c r="B387" s="54" t="s">
        <v>1379</v>
      </c>
      <c r="C387" s="47" t="s">
        <v>1379</v>
      </c>
      <c r="D387" s="47" t="s">
        <v>1379</v>
      </c>
      <c r="E387" s="47" t="s">
        <v>1379</v>
      </c>
      <c r="F387" s="47" t="s">
        <v>1379</v>
      </c>
      <c r="G387" s="45" t="s">
        <v>1379</v>
      </c>
      <c r="H387" s="48" t="s">
        <v>1379</v>
      </c>
      <c r="I387" s="49" t="s">
        <v>1379</v>
      </c>
      <c r="J387" s="47" t="s">
        <v>1379</v>
      </c>
      <c r="K387" s="47" t="s">
        <v>1379</v>
      </c>
      <c r="L387" s="50" t="s">
        <v>1379</v>
      </c>
      <c r="M387" s="50" t="s">
        <v>1379</v>
      </c>
      <c r="N387" s="47" t="s">
        <v>1379</v>
      </c>
      <c r="O387" s="45" t="s">
        <v>1379</v>
      </c>
      <c r="P387" s="45">
        <v>-12.274805555555556</v>
      </c>
      <c r="Q387" s="45">
        <v>-69.152777777777786</v>
      </c>
      <c r="R387" s="45" t="s">
        <v>1252</v>
      </c>
      <c r="S387" s="51" t="s">
        <v>1253</v>
      </c>
      <c r="U387" s="52"/>
    </row>
    <row r="388" spans="1:21" ht="17.25" customHeight="1" x14ac:dyDescent="0.3">
      <c r="A388" s="45">
        <v>387</v>
      </c>
      <c r="B388" s="54" t="s">
        <v>1379</v>
      </c>
      <c r="C388" s="47" t="s">
        <v>1379</v>
      </c>
      <c r="D388" s="47" t="s">
        <v>1379</v>
      </c>
      <c r="E388" s="47" t="s">
        <v>1379</v>
      </c>
      <c r="F388" s="47" t="s">
        <v>1379</v>
      </c>
      <c r="G388" s="45" t="s">
        <v>1379</v>
      </c>
      <c r="H388" s="48" t="s">
        <v>1379</v>
      </c>
      <c r="I388" s="49" t="s">
        <v>1379</v>
      </c>
      <c r="J388" s="47" t="s">
        <v>1379</v>
      </c>
      <c r="K388" s="47" t="s">
        <v>1379</v>
      </c>
      <c r="L388" s="50" t="s">
        <v>1379</v>
      </c>
      <c r="M388" s="50" t="s">
        <v>1379</v>
      </c>
      <c r="N388" s="47" t="s">
        <v>1379</v>
      </c>
      <c r="O388" s="45" t="s">
        <v>1379</v>
      </c>
      <c r="P388" s="45">
        <v>-13.98661111111111</v>
      </c>
      <c r="Q388" s="45">
        <v>-71.591972222222211</v>
      </c>
      <c r="R388" s="45" t="s">
        <v>1254</v>
      </c>
      <c r="S388" s="51" t="s">
        <v>1255</v>
      </c>
      <c r="U388" s="52"/>
    </row>
    <row r="389" spans="1:21" ht="17.25" customHeight="1" x14ac:dyDescent="0.3">
      <c r="A389" s="45">
        <v>388</v>
      </c>
      <c r="B389" s="54" t="s">
        <v>1379</v>
      </c>
      <c r="C389" s="47" t="s">
        <v>1379</v>
      </c>
      <c r="D389" s="47" t="s">
        <v>1379</v>
      </c>
      <c r="E389" s="47" t="s">
        <v>1379</v>
      </c>
      <c r="F389" s="47" t="s">
        <v>1379</v>
      </c>
      <c r="G389" s="45" t="s">
        <v>1379</v>
      </c>
      <c r="H389" s="48" t="s">
        <v>1379</v>
      </c>
      <c r="I389" s="49" t="s">
        <v>1379</v>
      </c>
      <c r="J389" s="47" t="s">
        <v>1379</v>
      </c>
      <c r="K389" s="47" t="s">
        <v>1379</v>
      </c>
      <c r="L389" s="50" t="s">
        <v>1379</v>
      </c>
      <c r="M389" s="50" t="s">
        <v>1379</v>
      </c>
      <c r="N389" s="47" t="s">
        <v>1379</v>
      </c>
      <c r="O389" s="45" t="s">
        <v>1379</v>
      </c>
      <c r="P389" s="45">
        <v>-15.031694444444446</v>
      </c>
      <c r="Q389" s="45">
        <v>-70.335972222222225</v>
      </c>
      <c r="R389" s="45" t="s">
        <v>1256</v>
      </c>
      <c r="S389" s="51" t="s">
        <v>1257</v>
      </c>
      <c r="U389" s="52"/>
    </row>
    <row r="390" spans="1:21" ht="17.25" customHeight="1" x14ac:dyDescent="0.3">
      <c r="A390" s="45">
        <v>389</v>
      </c>
      <c r="B390" s="54" t="s">
        <v>1379</v>
      </c>
      <c r="C390" s="47" t="s">
        <v>1379</v>
      </c>
      <c r="D390" s="47" t="s">
        <v>1379</v>
      </c>
      <c r="E390" s="47" t="s">
        <v>1379</v>
      </c>
      <c r="F390" s="47" t="s">
        <v>1379</v>
      </c>
      <c r="G390" s="45" t="s">
        <v>1379</v>
      </c>
      <c r="H390" s="48" t="s">
        <v>1379</v>
      </c>
      <c r="I390" s="49" t="s">
        <v>1379</v>
      </c>
      <c r="J390" s="47" t="s">
        <v>1379</v>
      </c>
      <c r="K390" s="47" t="s">
        <v>1379</v>
      </c>
      <c r="L390" s="50" t="s">
        <v>1379</v>
      </c>
      <c r="M390" s="50" t="s">
        <v>1379</v>
      </c>
      <c r="N390" s="47" t="s">
        <v>1379</v>
      </c>
      <c r="O390" s="45" t="s">
        <v>1379</v>
      </c>
      <c r="P390" s="45">
        <v>-12.59298888888889</v>
      </c>
      <c r="Q390" s="45">
        <v>-69.187322222222221</v>
      </c>
      <c r="R390" s="45" t="s">
        <v>1258</v>
      </c>
      <c r="S390" s="51" t="s">
        <v>1259</v>
      </c>
      <c r="U390" s="52"/>
    </row>
    <row r="391" spans="1:21" ht="17.25" customHeight="1" x14ac:dyDescent="0.3">
      <c r="A391" s="45">
        <v>390</v>
      </c>
      <c r="B391" s="54" t="s">
        <v>1379</v>
      </c>
      <c r="C391" s="47" t="s">
        <v>1379</v>
      </c>
      <c r="D391" s="47" t="s">
        <v>1379</v>
      </c>
      <c r="E391" s="47" t="s">
        <v>1379</v>
      </c>
      <c r="F391" s="47" t="s">
        <v>1379</v>
      </c>
      <c r="G391" s="45" t="s">
        <v>1379</v>
      </c>
      <c r="H391" s="48" t="s">
        <v>1379</v>
      </c>
      <c r="I391" s="49" t="s">
        <v>1379</v>
      </c>
      <c r="J391" s="47" t="s">
        <v>1379</v>
      </c>
      <c r="K391" s="47" t="s">
        <v>1379</v>
      </c>
      <c r="L391" s="50" t="s">
        <v>1379</v>
      </c>
      <c r="M391" s="50" t="s">
        <v>1379</v>
      </c>
      <c r="N391" s="47" t="s">
        <v>1379</v>
      </c>
      <c r="O391" s="45" t="s">
        <v>1379</v>
      </c>
      <c r="P391" s="45">
        <v>-12.59298888888889</v>
      </c>
      <c r="Q391" s="45">
        <v>-69.187322222222221</v>
      </c>
      <c r="R391" s="45" t="s">
        <v>1258</v>
      </c>
      <c r="S391" s="51" t="s">
        <v>1260</v>
      </c>
      <c r="U391" s="52"/>
    </row>
    <row r="392" spans="1:21" ht="17.25" customHeight="1" x14ac:dyDescent="0.3">
      <c r="A392" s="45">
        <v>391</v>
      </c>
      <c r="B392" s="54" t="s">
        <v>1379</v>
      </c>
      <c r="C392" s="47" t="s">
        <v>1379</v>
      </c>
      <c r="D392" s="47" t="s">
        <v>1379</v>
      </c>
      <c r="E392" s="47" t="s">
        <v>1379</v>
      </c>
      <c r="F392" s="47" t="s">
        <v>1379</v>
      </c>
      <c r="G392" s="45" t="s">
        <v>1379</v>
      </c>
      <c r="H392" s="48" t="s">
        <v>1379</v>
      </c>
      <c r="I392" s="49" t="s">
        <v>1379</v>
      </c>
      <c r="J392" s="47" t="s">
        <v>1379</v>
      </c>
      <c r="K392" s="47" t="s">
        <v>1379</v>
      </c>
      <c r="L392" s="50" t="s">
        <v>1379</v>
      </c>
      <c r="M392" s="50" t="s">
        <v>1379</v>
      </c>
      <c r="N392" s="47" t="s">
        <v>1379</v>
      </c>
      <c r="O392" s="45" t="s">
        <v>1379</v>
      </c>
      <c r="P392" s="45">
        <v>-12.78795</v>
      </c>
      <c r="Q392" s="45">
        <v>-70.525836111111104</v>
      </c>
      <c r="R392" s="45" t="s">
        <v>1261</v>
      </c>
      <c r="S392" s="51" t="s">
        <v>1262</v>
      </c>
      <c r="U392" s="52"/>
    </row>
    <row r="393" spans="1:21" ht="17.25" customHeight="1" x14ac:dyDescent="0.3">
      <c r="A393" s="45">
        <v>392</v>
      </c>
      <c r="B393" s="54" t="s">
        <v>1379</v>
      </c>
      <c r="C393" s="47" t="s">
        <v>1379</v>
      </c>
      <c r="D393" s="47" t="s">
        <v>1379</v>
      </c>
      <c r="E393" s="47" t="s">
        <v>1379</v>
      </c>
      <c r="F393" s="47" t="s">
        <v>1379</v>
      </c>
      <c r="G393" s="45" t="s">
        <v>1379</v>
      </c>
      <c r="H393" s="48" t="s">
        <v>1379</v>
      </c>
      <c r="I393" s="49" t="s">
        <v>1379</v>
      </c>
      <c r="J393" s="47" t="s">
        <v>1379</v>
      </c>
      <c r="K393" s="47" t="s">
        <v>1379</v>
      </c>
      <c r="L393" s="50" t="s">
        <v>1379</v>
      </c>
      <c r="M393" s="50" t="s">
        <v>1379</v>
      </c>
      <c r="N393" s="47" t="s">
        <v>1379</v>
      </c>
      <c r="O393" s="45" t="s">
        <v>1379</v>
      </c>
      <c r="P393" s="45">
        <v>-15.812341666666667</v>
      </c>
      <c r="Q393" s="45">
        <v>-70.017863888888883</v>
      </c>
      <c r="R393" s="45" t="s">
        <v>1263</v>
      </c>
      <c r="S393" s="51" t="s">
        <v>1264</v>
      </c>
      <c r="U393" s="52"/>
    </row>
    <row r="394" spans="1:21" ht="17.25" customHeight="1" x14ac:dyDescent="0.3">
      <c r="A394" s="45">
        <v>393</v>
      </c>
      <c r="B394" s="54" t="s">
        <v>1379</v>
      </c>
      <c r="C394" s="47" t="s">
        <v>1379</v>
      </c>
      <c r="D394" s="47" t="s">
        <v>1379</v>
      </c>
      <c r="E394" s="47" t="s">
        <v>1379</v>
      </c>
      <c r="F394" s="47" t="s">
        <v>1379</v>
      </c>
      <c r="G394" s="45" t="s">
        <v>1379</v>
      </c>
      <c r="H394" s="48" t="s">
        <v>1379</v>
      </c>
      <c r="I394" s="49" t="s">
        <v>1379</v>
      </c>
      <c r="J394" s="47" t="s">
        <v>1379</v>
      </c>
      <c r="K394" s="47" t="s">
        <v>1379</v>
      </c>
      <c r="L394" s="50" t="s">
        <v>1379</v>
      </c>
      <c r="M394" s="50" t="s">
        <v>1379</v>
      </c>
      <c r="N394" s="47" t="s">
        <v>1379</v>
      </c>
      <c r="O394" s="45" t="s">
        <v>1379</v>
      </c>
      <c r="P394" s="45">
        <v>-15.812341666666667</v>
      </c>
      <c r="Q394" s="45">
        <v>-70.017863888888883</v>
      </c>
      <c r="R394" s="45" t="s">
        <v>1263</v>
      </c>
      <c r="S394" s="51" t="s">
        <v>1265</v>
      </c>
      <c r="U394" s="52"/>
    </row>
    <row r="395" spans="1:21" ht="17.25" customHeight="1" x14ac:dyDescent="0.3">
      <c r="A395" s="45">
        <v>394</v>
      </c>
      <c r="B395" s="54" t="s">
        <v>1379</v>
      </c>
      <c r="C395" s="47" t="s">
        <v>1379</v>
      </c>
      <c r="D395" s="47" t="s">
        <v>1379</v>
      </c>
      <c r="E395" s="47" t="s">
        <v>1379</v>
      </c>
      <c r="F395" s="47" t="s">
        <v>1379</v>
      </c>
      <c r="G395" s="45" t="s">
        <v>1379</v>
      </c>
      <c r="H395" s="48" t="s">
        <v>1379</v>
      </c>
      <c r="I395" s="49" t="s">
        <v>1379</v>
      </c>
      <c r="J395" s="47" t="s">
        <v>1379</v>
      </c>
      <c r="K395" s="47" t="s">
        <v>1379</v>
      </c>
      <c r="L395" s="50" t="s">
        <v>1379</v>
      </c>
      <c r="M395" s="50" t="s">
        <v>1379</v>
      </c>
      <c r="N395" s="47" t="s">
        <v>1379</v>
      </c>
      <c r="O395" s="45" t="s">
        <v>1379</v>
      </c>
      <c r="P395" s="45">
        <v>-17.166638888888887</v>
      </c>
      <c r="Q395" s="45">
        <v>-71.808027777777781</v>
      </c>
      <c r="R395" s="45" t="s">
        <v>1266</v>
      </c>
      <c r="S395" s="51" t="s">
        <v>1267</v>
      </c>
      <c r="U395" s="52"/>
    </row>
    <row r="396" spans="1:21" ht="17.25" customHeight="1" x14ac:dyDescent="0.3">
      <c r="A396" s="45">
        <v>395</v>
      </c>
      <c r="B396" s="54" t="s">
        <v>1379</v>
      </c>
      <c r="C396" s="47" t="s">
        <v>1379</v>
      </c>
      <c r="D396" s="47" t="s">
        <v>1379</v>
      </c>
      <c r="E396" s="47" t="s">
        <v>1379</v>
      </c>
      <c r="F396" s="47" t="s">
        <v>1379</v>
      </c>
      <c r="G396" s="45" t="s">
        <v>1379</v>
      </c>
      <c r="H396" s="48" t="s">
        <v>1379</v>
      </c>
      <c r="I396" s="49" t="s">
        <v>1379</v>
      </c>
      <c r="J396" s="47" t="s">
        <v>1379</v>
      </c>
      <c r="K396" s="47" t="s">
        <v>1379</v>
      </c>
      <c r="L396" s="50" t="s">
        <v>1379</v>
      </c>
      <c r="M396" s="50" t="s">
        <v>1379</v>
      </c>
      <c r="N396" s="47" t="s">
        <v>1379</v>
      </c>
      <c r="O396" s="45" t="s">
        <v>1379</v>
      </c>
      <c r="P396" s="45">
        <v>-16.628594444444445</v>
      </c>
      <c r="Q396" s="45">
        <v>-71.184430555555565</v>
      </c>
      <c r="R396" s="45" t="s">
        <v>1268</v>
      </c>
      <c r="S396" s="51" t="s">
        <v>1269</v>
      </c>
      <c r="U396" s="52"/>
    </row>
    <row r="397" spans="1:21" ht="17.25" customHeight="1" x14ac:dyDescent="0.3">
      <c r="A397" s="45">
        <v>396</v>
      </c>
      <c r="B397" s="54" t="s">
        <v>1379</v>
      </c>
      <c r="C397" s="47" t="s">
        <v>1379</v>
      </c>
      <c r="D397" s="47" t="s">
        <v>1379</v>
      </c>
      <c r="E397" s="47" t="s">
        <v>1379</v>
      </c>
      <c r="F397" s="47" t="s">
        <v>1379</v>
      </c>
      <c r="G397" s="45" t="s">
        <v>1379</v>
      </c>
      <c r="H397" s="48" t="s">
        <v>1379</v>
      </c>
      <c r="I397" s="49" t="s">
        <v>1379</v>
      </c>
      <c r="J397" s="47" t="s">
        <v>1379</v>
      </c>
      <c r="K397" s="47" t="s">
        <v>1379</v>
      </c>
      <c r="L397" s="50" t="s">
        <v>1379</v>
      </c>
      <c r="M397" s="50" t="s">
        <v>1379</v>
      </c>
      <c r="N397" s="47" t="s">
        <v>1379</v>
      </c>
      <c r="O397" s="45" t="s">
        <v>1379</v>
      </c>
      <c r="P397" s="45">
        <v>-14.920005555555555</v>
      </c>
      <c r="Q397" s="45">
        <v>-69.872163888888878</v>
      </c>
      <c r="R397" s="45" t="s">
        <v>1270</v>
      </c>
      <c r="S397" s="51" t="s">
        <v>1271</v>
      </c>
      <c r="U397" s="52"/>
    </row>
    <row r="398" spans="1:21" ht="17.25" customHeight="1" x14ac:dyDescent="0.3">
      <c r="A398" s="45">
        <v>397</v>
      </c>
      <c r="B398" s="54" t="s">
        <v>1379</v>
      </c>
      <c r="C398" s="47" t="s">
        <v>1379</v>
      </c>
      <c r="D398" s="47" t="s">
        <v>1379</v>
      </c>
      <c r="E398" s="47" t="s">
        <v>1379</v>
      </c>
      <c r="F398" s="47" t="s">
        <v>1379</v>
      </c>
      <c r="G398" s="45" t="s">
        <v>1379</v>
      </c>
      <c r="H398" s="48" t="s">
        <v>1379</v>
      </c>
      <c r="I398" s="49" t="s">
        <v>1379</v>
      </c>
      <c r="J398" s="47" t="s">
        <v>1379</v>
      </c>
      <c r="K398" s="47" t="s">
        <v>1379</v>
      </c>
      <c r="L398" s="50" t="s">
        <v>1379</v>
      </c>
      <c r="M398" s="50" t="s">
        <v>1379</v>
      </c>
      <c r="N398" s="47" t="s">
        <v>1379</v>
      </c>
      <c r="O398" s="45" t="s">
        <v>1379</v>
      </c>
      <c r="P398" s="45">
        <v>-12.849233333333334</v>
      </c>
      <c r="Q398" s="45">
        <v>-72.68898333333334</v>
      </c>
      <c r="R398" s="45" t="s">
        <v>1272</v>
      </c>
      <c r="S398" s="51" t="s">
        <v>1273</v>
      </c>
      <c r="U398" s="52"/>
    </row>
    <row r="399" spans="1:21" ht="17.25" customHeight="1" x14ac:dyDescent="0.3">
      <c r="A399" s="45">
        <v>398</v>
      </c>
      <c r="B399" s="54" t="s">
        <v>1379</v>
      </c>
      <c r="C399" s="47" t="s">
        <v>1379</v>
      </c>
      <c r="D399" s="47" t="s">
        <v>1379</v>
      </c>
      <c r="E399" s="47" t="s">
        <v>1379</v>
      </c>
      <c r="F399" s="47" t="s">
        <v>1379</v>
      </c>
      <c r="G399" s="45" t="s">
        <v>1379</v>
      </c>
      <c r="H399" s="48" t="s">
        <v>1379</v>
      </c>
      <c r="I399" s="49" t="s">
        <v>1379</v>
      </c>
      <c r="J399" s="47" t="s">
        <v>1379</v>
      </c>
      <c r="K399" s="47" t="s">
        <v>1379</v>
      </c>
      <c r="L399" s="50" t="s">
        <v>1379</v>
      </c>
      <c r="M399" s="50" t="s">
        <v>1379</v>
      </c>
      <c r="N399" s="47" t="s">
        <v>1379</v>
      </c>
      <c r="O399" s="45" t="s">
        <v>1379</v>
      </c>
      <c r="P399" s="45">
        <v>-13.230541666666667</v>
      </c>
      <c r="Q399" s="45">
        <v>-70.758522222222226</v>
      </c>
      <c r="R399" s="45" t="s">
        <v>1274</v>
      </c>
      <c r="S399" s="51" t="s">
        <v>1275</v>
      </c>
      <c r="U399" s="52"/>
    </row>
    <row r="400" spans="1:21" ht="17.25" customHeight="1" x14ac:dyDescent="0.3">
      <c r="A400" s="45">
        <v>399</v>
      </c>
      <c r="B400" s="54" t="s">
        <v>1379</v>
      </c>
      <c r="C400" s="47" t="s">
        <v>1379</v>
      </c>
      <c r="D400" s="47" t="s">
        <v>1379</v>
      </c>
      <c r="E400" s="47" t="s">
        <v>1379</v>
      </c>
      <c r="F400" s="47" t="s">
        <v>1379</v>
      </c>
      <c r="G400" s="45" t="s">
        <v>1379</v>
      </c>
      <c r="H400" s="48" t="s">
        <v>1379</v>
      </c>
      <c r="I400" s="49" t="s">
        <v>1379</v>
      </c>
      <c r="J400" s="47" t="s">
        <v>1379</v>
      </c>
      <c r="K400" s="47" t="s">
        <v>1379</v>
      </c>
      <c r="L400" s="50" t="s">
        <v>1379</v>
      </c>
      <c r="M400" s="50" t="s">
        <v>1379</v>
      </c>
      <c r="N400" s="47" t="s">
        <v>1379</v>
      </c>
      <c r="O400" s="45" t="s">
        <v>1379</v>
      </c>
      <c r="R400" s="45"/>
      <c r="S400" s="51" t="s">
        <v>1276</v>
      </c>
      <c r="U400" s="52"/>
    </row>
    <row r="401" spans="1:21" ht="17.25" customHeight="1" x14ac:dyDescent="0.3">
      <c r="A401" s="45">
        <v>400</v>
      </c>
      <c r="B401" s="54" t="s">
        <v>1379</v>
      </c>
      <c r="C401" s="47" t="s">
        <v>1379</v>
      </c>
      <c r="D401" s="47" t="s">
        <v>1379</v>
      </c>
      <c r="E401" s="47" t="s">
        <v>1379</v>
      </c>
      <c r="F401" s="47" t="s">
        <v>1379</v>
      </c>
      <c r="G401" s="45" t="s">
        <v>1379</v>
      </c>
      <c r="H401" s="48" t="s">
        <v>1379</v>
      </c>
      <c r="I401" s="49" t="s">
        <v>1379</v>
      </c>
      <c r="J401" s="47" t="s">
        <v>1379</v>
      </c>
      <c r="K401" s="47" t="s">
        <v>1379</v>
      </c>
      <c r="L401" s="50" t="s">
        <v>1379</v>
      </c>
      <c r="M401" s="50" t="s">
        <v>1379</v>
      </c>
      <c r="N401" s="47" t="s">
        <v>1379</v>
      </c>
      <c r="O401" s="45" t="s">
        <v>1379</v>
      </c>
      <c r="P401" s="45">
        <v>-15.502233333333333</v>
      </c>
      <c r="Q401" s="45">
        <v>-72.823777777777778</v>
      </c>
      <c r="R401" s="45" t="s">
        <v>1277</v>
      </c>
      <c r="S401" s="51" t="s">
        <v>1278</v>
      </c>
      <c r="U401" s="52"/>
    </row>
    <row r="402" spans="1:21" ht="17.25" customHeight="1" x14ac:dyDescent="0.3">
      <c r="A402" s="45">
        <v>401</v>
      </c>
      <c r="B402" s="54" t="s">
        <v>1379</v>
      </c>
      <c r="C402" s="47" t="s">
        <v>1379</v>
      </c>
      <c r="D402" s="47" t="s">
        <v>1379</v>
      </c>
      <c r="E402" s="47" t="s">
        <v>1379</v>
      </c>
      <c r="F402" s="47" t="s">
        <v>1379</v>
      </c>
      <c r="G402" s="45" t="s">
        <v>1379</v>
      </c>
      <c r="H402" s="48" t="s">
        <v>1379</v>
      </c>
      <c r="I402" s="49" t="s">
        <v>1379</v>
      </c>
      <c r="J402" s="47" t="s">
        <v>1379</v>
      </c>
      <c r="K402" s="47" t="s">
        <v>1379</v>
      </c>
      <c r="L402" s="50" t="s">
        <v>1379</v>
      </c>
      <c r="M402" s="50" t="s">
        <v>1379</v>
      </c>
      <c r="N402" s="47" t="s">
        <v>1379</v>
      </c>
      <c r="O402" s="45" t="s">
        <v>1379</v>
      </c>
      <c r="P402" s="45">
        <v>-12.834861111111111</v>
      </c>
      <c r="Q402" s="45">
        <v>-71.355388888888882</v>
      </c>
      <c r="R402" s="45" t="s">
        <v>1279</v>
      </c>
      <c r="S402" s="51" t="s">
        <v>1280</v>
      </c>
      <c r="U402" s="52"/>
    </row>
    <row r="403" spans="1:21" ht="17.25" customHeight="1" x14ac:dyDescent="0.3">
      <c r="A403" s="45">
        <v>402</v>
      </c>
      <c r="B403" s="54" t="s">
        <v>1379</v>
      </c>
      <c r="C403" s="47" t="s">
        <v>1379</v>
      </c>
      <c r="D403" s="47" t="s">
        <v>1379</v>
      </c>
      <c r="E403" s="47" t="s">
        <v>1379</v>
      </c>
      <c r="F403" s="47" t="s">
        <v>1379</v>
      </c>
      <c r="G403" s="45" t="s">
        <v>1379</v>
      </c>
      <c r="H403" s="48" t="s">
        <v>1379</v>
      </c>
      <c r="I403" s="49" t="s">
        <v>1379</v>
      </c>
      <c r="J403" s="47" t="s">
        <v>1379</v>
      </c>
      <c r="K403" s="47" t="s">
        <v>1379</v>
      </c>
      <c r="L403" s="50" t="s">
        <v>1379</v>
      </c>
      <c r="M403" s="50" t="s">
        <v>1379</v>
      </c>
      <c r="N403" s="47" t="s">
        <v>1379</v>
      </c>
      <c r="O403" s="45" t="s">
        <v>1379</v>
      </c>
      <c r="P403" s="45">
        <v>-11.452166666666667</v>
      </c>
      <c r="Q403" s="45">
        <v>-69.323611111111106</v>
      </c>
      <c r="R403" s="45" t="s">
        <v>1281</v>
      </c>
      <c r="S403" s="51" t="s">
        <v>1282</v>
      </c>
      <c r="U403" s="52"/>
    </row>
    <row r="404" spans="1:21" ht="17.25" customHeight="1" x14ac:dyDescent="0.3">
      <c r="A404" s="45">
        <v>403</v>
      </c>
      <c r="B404" s="54" t="s">
        <v>1379</v>
      </c>
      <c r="C404" s="47" t="s">
        <v>1379</v>
      </c>
      <c r="D404" s="47" t="s">
        <v>1379</v>
      </c>
      <c r="E404" s="47" t="s">
        <v>1379</v>
      </c>
      <c r="F404" s="47" t="s">
        <v>1379</v>
      </c>
      <c r="G404" s="45" t="s">
        <v>1379</v>
      </c>
      <c r="H404" s="48" t="s">
        <v>1379</v>
      </c>
      <c r="I404" s="49" t="s">
        <v>1379</v>
      </c>
      <c r="J404" s="47" t="s">
        <v>1379</v>
      </c>
      <c r="K404" s="47" t="s">
        <v>1379</v>
      </c>
      <c r="L404" s="50" t="s">
        <v>1379</v>
      </c>
      <c r="M404" s="50" t="s">
        <v>1379</v>
      </c>
      <c r="N404" s="47" t="s">
        <v>1379</v>
      </c>
      <c r="O404" s="45" t="s">
        <v>1379</v>
      </c>
      <c r="P404" s="45">
        <v>-13.510027777777777</v>
      </c>
      <c r="Q404" s="45">
        <v>-72.813333333333333</v>
      </c>
      <c r="R404" s="45" t="s">
        <v>1283</v>
      </c>
      <c r="S404" s="51" t="s">
        <v>1284</v>
      </c>
      <c r="U404" s="52"/>
    </row>
    <row r="405" spans="1:21" ht="17.25" customHeight="1" x14ac:dyDescent="0.3">
      <c r="A405" s="45">
        <v>404</v>
      </c>
      <c r="B405" s="54" t="s">
        <v>1379</v>
      </c>
      <c r="C405" s="47" t="s">
        <v>1379</v>
      </c>
      <c r="D405" s="47" t="s">
        <v>1379</v>
      </c>
      <c r="E405" s="47" t="s">
        <v>1379</v>
      </c>
      <c r="F405" s="47" t="s">
        <v>1379</v>
      </c>
      <c r="G405" s="45" t="s">
        <v>1379</v>
      </c>
      <c r="H405" s="48" t="s">
        <v>1379</v>
      </c>
      <c r="I405" s="49" t="s">
        <v>1379</v>
      </c>
      <c r="J405" s="47" t="s">
        <v>1379</v>
      </c>
      <c r="K405" s="47" t="s">
        <v>1379</v>
      </c>
      <c r="L405" s="50" t="s">
        <v>1379</v>
      </c>
      <c r="M405" s="50" t="s">
        <v>1379</v>
      </c>
      <c r="N405" s="47" t="s">
        <v>1379</v>
      </c>
      <c r="O405" s="45" t="s">
        <v>1379</v>
      </c>
      <c r="P405" s="45">
        <v>-14.321861111111112</v>
      </c>
      <c r="Q405" s="45">
        <v>-69.462388888888896</v>
      </c>
      <c r="R405" s="45" t="s">
        <v>1285</v>
      </c>
      <c r="S405" s="51" t="s">
        <v>1286</v>
      </c>
      <c r="U405" s="52"/>
    </row>
    <row r="406" spans="1:21" ht="17.25" customHeight="1" x14ac:dyDescent="0.3">
      <c r="A406" s="45">
        <v>405</v>
      </c>
      <c r="B406" s="54" t="s">
        <v>1379</v>
      </c>
      <c r="C406" s="47" t="s">
        <v>1379</v>
      </c>
      <c r="D406" s="47" t="s">
        <v>1379</v>
      </c>
      <c r="E406" s="47" t="s">
        <v>1379</v>
      </c>
      <c r="F406" s="47" t="s">
        <v>1379</v>
      </c>
      <c r="G406" s="45" t="s">
        <v>1379</v>
      </c>
      <c r="H406" s="48" t="s">
        <v>1379</v>
      </c>
      <c r="I406" s="49" t="s">
        <v>1379</v>
      </c>
      <c r="J406" s="47" t="s">
        <v>1379</v>
      </c>
      <c r="K406" s="47" t="s">
        <v>1379</v>
      </c>
      <c r="L406" s="50" t="s">
        <v>1379</v>
      </c>
      <c r="M406" s="50" t="s">
        <v>1379</v>
      </c>
      <c r="N406" s="47" t="s">
        <v>1379</v>
      </c>
      <c r="O406" s="45" t="s">
        <v>1379</v>
      </c>
      <c r="P406" s="45">
        <v>-15.689027777777778</v>
      </c>
      <c r="Q406" s="45">
        <v>-70.605333333333334</v>
      </c>
      <c r="R406" s="45" t="s">
        <v>1287</v>
      </c>
      <c r="S406" s="51" t="s">
        <v>1288</v>
      </c>
      <c r="U406" s="52"/>
    </row>
    <row r="407" spans="1:21" ht="17.25" customHeight="1" x14ac:dyDescent="0.3">
      <c r="A407" s="45">
        <v>406</v>
      </c>
      <c r="B407" s="54" t="s">
        <v>1379</v>
      </c>
      <c r="C407" s="47" t="s">
        <v>1379</v>
      </c>
      <c r="D407" s="47" t="s">
        <v>1379</v>
      </c>
      <c r="E407" s="47" t="s">
        <v>1379</v>
      </c>
      <c r="F407" s="47" t="s">
        <v>1379</v>
      </c>
      <c r="G407" s="45" t="s">
        <v>1379</v>
      </c>
      <c r="H407" s="48" t="s">
        <v>1379</v>
      </c>
      <c r="I407" s="49" t="s">
        <v>1379</v>
      </c>
      <c r="J407" s="47" t="s">
        <v>1379</v>
      </c>
      <c r="K407" s="47" t="s">
        <v>1379</v>
      </c>
      <c r="L407" s="50" t="s">
        <v>1379</v>
      </c>
      <c r="M407" s="50" t="s">
        <v>1379</v>
      </c>
      <c r="N407" s="47" t="s">
        <v>1379</v>
      </c>
      <c r="O407" s="45" t="s">
        <v>1379</v>
      </c>
      <c r="P407" s="45">
        <v>-14.450055555555554</v>
      </c>
      <c r="Q407" s="45">
        <v>-72.073583333333332</v>
      </c>
      <c r="R407" s="45" t="s">
        <v>1289</v>
      </c>
      <c r="S407" s="51" t="s">
        <v>1290</v>
      </c>
      <c r="U407" s="52"/>
    </row>
    <row r="408" spans="1:21" ht="17.25" customHeight="1" x14ac:dyDescent="0.3">
      <c r="A408" s="45">
        <v>407</v>
      </c>
      <c r="B408" s="54" t="s">
        <v>1379</v>
      </c>
      <c r="C408" s="47" t="s">
        <v>1379</v>
      </c>
      <c r="D408" s="47" t="s">
        <v>1379</v>
      </c>
      <c r="E408" s="47" t="s">
        <v>1379</v>
      </c>
      <c r="F408" s="47" t="s">
        <v>1379</v>
      </c>
      <c r="G408" s="45" t="s">
        <v>1379</v>
      </c>
      <c r="H408" s="48" t="s">
        <v>1379</v>
      </c>
      <c r="I408" s="49" t="s">
        <v>1379</v>
      </c>
      <c r="J408" s="47" t="s">
        <v>1379</v>
      </c>
      <c r="K408" s="47" t="s">
        <v>1379</v>
      </c>
      <c r="L408" s="50" t="s">
        <v>1379</v>
      </c>
      <c r="M408" s="50" t="s">
        <v>1379</v>
      </c>
      <c r="N408" s="47" t="s">
        <v>1379</v>
      </c>
      <c r="O408" s="45" t="s">
        <v>1379</v>
      </c>
      <c r="P408" s="45">
        <v>-11.077888888888889</v>
      </c>
      <c r="Q408" s="45">
        <v>-75.321138888888882</v>
      </c>
      <c r="R408" s="45" t="s">
        <v>592</v>
      </c>
      <c r="S408" s="51" t="s">
        <v>1291</v>
      </c>
      <c r="U408" s="52"/>
    </row>
    <row r="409" spans="1:21" ht="17.25" customHeight="1" x14ac:dyDescent="0.3">
      <c r="A409" s="45">
        <v>408</v>
      </c>
      <c r="B409" s="54" t="s">
        <v>1379</v>
      </c>
      <c r="C409" s="47" t="s">
        <v>1379</v>
      </c>
      <c r="D409" s="47" t="s">
        <v>1379</v>
      </c>
      <c r="E409" s="47" t="s">
        <v>1379</v>
      </c>
      <c r="F409" s="47" t="s">
        <v>1379</v>
      </c>
      <c r="G409" s="45" t="s">
        <v>1379</v>
      </c>
      <c r="H409" s="48" t="s">
        <v>1379</v>
      </c>
      <c r="I409" s="49" t="s">
        <v>1379</v>
      </c>
      <c r="J409" s="47" t="s">
        <v>1379</v>
      </c>
      <c r="K409" s="47" t="s">
        <v>1379</v>
      </c>
      <c r="L409" s="50" t="s">
        <v>1379</v>
      </c>
      <c r="M409" s="50" t="s">
        <v>1379</v>
      </c>
      <c r="N409" s="47" t="s">
        <v>1379</v>
      </c>
      <c r="O409" s="45" t="s">
        <v>1379</v>
      </c>
      <c r="P409" s="45">
        <v>-11.93525</v>
      </c>
      <c r="Q409" s="45">
        <v>-69.119527777777776</v>
      </c>
      <c r="R409" s="45" t="s">
        <v>1292</v>
      </c>
      <c r="S409" s="51" t="s">
        <v>1293</v>
      </c>
      <c r="U409" s="52"/>
    </row>
    <row r="410" spans="1:21" ht="17.25" customHeight="1" x14ac:dyDescent="0.3">
      <c r="A410" s="45">
        <v>409</v>
      </c>
      <c r="B410" s="54" t="s">
        <v>1379</v>
      </c>
      <c r="C410" s="47" t="s">
        <v>1379</v>
      </c>
      <c r="D410" s="47" t="s">
        <v>1379</v>
      </c>
      <c r="E410" s="47" t="s">
        <v>1379</v>
      </c>
      <c r="F410" s="47" t="s">
        <v>1379</v>
      </c>
      <c r="G410" s="45" t="s">
        <v>1379</v>
      </c>
      <c r="H410" s="48" t="s">
        <v>1379</v>
      </c>
      <c r="I410" s="49" t="s">
        <v>1379</v>
      </c>
      <c r="J410" s="47" t="s">
        <v>1379</v>
      </c>
      <c r="K410" s="47" t="s">
        <v>1379</v>
      </c>
      <c r="L410" s="50" t="s">
        <v>1379</v>
      </c>
      <c r="M410" s="50" t="s">
        <v>1379</v>
      </c>
      <c r="N410" s="47" t="s">
        <v>1379</v>
      </c>
      <c r="O410" s="45" t="s">
        <v>1379</v>
      </c>
      <c r="P410" s="45">
        <v>-14.260619444444444</v>
      </c>
      <c r="Q410" s="45">
        <v>-71.246716666666671</v>
      </c>
      <c r="R410" s="45" t="s">
        <v>1294</v>
      </c>
      <c r="S410" s="51" t="s">
        <v>1295</v>
      </c>
      <c r="U410" s="52"/>
    </row>
    <row r="411" spans="1:21" ht="17.25" customHeight="1" x14ac:dyDescent="0.3">
      <c r="A411" s="45">
        <v>410</v>
      </c>
      <c r="B411" s="54" t="s">
        <v>1379</v>
      </c>
      <c r="C411" s="47" t="s">
        <v>1379</v>
      </c>
      <c r="D411" s="47" t="s">
        <v>1379</v>
      </c>
      <c r="E411" s="47" t="s">
        <v>1379</v>
      </c>
      <c r="F411" s="47" t="s">
        <v>1379</v>
      </c>
      <c r="G411" s="45" t="s">
        <v>1379</v>
      </c>
      <c r="H411" s="48" t="s">
        <v>1379</v>
      </c>
      <c r="I411" s="49" t="s">
        <v>1379</v>
      </c>
      <c r="J411" s="47" t="s">
        <v>1379</v>
      </c>
      <c r="K411" s="47" t="s">
        <v>1379</v>
      </c>
      <c r="L411" s="50" t="s">
        <v>1379</v>
      </c>
      <c r="M411" s="50" t="s">
        <v>1379</v>
      </c>
      <c r="N411" s="47" t="s">
        <v>1379</v>
      </c>
      <c r="O411" s="45" t="s">
        <v>1379</v>
      </c>
      <c r="P411" s="45">
        <v>-14.260619444444444</v>
      </c>
      <c r="Q411" s="45">
        <v>-71.246716666666671</v>
      </c>
      <c r="R411" s="45" t="s">
        <v>1294</v>
      </c>
      <c r="S411" s="51" t="s">
        <v>1296</v>
      </c>
      <c r="U411" s="52"/>
    </row>
    <row r="412" spans="1:21" ht="17.25" customHeight="1" x14ac:dyDescent="0.3">
      <c r="A412" s="45">
        <v>411</v>
      </c>
      <c r="B412" s="54" t="s">
        <v>1379</v>
      </c>
      <c r="C412" s="47" t="s">
        <v>1379</v>
      </c>
      <c r="D412" s="47" t="s">
        <v>1379</v>
      </c>
      <c r="E412" s="47" t="s">
        <v>1379</v>
      </c>
      <c r="F412" s="47" t="s">
        <v>1379</v>
      </c>
      <c r="G412" s="45" t="s">
        <v>1379</v>
      </c>
      <c r="H412" s="48" t="s">
        <v>1379</v>
      </c>
      <c r="I412" s="49" t="s">
        <v>1379</v>
      </c>
      <c r="J412" s="47" t="s">
        <v>1379</v>
      </c>
      <c r="K412" s="47" t="s">
        <v>1379</v>
      </c>
      <c r="L412" s="50" t="s">
        <v>1379</v>
      </c>
      <c r="M412" s="50" t="s">
        <v>1379</v>
      </c>
      <c r="N412" s="47" t="s">
        <v>1379</v>
      </c>
      <c r="O412" s="45" t="s">
        <v>1379</v>
      </c>
      <c r="P412" s="45">
        <v>-11.077888888888889</v>
      </c>
      <c r="Q412" s="45">
        <v>-75.321138888888882</v>
      </c>
      <c r="R412" s="45" t="s">
        <v>592</v>
      </c>
      <c r="S412" s="51" t="s">
        <v>1297</v>
      </c>
      <c r="U412" s="52"/>
    </row>
    <row r="413" spans="1:21" ht="17.25" customHeight="1" x14ac:dyDescent="0.3">
      <c r="A413" s="45">
        <v>412</v>
      </c>
      <c r="B413" s="54" t="s">
        <v>1379</v>
      </c>
      <c r="C413" s="47" t="s">
        <v>1379</v>
      </c>
      <c r="D413" s="47" t="s">
        <v>1379</v>
      </c>
      <c r="E413" s="47" t="s">
        <v>1379</v>
      </c>
      <c r="F413" s="47" t="s">
        <v>1379</v>
      </c>
      <c r="G413" s="45" t="s">
        <v>1379</v>
      </c>
      <c r="H413" s="48" t="s">
        <v>1379</v>
      </c>
      <c r="I413" s="49" t="s">
        <v>1379</v>
      </c>
      <c r="J413" s="47" t="s">
        <v>1379</v>
      </c>
      <c r="K413" s="47" t="s">
        <v>1379</v>
      </c>
      <c r="L413" s="50" t="s">
        <v>1379</v>
      </c>
      <c r="M413" s="50" t="s">
        <v>1379</v>
      </c>
      <c r="N413" s="47" t="s">
        <v>1379</v>
      </c>
      <c r="O413" s="45" t="s">
        <v>1379</v>
      </c>
      <c r="P413" s="45">
        <v>-17.99325</v>
      </c>
      <c r="Q413" s="45">
        <v>-70.26133333333334</v>
      </c>
      <c r="R413" s="45" t="s">
        <v>1298</v>
      </c>
      <c r="S413" s="51" t="s">
        <v>1299</v>
      </c>
      <c r="U413" s="52"/>
    </row>
    <row r="414" spans="1:21" ht="17.25" customHeight="1" x14ac:dyDescent="0.3">
      <c r="A414" s="45">
        <v>413</v>
      </c>
      <c r="B414" s="54" t="s">
        <v>1379</v>
      </c>
      <c r="C414" s="47" t="s">
        <v>1379</v>
      </c>
      <c r="D414" s="47" t="s">
        <v>1379</v>
      </c>
      <c r="E414" s="47" t="s">
        <v>1379</v>
      </c>
      <c r="F414" s="47" t="s">
        <v>1379</v>
      </c>
      <c r="G414" s="45" t="s">
        <v>1379</v>
      </c>
      <c r="H414" s="48" t="s">
        <v>1379</v>
      </c>
      <c r="I414" s="49" t="s">
        <v>1379</v>
      </c>
      <c r="J414" s="47" t="s">
        <v>1379</v>
      </c>
      <c r="K414" s="47" t="s">
        <v>1379</v>
      </c>
      <c r="L414" s="50" t="s">
        <v>1379</v>
      </c>
      <c r="M414" s="50" t="s">
        <v>1379</v>
      </c>
      <c r="N414" s="47" t="s">
        <v>1379</v>
      </c>
      <c r="O414" s="45" t="s">
        <v>1379</v>
      </c>
      <c r="P414" s="45">
        <v>-18.086194444444445</v>
      </c>
      <c r="Q414" s="45">
        <v>-70.254694444444439</v>
      </c>
      <c r="R414" s="45" t="s">
        <v>1300</v>
      </c>
      <c r="S414" s="51" t="s">
        <v>1301</v>
      </c>
      <c r="U414" s="52"/>
    </row>
    <row r="415" spans="1:21" ht="17.25" customHeight="1" x14ac:dyDescent="0.3">
      <c r="A415" s="45">
        <v>414</v>
      </c>
      <c r="B415" s="54" t="s">
        <v>1379</v>
      </c>
      <c r="C415" s="47" t="s">
        <v>1379</v>
      </c>
      <c r="D415" s="47" t="s">
        <v>1379</v>
      </c>
      <c r="E415" s="47" t="s">
        <v>1379</v>
      </c>
      <c r="F415" s="47" t="s">
        <v>1379</v>
      </c>
      <c r="G415" s="45" t="s">
        <v>1379</v>
      </c>
      <c r="H415" s="48" t="s">
        <v>1379</v>
      </c>
      <c r="I415" s="49" t="s">
        <v>1379</v>
      </c>
      <c r="J415" s="47" t="s">
        <v>1379</v>
      </c>
      <c r="K415" s="47" t="s">
        <v>1379</v>
      </c>
      <c r="L415" s="50" t="s">
        <v>1379</v>
      </c>
      <c r="M415" s="50" t="s">
        <v>1379</v>
      </c>
      <c r="N415" s="47" t="s">
        <v>1379</v>
      </c>
      <c r="O415" s="45" t="s">
        <v>1379</v>
      </c>
      <c r="P415" s="45">
        <v>-14.261277777777778</v>
      </c>
      <c r="Q415" s="45">
        <v>-72.561494444444435</v>
      </c>
      <c r="R415" s="45" t="s">
        <v>1302</v>
      </c>
      <c r="S415" s="51" t="s">
        <v>1303</v>
      </c>
      <c r="U415" s="52"/>
    </row>
    <row r="416" spans="1:21" ht="17.25" customHeight="1" x14ac:dyDescent="0.3">
      <c r="A416" s="45">
        <v>415</v>
      </c>
      <c r="B416" s="54" t="s">
        <v>1379</v>
      </c>
      <c r="C416" s="47" t="s">
        <v>1379</v>
      </c>
      <c r="D416" s="47" t="s">
        <v>1379</v>
      </c>
      <c r="E416" s="47" t="s">
        <v>1379</v>
      </c>
      <c r="F416" s="47" t="s">
        <v>1379</v>
      </c>
      <c r="G416" s="45" t="s">
        <v>1379</v>
      </c>
      <c r="H416" s="48" t="s">
        <v>1379</v>
      </c>
      <c r="I416" s="49" t="s">
        <v>1379</v>
      </c>
      <c r="J416" s="47" t="s">
        <v>1379</v>
      </c>
      <c r="K416" s="47" t="s">
        <v>1379</v>
      </c>
      <c r="L416" s="50" t="s">
        <v>1379</v>
      </c>
      <c r="M416" s="50" t="s">
        <v>1379</v>
      </c>
      <c r="N416" s="47" t="s">
        <v>1379</v>
      </c>
      <c r="O416" s="45" t="s">
        <v>1379</v>
      </c>
      <c r="P416" s="45">
        <v>-17.482533333333333</v>
      </c>
      <c r="Q416" s="45">
        <v>-70.041200000000003</v>
      </c>
      <c r="R416" s="45" t="s">
        <v>1304</v>
      </c>
      <c r="S416" s="51" t="s">
        <v>1305</v>
      </c>
      <c r="U416" s="52"/>
    </row>
    <row r="417" spans="1:21" ht="17.25" customHeight="1" x14ac:dyDescent="0.3">
      <c r="A417" s="45">
        <v>416</v>
      </c>
      <c r="B417" s="54" t="s">
        <v>1379</v>
      </c>
      <c r="C417" s="47" t="s">
        <v>1379</v>
      </c>
      <c r="D417" s="47" t="s">
        <v>1379</v>
      </c>
      <c r="E417" s="47" t="s">
        <v>1379</v>
      </c>
      <c r="F417" s="47" t="s">
        <v>1379</v>
      </c>
      <c r="G417" s="45" t="s">
        <v>1379</v>
      </c>
      <c r="H417" s="48" t="s">
        <v>1379</v>
      </c>
      <c r="I417" s="49" t="s">
        <v>1379</v>
      </c>
      <c r="J417" s="47" t="s">
        <v>1379</v>
      </c>
      <c r="K417" s="47" t="s">
        <v>1379</v>
      </c>
      <c r="L417" s="50" t="s">
        <v>1379</v>
      </c>
      <c r="M417" s="50" t="s">
        <v>1379</v>
      </c>
      <c r="N417" s="47" t="s">
        <v>1379</v>
      </c>
      <c r="O417" s="45" t="s">
        <v>1379</v>
      </c>
      <c r="P417" s="45">
        <v>-17.46822222222222</v>
      </c>
      <c r="Q417" s="45">
        <v>-70.041444444444437</v>
      </c>
      <c r="R417" s="45" t="s">
        <v>1306</v>
      </c>
      <c r="S417" s="51" t="s">
        <v>1307</v>
      </c>
      <c r="U417" s="52"/>
    </row>
    <row r="418" spans="1:21" ht="17.25" customHeight="1" x14ac:dyDescent="0.3">
      <c r="A418" s="45">
        <v>417</v>
      </c>
      <c r="B418" s="54" t="s">
        <v>1379</v>
      </c>
      <c r="C418" s="47" t="s">
        <v>1379</v>
      </c>
      <c r="D418" s="47" t="s">
        <v>1379</v>
      </c>
      <c r="E418" s="47" t="s">
        <v>1379</v>
      </c>
      <c r="F418" s="47" t="s">
        <v>1379</v>
      </c>
      <c r="G418" s="45" t="s">
        <v>1379</v>
      </c>
      <c r="H418" s="48" t="s">
        <v>1379</v>
      </c>
      <c r="I418" s="49" t="s">
        <v>1379</v>
      </c>
      <c r="J418" s="47" t="s">
        <v>1379</v>
      </c>
      <c r="K418" s="47" t="s">
        <v>1379</v>
      </c>
      <c r="L418" s="50" t="s">
        <v>1379</v>
      </c>
      <c r="M418" s="50" t="s">
        <v>1379</v>
      </c>
      <c r="N418" s="47" t="s">
        <v>1379</v>
      </c>
      <c r="O418" s="45" t="s">
        <v>1379</v>
      </c>
      <c r="P418" s="45">
        <v>-17.103722222222224</v>
      </c>
      <c r="Q418" s="45">
        <v>-70.877833333333328</v>
      </c>
      <c r="R418" s="45" t="s">
        <v>1308</v>
      </c>
      <c r="S418" s="51" t="s">
        <v>1309</v>
      </c>
      <c r="U418" s="52"/>
    </row>
    <row r="419" spans="1:21" ht="17.25" customHeight="1" x14ac:dyDescent="0.3">
      <c r="A419" s="45">
        <v>418</v>
      </c>
      <c r="B419" s="54" t="s">
        <v>1379</v>
      </c>
      <c r="C419" s="47" t="s">
        <v>1379</v>
      </c>
      <c r="D419" s="47" t="s">
        <v>1379</v>
      </c>
      <c r="E419" s="47" t="s">
        <v>1379</v>
      </c>
      <c r="F419" s="47" t="s">
        <v>1379</v>
      </c>
      <c r="G419" s="45" t="s">
        <v>1379</v>
      </c>
      <c r="H419" s="48" t="s">
        <v>1379</v>
      </c>
      <c r="I419" s="49" t="s">
        <v>1379</v>
      </c>
      <c r="J419" s="47" t="s">
        <v>1379</v>
      </c>
      <c r="K419" s="47" t="s">
        <v>1379</v>
      </c>
      <c r="L419" s="50" t="s">
        <v>1379</v>
      </c>
      <c r="M419" s="50" t="s">
        <v>1379</v>
      </c>
      <c r="N419" s="47" t="s">
        <v>1379</v>
      </c>
      <c r="O419" s="45" t="s">
        <v>1379</v>
      </c>
      <c r="P419" s="45">
        <v>-14.0808</v>
      </c>
      <c r="Q419" s="45">
        <v>-72.627272222222217</v>
      </c>
      <c r="R419" s="45" t="s">
        <v>1310</v>
      </c>
      <c r="S419" s="51" t="s">
        <v>1311</v>
      </c>
      <c r="U419" s="52"/>
    </row>
    <row r="420" spans="1:21" ht="17.25" customHeight="1" x14ac:dyDescent="0.3">
      <c r="A420" s="45">
        <v>419</v>
      </c>
      <c r="B420" s="54" t="s">
        <v>1379</v>
      </c>
      <c r="C420" s="47" t="s">
        <v>1379</v>
      </c>
      <c r="D420" s="47" t="s">
        <v>1379</v>
      </c>
      <c r="E420" s="47" t="s">
        <v>1379</v>
      </c>
      <c r="F420" s="47" t="s">
        <v>1379</v>
      </c>
      <c r="G420" s="45" t="s">
        <v>1379</v>
      </c>
      <c r="H420" s="48" t="s">
        <v>1379</v>
      </c>
      <c r="I420" s="49" t="s">
        <v>1379</v>
      </c>
      <c r="J420" s="47" t="s">
        <v>1379</v>
      </c>
      <c r="K420" s="47" t="s">
        <v>1379</v>
      </c>
      <c r="L420" s="50" t="s">
        <v>1379</v>
      </c>
      <c r="M420" s="50" t="s">
        <v>1379</v>
      </c>
      <c r="N420" s="47" t="s">
        <v>1379</v>
      </c>
      <c r="O420" s="45" t="s">
        <v>1379</v>
      </c>
      <c r="P420" s="45">
        <v>-13.623416666666667</v>
      </c>
      <c r="Q420" s="45">
        <v>-71.643444444444455</v>
      </c>
      <c r="R420" s="45" t="s">
        <v>1312</v>
      </c>
      <c r="S420" s="51" t="s">
        <v>1313</v>
      </c>
      <c r="U420" s="52"/>
    </row>
    <row r="421" spans="1:21" ht="17.25" customHeight="1" x14ac:dyDescent="0.3">
      <c r="A421" s="45">
        <v>420</v>
      </c>
      <c r="B421" s="54" t="s">
        <v>1379</v>
      </c>
      <c r="C421" s="47" t="s">
        <v>1379</v>
      </c>
      <c r="D421" s="47" t="s">
        <v>1379</v>
      </c>
      <c r="E421" s="47" t="s">
        <v>1379</v>
      </c>
      <c r="F421" s="47" t="s">
        <v>1379</v>
      </c>
      <c r="G421" s="45" t="s">
        <v>1379</v>
      </c>
      <c r="H421" s="48" t="s">
        <v>1379</v>
      </c>
      <c r="I421" s="49" t="s">
        <v>1379</v>
      </c>
      <c r="J421" s="47" t="s">
        <v>1379</v>
      </c>
      <c r="K421" s="47" t="s">
        <v>1379</v>
      </c>
      <c r="L421" s="50" t="s">
        <v>1379</v>
      </c>
      <c r="M421" s="50" t="s">
        <v>1379</v>
      </c>
      <c r="N421" s="47" t="s">
        <v>1379</v>
      </c>
      <c r="O421" s="45" t="s">
        <v>1379</v>
      </c>
      <c r="P421" s="45">
        <v>-13.310388888888889</v>
      </c>
      <c r="Q421" s="45">
        <v>-72.110944444444442</v>
      </c>
      <c r="R421" s="45" t="s">
        <v>1314</v>
      </c>
      <c r="S421" s="51" t="s">
        <v>1315</v>
      </c>
      <c r="U421" s="52"/>
    </row>
    <row r="422" spans="1:21" ht="17.25" customHeight="1" x14ac:dyDescent="0.3">
      <c r="A422" s="45">
        <v>421</v>
      </c>
      <c r="B422" s="54" t="s">
        <v>1379</v>
      </c>
      <c r="C422" s="47" t="s">
        <v>1379</v>
      </c>
      <c r="D422" s="47" t="s">
        <v>1379</v>
      </c>
      <c r="E422" s="47" t="s">
        <v>1379</v>
      </c>
      <c r="F422" s="47" t="s">
        <v>1379</v>
      </c>
      <c r="G422" s="45" t="s">
        <v>1379</v>
      </c>
      <c r="H422" s="48" t="s">
        <v>1379</v>
      </c>
      <c r="I422" s="49" t="s">
        <v>1379</v>
      </c>
      <c r="J422" s="47" t="s">
        <v>1379</v>
      </c>
      <c r="K422" s="47" t="s">
        <v>1379</v>
      </c>
      <c r="L422" s="50" t="s">
        <v>1379</v>
      </c>
      <c r="M422" s="50" t="s">
        <v>1379</v>
      </c>
      <c r="N422" s="47" t="s">
        <v>1379</v>
      </c>
      <c r="O422" s="45" t="s">
        <v>1379</v>
      </c>
      <c r="P422" s="45">
        <v>-13.310388888888889</v>
      </c>
      <c r="Q422" s="45">
        <v>-72.110944444444442</v>
      </c>
      <c r="R422" s="45" t="s">
        <v>1314</v>
      </c>
      <c r="S422" s="51" t="s">
        <v>1316</v>
      </c>
      <c r="U422" s="52"/>
    </row>
    <row r="423" spans="1:21" ht="17.25" customHeight="1" x14ac:dyDescent="0.3">
      <c r="A423" s="45">
        <v>422</v>
      </c>
      <c r="B423" s="54" t="s">
        <v>1379</v>
      </c>
      <c r="C423" s="47" t="s">
        <v>1379</v>
      </c>
      <c r="D423" s="47" t="s">
        <v>1379</v>
      </c>
      <c r="E423" s="47" t="s">
        <v>1379</v>
      </c>
      <c r="F423" s="47" t="s">
        <v>1379</v>
      </c>
      <c r="G423" s="45" t="s">
        <v>1379</v>
      </c>
      <c r="H423" s="48" t="s">
        <v>1379</v>
      </c>
      <c r="I423" s="49" t="s">
        <v>1379</v>
      </c>
      <c r="J423" s="47" t="s">
        <v>1379</v>
      </c>
      <c r="K423" s="47" t="s">
        <v>1379</v>
      </c>
      <c r="L423" s="50" t="s">
        <v>1379</v>
      </c>
      <c r="M423" s="50" t="s">
        <v>1379</v>
      </c>
      <c r="N423" s="47" t="s">
        <v>1379</v>
      </c>
      <c r="O423" s="45" t="s">
        <v>1379</v>
      </c>
      <c r="P423" s="45">
        <v>-13.940305555555556</v>
      </c>
      <c r="Q423" s="45">
        <v>-72.171611111111119</v>
      </c>
      <c r="R423" s="45" t="s">
        <v>1317</v>
      </c>
      <c r="S423" s="51" t="s">
        <v>1318</v>
      </c>
      <c r="U423" s="52"/>
    </row>
    <row r="424" spans="1:21" ht="17.25" customHeight="1" x14ac:dyDescent="0.3">
      <c r="A424" s="45">
        <v>423</v>
      </c>
      <c r="B424" s="54" t="s">
        <v>1379</v>
      </c>
      <c r="C424" s="47" t="s">
        <v>1379</v>
      </c>
      <c r="D424" s="47" t="s">
        <v>1379</v>
      </c>
      <c r="E424" s="47" t="s">
        <v>1379</v>
      </c>
      <c r="F424" s="47" t="s">
        <v>1379</v>
      </c>
      <c r="G424" s="45" t="s">
        <v>1379</v>
      </c>
      <c r="H424" s="48" t="s">
        <v>1379</v>
      </c>
      <c r="I424" s="49" t="s">
        <v>1379</v>
      </c>
      <c r="J424" s="47" t="s">
        <v>1379</v>
      </c>
      <c r="K424" s="47" t="s">
        <v>1379</v>
      </c>
      <c r="L424" s="50" t="s">
        <v>1379</v>
      </c>
      <c r="M424" s="50" t="s">
        <v>1379</v>
      </c>
      <c r="N424" s="47" t="s">
        <v>1379</v>
      </c>
      <c r="O424" s="45" t="s">
        <v>1379</v>
      </c>
      <c r="P424" s="45">
        <v>-12.687141666666667</v>
      </c>
      <c r="Q424" s="45">
        <v>-72.313108333333332</v>
      </c>
      <c r="R424" s="45" t="s">
        <v>1319</v>
      </c>
      <c r="S424" s="51" t="s">
        <v>1320</v>
      </c>
      <c r="U424" s="52"/>
    </row>
    <row r="425" spans="1:21" ht="17.25" customHeight="1" x14ac:dyDescent="0.3">
      <c r="A425" s="45">
        <v>424</v>
      </c>
      <c r="B425" s="54" t="s">
        <v>1379</v>
      </c>
      <c r="C425" s="47" t="s">
        <v>1379</v>
      </c>
      <c r="D425" s="47" t="s">
        <v>1379</v>
      </c>
      <c r="E425" s="47" t="s">
        <v>1379</v>
      </c>
      <c r="F425" s="47" t="s">
        <v>1379</v>
      </c>
      <c r="G425" s="45" t="s">
        <v>1379</v>
      </c>
      <c r="H425" s="48" t="s">
        <v>1379</v>
      </c>
      <c r="I425" s="49" t="s">
        <v>1379</v>
      </c>
      <c r="J425" s="47" t="s">
        <v>1379</v>
      </c>
      <c r="K425" s="47" t="s">
        <v>1379</v>
      </c>
      <c r="L425" s="50" t="s">
        <v>1379</v>
      </c>
      <c r="M425" s="50" t="s">
        <v>1379</v>
      </c>
      <c r="N425" s="47" t="s">
        <v>1379</v>
      </c>
      <c r="O425" s="45" t="s">
        <v>1379</v>
      </c>
      <c r="P425" s="45">
        <v>-16.257166666666667</v>
      </c>
      <c r="Q425" s="45">
        <v>-69.089361111111103</v>
      </c>
      <c r="R425" s="45" t="s">
        <v>1321</v>
      </c>
      <c r="S425" s="51" t="s">
        <v>1322</v>
      </c>
      <c r="U425" s="52"/>
    </row>
    <row r="426" spans="1:21" ht="17.25" customHeight="1" x14ac:dyDescent="0.3">
      <c r="I426" s="45"/>
      <c r="J426" s="45"/>
      <c r="R426" s="45"/>
      <c r="S426" s="51"/>
      <c r="U426" s="52"/>
    </row>
    <row r="427" spans="1:21" ht="17.25" customHeight="1" x14ac:dyDescent="0.3">
      <c r="I427" s="45"/>
      <c r="J427" s="45"/>
      <c r="R427" s="45"/>
      <c r="S427" s="51"/>
      <c r="U427" s="52"/>
    </row>
    <row r="428" spans="1:21" ht="17.25" customHeight="1" x14ac:dyDescent="0.3">
      <c r="I428" s="45"/>
      <c r="J428" s="45"/>
      <c r="R428" s="45"/>
      <c r="S428" s="51"/>
      <c r="U428" s="52"/>
    </row>
    <row r="429" spans="1:21" ht="17.25" customHeight="1" x14ac:dyDescent="0.3">
      <c r="I429" s="45"/>
      <c r="J429" s="45"/>
      <c r="R429" s="45"/>
      <c r="S429" s="51"/>
      <c r="U429" s="52"/>
    </row>
    <row r="430" spans="1:21" ht="17.25" customHeight="1" x14ac:dyDescent="0.3">
      <c r="I430" s="45"/>
      <c r="J430" s="45"/>
      <c r="R430" s="45"/>
      <c r="S430" s="51"/>
      <c r="U430" s="52"/>
    </row>
    <row r="431" spans="1:21" ht="17.25" customHeight="1" x14ac:dyDescent="0.3">
      <c r="I431" s="45"/>
      <c r="J431" s="45"/>
      <c r="R431" s="45"/>
      <c r="S431" s="51"/>
      <c r="U431" s="52"/>
    </row>
    <row r="432" spans="1:21" ht="17.25" customHeight="1" x14ac:dyDescent="0.3">
      <c r="I432" s="45"/>
      <c r="J432" s="45"/>
      <c r="R432" s="45"/>
      <c r="S432" s="51"/>
      <c r="U432" s="52"/>
    </row>
    <row r="433" spans="9:21" ht="17.25" customHeight="1" x14ac:dyDescent="0.3">
      <c r="I433" s="45"/>
      <c r="J433" s="45"/>
      <c r="R433" s="45"/>
      <c r="S433" s="51"/>
      <c r="U433" s="52"/>
    </row>
    <row r="434" spans="9:21" ht="17.25" customHeight="1" x14ac:dyDescent="0.3">
      <c r="I434" s="45"/>
      <c r="J434" s="45"/>
      <c r="R434" s="45"/>
      <c r="S434" s="51"/>
      <c r="U434" s="52"/>
    </row>
    <row r="435" spans="9:21" ht="17.25" customHeight="1" x14ac:dyDescent="0.3">
      <c r="I435" s="45"/>
      <c r="J435" s="45"/>
      <c r="R435" s="45"/>
      <c r="S435" s="51"/>
      <c r="U435" s="52"/>
    </row>
    <row r="436" spans="9:21" ht="17.25" customHeight="1" x14ac:dyDescent="0.3">
      <c r="I436" s="45"/>
      <c r="J436" s="45"/>
      <c r="R436" s="45"/>
      <c r="S436" s="51"/>
      <c r="U436" s="52"/>
    </row>
    <row r="437" spans="9:21" ht="17.25" customHeight="1" x14ac:dyDescent="0.3">
      <c r="I437" s="45"/>
      <c r="J437" s="45"/>
      <c r="R437" s="45"/>
      <c r="S437" s="51"/>
      <c r="U437" s="52"/>
    </row>
    <row r="438" spans="9:21" ht="17.25" customHeight="1" x14ac:dyDescent="0.3">
      <c r="I438" s="45"/>
      <c r="J438" s="45"/>
      <c r="R438" s="45"/>
      <c r="S438" s="51"/>
      <c r="U438" s="52"/>
    </row>
    <row r="439" spans="9:21" ht="17.25" customHeight="1" x14ac:dyDescent="0.3">
      <c r="I439" s="45"/>
      <c r="J439" s="45"/>
      <c r="R439" s="45"/>
      <c r="S439" s="51"/>
      <c r="U439" s="52"/>
    </row>
    <row r="440" spans="9:21" ht="17.25" customHeight="1" x14ac:dyDescent="0.3">
      <c r="I440" s="45"/>
      <c r="J440" s="45"/>
      <c r="R440" s="45"/>
      <c r="S440" s="51"/>
      <c r="U440" s="52"/>
    </row>
    <row r="441" spans="9:21" ht="17.25" customHeight="1" x14ac:dyDescent="0.3">
      <c r="I441" s="45"/>
      <c r="J441" s="45"/>
      <c r="R441" s="45"/>
      <c r="S441" s="51"/>
      <c r="U441" s="52"/>
    </row>
    <row r="442" spans="9:21" ht="17.25" customHeight="1" x14ac:dyDescent="0.3">
      <c r="I442" s="45"/>
      <c r="J442" s="45"/>
      <c r="R442" s="45"/>
      <c r="S442" s="51"/>
      <c r="U442" s="52"/>
    </row>
    <row r="443" spans="9:21" ht="17.25" customHeight="1" x14ac:dyDescent="0.3">
      <c r="I443" s="45"/>
      <c r="J443" s="45"/>
      <c r="R443" s="45"/>
      <c r="S443" s="51"/>
      <c r="U443" s="52"/>
    </row>
    <row r="444" spans="9:21" ht="17.25" customHeight="1" x14ac:dyDescent="0.3">
      <c r="I444" s="45"/>
      <c r="J444" s="45"/>
      <c r="R444" s="45"/>
      <c r="S444" s="51"/>
      <c r="U444" s="52"/>
    </row>
    <row r="445" spans="9:21" ht="17.25" customHeight="1" x14ac:dyDescent="0.3">
      <c r="I445" s="45"/>
      <c r="J445" s="45"/>
      <c r="R445" s="45"/>
      <c r="S445" s="51"/>
      <c r="U445" s="52"/>
    </row>
    <row r="446" spans="9:21" ht="17.25" customHeight="1" x14ac:dyDescent="0.3">
      <c r="I446" s="45"/>
      <c r="J446" s="45"/>
      <c r="R446" s="45"/>
      <c r="S446" s="51"/>
      <c r="U446" s="52"/>
    </row>
    <row r="447" spans="9:21" ht="17.25" customHeight="1" x14ac:dyDescent="0.3">
      <c r="I447" s="45"/>
      <c r="J447" s="45"/>
      <c r="R447" s="45"/>
      <c r="S447" s="51"/>
      <c r="U447" s="52"/>
    </row>
    <row r="448" spans="9:21" ht="17.25" customHeight="1" x14ac:dyDescent="0.3">
      <c r="I448" s="45"/>
      <c r="J448" s="45"/>
      <c r="R448" s="45"/>
      <c r="S448" s="51"/>
      <c r="U448" s="52"/>
    </row>
    <row r="449" spans="9:21" ht="17.25" customHeight="1" x14ac:dyDescent="0.3">
      <c r="I449" s="45"/>
      <c r="J449" s="45"/>
      <c r="R449" s="45"/>
      <c r="S449" s="51"/>
      <c r="U449" s="52"/>
    </row>
    <row r="450" spans="9:21" ht="17.25" customHeight="1" x14ac:dyDescent="0.3">
      <c r="I450" s="45"/>
      <c r="J450" s="45"/>
      <c r="R450" s="45"/>
      <c r="S450" s="51"/>
      <c r="U450" s="52"/>
    </row>
    <row r="451" spans="9:21" ht="17.25" customHeight="1" x14ac:dyDescent="0.3">
      <c r="I451" s="45"/>
      <c r="J451" s="45"/>
      <c r="R451" s="45"/>
      <c r="S451" s="51"/>
      <c r="U451" s="52"/>
    </row>
    <row r="452" spans="9:21" ht="17.25" customHeight="1" x14ac:dyDescent="0.3">
      <c r="I452" s="45"/>
      <c r="J452" s="45"/>
      <c r="R452" s="45"/>
      <c r="S452" s="51"/>
      <c r="U452" s="52"/>
    </row>
    <row r="453" spans="9:21" ht="17.25" customHeight="1" x14ac:dyDescent="0.3">
      <c r="I453" s="45"/>
      <c r="J453" s="45"/>
      <c r="R453" s="45"/>
      <c r="S453" s="51"/>
      <c r="U453" s="52"/>
    </row>
    <row r="454" spans="9:21" ht="17.25" customHeight="1" x14ac:dyDescent="0.3">
      <c r="I454" s="45"/>
      <c r="J454" s="45"/>
      <c r="R454" s="45"/>
      <c r="S454" s="51"/>
      <c r="U454" s="52"/>
    </row>
    <row r="455" spans="9:21" ht="17.25" customHeight="1" x14ac:dyDescent="0.3">
      <c r="I455" s="45"/>
      <c r="J455" s="45"/>
      <c r="R455" s="45"/>
      <c r="S455" s="51"/>
      <c r="U455" s="52"/>
    </row>
    <row r="456" spans="9:21" ht="17.25" customHeight="1" x14ac:dyDescent="0.3">
      <c r="I456" s="45"/>
      <c r="J456" s="45"/>
      <c r="R456" s="45"/>
      <c r="S456" s="51"/>
      <c r="U456" s="52"/>
    </row>
    <row r="457" spans="9:21" ht="17.25" customHeight="1" x14ac:dyDescent="0.3">
      <c r="I457" s="45"/>
      <c r="J457" s="45"/>
      <c r="R457" s="45"/>
      <c r="S457" s="51"/>
      <c r="U457" s="52"/>
    </row>
    <row r="458" spans="9:21" ht="17.25" customHeight="1" x14ac:dyDescent="0.3">
      <c r="I458" s="45"/>
      <c r="J458" s="45"/>
      <c r="R458" s="45"/>
      <c r="S458" s="51"/>
      <c r="U458" s="52"/>
    </row>
    <row r="459" spans="9:21" ht="17.25" customHeight="1" x14ac:dyDescent="0.3">
      <c r="I459" s="45"/>
      <c r="J459" s="45"/>
      <c r="R459" s="45"/>
      <c r="S459" s="51"/>
      <c r="U459" s="52"/>
    </row>
    <row r="460" spans="9:21" ht="17.25" customHeight="1" x14ac:dyDescent="0.3">
      <c r="I460" s="45"/>
      <c r="J460" s="45"/>
      <c r="R460" s="45"/>
      <c r="S460" s="51"/>
      <c r="U460" s="52"/>
    </row>
    <row r="461" spans="9:21" ht="17.25" customHeight="1" x14ac:dyDescent="0.3">
      <c r="I461" s="45"/>
      <c r="J461" s="45"/>
      <c r="R461" s="45"/>
      <c r="S461" s="51"/>
      <c r="U461" s="52"/>
    </row>
    <row r="462" spans="9:21" ht="17.25" customHeight="1" x14ac:dyDescent="0.3">
      <c r="I462" s="45"/>
      <c r="J462" s="45"/>
      <c r="R462" s="45"/>
      <c r="S462" s="51"/>
      <c r="U462" s="52"/>
    </row>
    <row r="463" spans="9:21" ht="17.25" customHeight="1" x14ac:dyDescent="0.3">
      <c r="I463" s="45"/>
      <c r="J463" s="45"/>
      <c r="R463" s="45"/>
      <c r="S463" s="51"/>
      <c r="U463" s="52"/>
    </row>
    <row r="464" spans="9:21" ht="17.25" customHeight="1" x14ac:dyDescent="0.3">
      <c r="I464" s="45"/>
      <c r="J464" s="45"/>
      <c r="R464" s="45"/>
      <c r="S464" s="51"/>
      <c r="U464" s="52"/>
    </row>
    <row r="465" spans="9:21" ht="17.25" customHeight="1" x14ac:dyDescent="0.3">
      <c r="I465" s="45"/>
      <c r="J465" s="45"/>
      <c r="R465" s="45"/>
      <c r="S465" s="51"/>
      <c r="U465" s="52"/>
    </row>
    <row r="466" spans="9:21" ht="17.25" customHeight="1" x14ac:dyDescent="0.3">
      <c r="I466" s="45"/>
      <c r="J466" s="45"/>
      <c r="R466" s="45"/>
      <c r="S466" s="51"/>
      <c r="U466" s="52"/>
    </row>
    <row r="467" spans="9:21" ht="17.25" customHeight="1" x14ac:dyDescent="0.3">
      <c r="I467" s="45"/>
      <c r="J467" s="45"/>
      <c r="R467" s="45"/>
      <c r="S467" s="51"/>
      <c r="U467" s="52"/>
    </row>
    <row r="468" spans="9:21" ht="17.25" customHeight="1" x14ac:dyDescent="0.3">
      <c r="I468" s="45"/>
      <c r="J468" s="45"/>
      <c r="R468" s="45"/>
      <c r="S468" s="51"/>
      <c r="U468" s="52"/>
    </row>
    <row r="469" spans="9:21" ht="17.25" customHeight="1" x14ac:dyDescent="0.3">
      <c r="I469" s="45"/>
      <c r="J469" s="45"/>
      <c r="R469" s="45"/>
      <c r="S469" s="51"/>
      <c r="U469" s="52"/>
    </row>
    <row r="470" spans="9:21" ht="17.25" customHeight="1" x14ac:dyDescent="0.3">
      <c r="I470" s="45"/>
      <c r="J470" s="45"/>
      <c r="R470" s="45"/>
      <c r="S470" s="51"/>
      <c r="U470" s="52"/>
    </row>
    <row r="471" spans="9:21" ht="17.25" customHeight="1" x14ac:dyDescent="0.3">
      <c r="I471" s="45"/>
      <c r="J471" s="45"/>
      <c r="R471" s="45"/>
      <c r="S471" s="51"/>
      <c r="U471" s="52"/>
    </row>
    <row r="472" spans="9:21" ht="17.25" customHeight="1" x14ac:dyDescent="0.3">
      <c r="I472" s="45"/>
      <c r="J472" s="45"/>
      <c r="R472" s="45"/>
      <c r="S472" s="51"/>
      <c r="U472" s="52"/>
    </row>
    <row r="473" spans="9:21" ht="17.25" customHeight="1" x14ac:dyDescent="0.3">
      <c r="I473" s="45"/>
      <c r="J473" s="45"/>
      <c r="R473" s="45"/>
      <c r="S473" s="51"/>
      <c r="U473" s="52"/>
    </row>
    <row r="474" spans="9:21" ht="17.25" customHeight="1" x14ac:dyDescent="0.3">
      <c r="I474" s="45"/>
      <c r="J474" s="45"/>
      <c r="R474" s="45"/>
      <c r="S474" s="51"/>
      <c r="U474" s="52"/>
    </row>
    <row r="475" spans="9:21" ht="17.25" customHeight="1" x14ac:dyDescent="0.3">
      <c r="I475" s="45"/>
      <c r="J475" s="45"/>
      <c r="R475" s="45"/>
      <c r="S475" s="51"/>
      <c r="U475" s="52"/>
    </row>
    <row r="476" spans="9:21" ht="17.25" customHeight="1" x14ac:dyDescent="0.3">
      <c r="I476" s="45"/>
      <c r="J476" s="45"/>
      <c r="R476" s="45"/>
      <c r="S476" s="51"/>
      <c r="U476" s="52"/>
    </row>
    <row r="477" spans="9:21" ht="17.25" customHeight="1" x14ac:dyDescent="0.3">
      <c r="I477" s="45"/>
      <c r="J477" s="45"/>
      <c r="R477" s="45"/>
      <c r="S477" s="51"/>
      <c r="U477" s="52"/>
    </row>
    <row r="478" spans="9:21" ht="17.25" customHeight="1" x14ac:dyDescent="0.3">
      <c r="I478" s="45"/>
      <c r="J478" s="45"/>
      <c r="R478" s="45"/>
      <c r="S478" s="51"/>
      <c r="U478" s="52"/>
    </row>
    <row r="479" spans="9:21" ht="17.25" customHeight="1" x14ac:dyDescent="0.3">
      <c r="I479" s="45"/>
      <c r="J479" s="45"/>
      <c r="R479" s="45"/>
      <c r="S479" s="51"/>
      <c r="U479" s="52"/>
    </row>
    <row r="480" spans="9:21" ht="17.25" customHeight="1" x14ac:dyDescent="0.3">
      <c r="I480" s="45"/>
      <c r="J480" s="45"/>
      <c r="R480" s="45"/>
      <c r="S480" s="51"/>
      <c r="U480" s="52"/>
    </row>
    <row r="481" spans="9:21" ht="17.25" customHeight="1" x14ac:dyDescent="0.3">
      <c r="I481" s="45"/>
      <c r="J481" s="45"/>
      <c r="R481" s="45"/>
      <c r="S481" s="51"/>
      <c r="U481" s="52"/>
    </row>
    <row r="482" spans="9:21" ht="17.25" customHeight="1" x14ac:dyDescent="0.3">
      <c r="I482" s="45"/>
      <c r="J482" s="45"/>
      <c r="R482" s="45"/>
      <c r="S482" s="51"/>
      <c r="U482" s="52"/>
    </row>
    <row r="483" spans="9:21" ht="17.25" customHeight="1" x14ac:dyDescent="0.3">
      <c r="I483" s="45"/>
      <c r="J483" s="45"/>
      <c r="R483" s="45"/>
      <c r="S483" s="51"/>
      <c r="U483" s="52"/>
    </row>
    <row r="484" spans="9:21" ht="17.25" customHeight="1" x14ac:dyDescent="0.3">
      <c r="I484" s="45"/>
      <c r="J484" s="45"/>
      <c r="R484" s="45"/>
      <c r="S484" s="51"/>
      <c r="U484" s="52"/>
    </row>
    <row r="485" spans="9:21" ht="17.25" customHeight="1" x14ac:dyDescent="0.3">
      <c r="I485" s="45"/>
      <c r="J485" s="45"/>
      <c r="R485" s="45"/>
      <c r="S485" s="51"/>
      <c r="U485" s="52"/>
    </row>
    <row r="486" spans="9:21" ht="17.25" customHeight="1" x14ac:dyDescent="0.3">
      <c r="I486" s="45"/>
      <c r="J486" s="45"/>
      <c r="R486" s="45"/>
      <c r="S486" s="51"/>
      <c r="U486" s="52"/>
    </row>
    <row r="487" spans="9:21" ht="17.25" customHeight="1" x14ac:dyDescent="0.3">
      <c r="I487" s="45"/>
      <c r="J487" s="45"/>
      <c r="R487" s="45"/>
      <c r="S487" s="51"/>
      <c r="U487" s="52"/>
    </row>
    <row r="488" spans="9:21" ht="17.25" customHeight="1" x14ac:dyDescent="0.3">
      <c r="I488" s="45"/>
      <c r="J488" s="45"/>
      <c r="R488" s="45"/>
      <c r="S488" s="51"/>
      <c r="U488" s="52"/>
    </row>
    <row r="489" spans="9:21" ht="17.25" customHeight="1" x14ac:dyDescent="0.3">
      <c r="I489" s="45"/>
      <c r="J489" s="45"/>
      <c r="R489" s="45"/>
      <c r="S489" s="51"/>
      <c r="U489" s="52"/>
    </row>
    <row r="490" spans="9:21" ht="17.25" customHeight="1" x14ac:dyDescent="0.3">
      <c r="I490" s="45"/>
      <c r="J490" s="45"/>
      <c r="R490" s="45"/>
      <c r="S490" s="51"/>
      <c r="U490" s="52"/>
    </row>
    <row r="491" spans="9:21" ht="17.25" customHeight="1" x14ac:dyDescent="0.3">
      <c r="I491" s="45"/>
      <c r="J491" s="45"/>
      <c r="R491" s="45"/>
      <c r="S491" s="51"/>
      <c r="U491" s="52"/>
    </row>
    <row r="492" spans="9:21" ht="17.25" customHeight="1" x14ac:dyDescent="0.3">
      <c r="I492" s="45"/>
      <c r="J492" s="45"/>
      <c r="R492" s="45"/>
      <c r="S492" s="51"/>
      <c r="U492" s="52"/>
    </row>
    <row r="493" spans="9:21" ht="17.25" customHeight="1" x14ac:dyDescent="0.3">
      <c r="I493" s="45"/>
      <c r="J493" s="45"/>
      <c r="R493" s="45"/>
      <c r="S493" s="51"/>
      <c r="U493" s="52"/>
    </row>
    <row r="494" spans="9:21" ht="17.25" customHeight="1" x14ac:dyDescent="0.3">
      <c r="I494" s="45"/>
      <c r="J494" s="45"/>
      <c r="R494" s="45"/>
      <c r="S494" s="51"/>
      <c r="U494" s="52"/>
    </row>
    <row r="495" spans="9:21" ht="17.25" customHeight="1" x14ac:dyDescent="0.3">
      <c r="I495" s="45"/>
      <c r="J495" s="45"/>
      <c r="R495" s="45"/>
      <c r="S495" s="51"/>
      <c r="U495" s="52"/>
    </row>
    <row r="496" spans="9:21" ht="17.25" customHeight="1" x14ac:dyDescent="0.3">
      <c r="I496" s="45"/>
      <c r="J496" s="45"/>
      <c r="R496" s="45"/>
      <c r="S496" s="51"/>
      <c r="U496" s="52"/>
    </row>
    <row r="497" spans="9:21" ht="17.25" customHeight="1" x14ac:dyDescent="0.3">
      <c r="I497" s="45"/>
      <c r="J497" s="45"/>
      <c r="R497" s="45"/>
      <c r="S497" s="51"/>
      <c r="U497" s="52"/>
    </row>
    <row r="498" spans="9:21" ht="17.25" customHeight="1" x14ac:dyDescent="0.3">
      <c r="I498" s="45"/>
      <c r="J498" s="45"/>
      <c r="R498" s="45"/>
      <c r="S498" s="51"/>
      <c r="U498" s="52"/>
    </row>
    <row r="499" spans="9:21" ht="17.25" customHeight="1" x14ac:dyDescent="0.3">
      <c r="I499" s="45"/>
      <c r="J499" s="45"/>
      <c r="R499" s="45"/>
      <c r="S499" s="51"/>
      <c r="U499" s="52"/>
    </row>
    <row r="500" spans="9:21" ht="17.25" customHeight="1" x14ac:dyDescent="0.3">
      <c r="I500" s="45"/>
      <c r="J500" s="45"/>
      <c r="R500" s="45"/>
      <c r="S500" s="51"/>
      <c r="U500" s="52"/>
    </row>
    <row r="501" spans="9:21" ht="17.25" customHeight="1" x14ac:dyDescent="0.3">
      <c r="I501" s="45"/>
      <c r="J501" s="45"/>
      <c r="R501" s="45"/>
      <c r="S501" s="51"/>
      <c r="U501" s="52"/>
    </row>
    <row r="502" spans="9:21" ht="17.25" customHeight="1" x14ac:dyDescent="0.3">
      <c r="I502" s="45"/>
      <c r="J502" s="45"/>
      <c r="R502" s="45"/>
      <c r="S502" s="51"/>
      <c r="U502" s="52"/>
    </row>
    <row r="503" spans="9:21" ht="17.25" customHeight="1" x14ac:dyDescent="0.3">
      <c r="I503" s="45"/>
      <c r="J503" s="45"/>
      <c r="R503" s="45"/>
      <c r="S503" s="51"/>
      <c r="U503" s="52"/>
    </row>
    <row r="504" spans="9:21" ht="17.25" customHeight="1" x14ac:dyDescent="0.3">
      <c r="I504" s="45"/>
      <c r="J504" s="45"/>
      <c r="R504" s="45"/>
      <c r="S504" s="51"/>
      <c r="U504" s="52"/>
    </row>
    <row r="505" spans="9:21" ht="17.25" customHeight="1" x14ac:dyDescent="0.3">
      <c r="I505" s="45"/>
      <c r="J505" s="45"/>
      <c r="R505" s="45"/>
      <c r="S505" s="51"/>
      <c r="U505" s="52"/>
    </row>
    <row r="506" spans="9:21" ht="17.25" customHeight="1" x14ac:dyDescent="0.3">
      <c r="I506" s="45"/>
      <c r="J506" s="45"/>
      <c r="R506" s="45"/>
      <c r="S506" s="51"/>
      <c r="U506" s="52"/>
    </row>
    <row r="507" spans="9:21" ht="17.25" customHeight="1" x14ac:dyDescent="0.3">
      <c r="I507" s="45"/>
      <c r="J507" s="45"/>
      <c r="R507" s="45"/>
      <c r="S507" s="51"/>
      <c r="U507" s="52"/>
    </row>
    <row r="508" spans="9:21" ht="17.25" customHeight="1" x14ac:dyDescent="0.3">
      <c r="I508" s="45"/>
      <c r="J508" s="45"/>
      <c r="R508" s="45"/>
      <c r="S508" s="51"/>
      <c r="U508" s="52"/>
    </row>
    <row r="509" spans="9:21" ht="17.25" customHeight="1" x14ac:dyDescent="0.3">
      <c r="I509" s="45"/>
      <c r="J509" s="45"/>
      <c r="R509" s="45"/>
      <c r="S509" s="51"/>
      <c r="U509" s="52"/>
    </row>
    <row r="510" spans="9:21" ht="17.25" customHeight="1" x14ac:dyDescent="0.3">
      <c r="I510" s="45"/>
      <c r="J510" s="45"/>
      <c r="R510" s="45"/>
      <c r="S510" s="51"/>
      <c r="U510" s="52"/>
    </row>
    <row r="511" spans="9:21" ht="17.25" customHeight="1" x14ac:dyDescent="0.3">
      <c r="I511" s="45"/>
      <c r="J511" s="45"/>
      <c r="R511" s="45"/>
      <c r="S511" s="51"/>
      <c r="U511" s="52"/>
    </row>
    <row r="512" spans="9:21" ht="17.25" customHeight="1" x14ac:dyDescent="0.3">
      <c r="I512" s="45"/>
      <c r="J512" s="45"/>
      <c r="R512" s="45"/>
      <c r="S512" s="51"/>
      <c r="U512" s="52"/>
    </row>
    <row r="513" spans="9:21" ht="17.25" customHeight="1" x14ac:dyDescent="0.3">
      <c r="I513" s="45"/>
      <c r="J513" s="45"/>
      <c r="R513" s="45"/>
      <c r="S513" s="51"/>
      <c r="U513" s="52"/>
    </row>
    <row r="514" spans="9:21" ht="17.25" customHeight="1" x14ac:dyDescent="0.3">
      <c r="I514" s="45"/>
      <c r="J514" s="45"/>
      <c r="R514" s="45"/>
      <c r="S514" s="51"/>
      <c r="U514" s="52"/>
    </row>
    <row r="515" spans="9:21" ht="17.25" customHeight="1" x14ac:dyDescent="0.3">
      <c r="I515" s="45"/>
      <c r="J515" s="45"/>
      <c r="R515" s="45"/>
      <c r="S515" s="51"/>
      <c r="U515" s="52"/>
    </row>
    <row r="516" spans="9:21" ht="17.25" customHeight="1" x14ac:dyDescent="0.3">
      <c r="I516" s="45"/>
      <c r="J516" s="45"/>
      <c r="R516" s="45"/>
      <c r="S516" s="51"/>
      <c r="U516" s="52"/>
    </row>
    <row r="517" spans="9:21" ht="17.25" customHeight="1" x14ac:dyDescent="0.3">
      <c r="I517" s="45"/>
      <c r="J517" s="45"/>
      <c r="R517" s="45"/>
      <c r="S517" s="51"/>
      <c r="U517" s="52"/>
    </row>
    <row r="518" spans="9:21" ht="17.25" customHeight="1" x14ac:dyDescent="0.3">
      <c r="I518" s="45"/>
      <c r="J518" s="45"/>
      <c r="R518" s="45"/>
      <c r="S518" s="51"/>
      <c r="U518" s="52"/>
    </row>
    <row r="519" spans="9:21" ht="17.25" customHeight="1" x14ac:dyDescent="0.3">
      <c r="I519" s="45"/>
      <c r="J519" s="45"/>
      <c r="R519" s="45"/>
      <c r="S519" s="51"/>
      <c r="U519" s="52"/>
    </row>
    <row r="520" spans="9:21" ht="17.25" customHeight="1" x14ac:dyDescent="0.3">
      <c r="I520" s="45"/>
      <c r="J520" s="45"/>
      <c r="R520" s="45"/>
      <c r="S520" s="51"/>
      <c r="U520" s="52"/>
    </row>
    <row r="521" spans="9:21" ht="17.25" customHeight="1" x14ac:dyDescent="0.3">
      <c r="I521" s="45"/>
      <c r="J521" s="45"/>
      <c r="R521" s="45"/>
      <c r="S521" s="51"/>
      <c r="U521" s="52"/>
    </row>
    <row r="522" spans="9:21" ht="17.25" customHeight="1" x14ac:dyDescent="0.3">
      <c r="I522" s="45"/>
      <c r="J522" s="45"/>
      <c r="R522" s="45"/>
      <c r="S522" s="51"/>
      <c r="U522" s="52"/>
    </row>
    <row r="523" spans="9:21" ht="17.25" customHeight="1" x14ac:dyDescent="0.3">
      <c r="I523" s="45"/>
      <c r="J523" s="45"/>
      <c r="R523" s="45"/>
      <c r="S523" s="51"/>
      <c r="U523" s="52"/>
    </row>
    <row r="524" spans="9:21" ht="17.25" customHeight="1" x14ac:dyDescent="0.3">
      <c r="I524" s="45"/>
      <c r="J524" s="45"/>
      <c r="R524" s="45"/>
      <c r="S524" s="51"/>
      <c r="U524" s="52"/>
    </row>
    <row r="525" spans="9:21" ht="17.25" customHeight="1" x14ac:dyDescent="0.3">
      <c r="I525" s="45"/>
      <c r="J525" s="45"/>
      <c r="R525" s="45"/>
      <c r="S525" s="51"/>
      <c r="U525" s="52"/>
    </row>
    <row r="526" spans="9:21" ht="17.25" customHeight="1" x14ac:dyDescent="0.3">
      <c r="I526" s="45"/>
      <c r="J526" s="45"/>
      <c r="R526" s="45"/>
      <c r="S526" s="51"/>
      <c r="U526" s="52"/>
    </row>
    <row r="527" spans="9:21" ht="17.25" customHeight="1" x14ac:dyDescent="0.3">
      <c r="I527" s="45"/>
      <c r="J527" s="45"/>
      <c r="R527" s="45"/>
      <c r="S527" s="51"/>
      <c r="U527" s="52"/>
    </row>
    <row r="528" spans="9:21" ht="17.25" customHeight="1" x14ac:dyDescent="0.3">
      <c r="I528" s="45"/>
      <c r="J528" s="45"/>
      <c r="R528" s="45"/>
      <c r="S528" s="51"/>
      <c r="U528" s="52"/>
    </row>
    <row r="529" spans="9:21" ht="17.25" customHeight="1" x14ac:dyDescent="0.3">
      <c r="I529" s="45"/>
      <c r="J529" s="45"/>
      <c r="R529" s="45"/>
      <c r="S529" s="51"/>
      <c r="U529" s="52"/>
    </row>
    <row r="530" spans="9:21" ht="17.25" customHeight="1" x14ac:dyDescent="0.3">
      <c r="I530" s="45"/>
      <c r="J530" s="45"/>
      <c r="R530" s="45"/>
      <c r="S530" s="51"/>
      <c r="U530" s="52"/>
    </row>
    <row r="531" spans="9:21" ht="17.25" customHeight="1" x14ac:dyDescent="0.3">
      <c r="I531" s="45"/>
      <c r="J531" s="45"/>
      <c r="R531" s="45"/>
      <c r="S531" s="51"/>
      <c r="U531" s="52"/>
    </row>
    <row r="532" spans="9:21" ht="17.25" customHeight="1" x14ac:dyDescent="0.3">
      <c r="I532" s="45"/>
      <c r="J532" s="45"/>
      <c r="R532" s="45"/>
      <c r="S532" s="51"/>
      <c r="U532" s="52"/>
    </row>
    <row r="533" spans="9:21" ht="17.25" customHeight="1" x14ac:dyDescent="0.3">
      <c r="I533" s="45"/>
      <c r="J533" s="45"/>
      <c r="R533" s="45"/>
      <c r="S533" s="51"/>
      <c r="U533" s="52"/>
    </row>
    <row r="534" spans="9:21" ht="17.25" customHeight="1" x14ac:dyDescent="0.3">
      <c r="I534" s="45"/>
      <c r="J534" s="45"/>
      <c r="R534" s="45"/>
      <c r="S534" s="51"/>
      <c r="U534" s="52"/>
    </row>
    <row r="535" spans="9:21" ht="17.25" customHeight="1" x14ac:dyDescent="0.3">
      <c r="I535" s="45"/>
      <c r="J535" s="45"/>
      <c r="R535" s="45"/>
      <c r="S535" s="51"/>
      <c r="U535" s="52"/>
    </row>
    <row r="536" spans="9:21" ht="17.25" customHeight="1" x14ac:dyDescent="0.3">
      <c r="I536" s="45"/>
      <c r="J536" s="45"/>
      <c r="R536" s="45"/>
      <c r="S536" s="51"/>
      <c r="U536" s="52"/>
    </row>
    <row r="537" spans="9:21" ht="17.25" customHeight="1" x14ac:dyDescent="0.3">
      <c r="I537" s="45"/>
      <c r="J537" s="45"/>
      <c r="R537" s="45"/>
      <c r="S537" s="51"/>
      <c r="U537" s="52"/>
    </row>
    <row r="538" spans="9:21" ht="17.25" customHeight="1" x14ac:dyDescent="0.3">
      <c r="I538" s="45"/>
      <c r="J538" s="45"/>
      <c r="R538" s="45"/>
      <c r="S538" s="51"/>
      <c r="U538" s="52"/>
    </row>
    <row r="539" spans="9:21" ht="17.25" customHeight="1" x14ac:dyDescent="0.3">
      <c r="I539" s="45"/>
      <c r="J539" s="45"/>
      <c r="R539" s="45"/>
      <c r="S539" s="51"/>
      <c r="U539" s="52"/>
    </row>
    <row r="540" spans="9:21" ht="17.25" customHeight="1" x14ac:dyDescent="0.3">
      <c r="I540" s="45"/>
      <c r="J540" s="45"/>
      <c r="R540" s="45"/>
      <c r="S540" s="51"/>
      <c r="U540" s="52"/>
    </row>
    <row r="541" spans="9:21" ht="17.25" customHeight="1" x14ac:dyDescent="0.3">
      <c r="I541" s="45"/>
      <c r="J541" s="45"/>
      <c r="R541" s="45"/>
      <c r="S541" s="51"/>
      <c r="U541" s="52"/>
    </row>
    <row r="542" spans="9:21" ht="17.25" customHeight="1" x14ac:dyDescent="0.3">
      <c r="I542" s="45"/>
      <c r="J542" s="45"/>
      <c r="R542" s="45"/>
      <c r="S542" s="51"/>
      <c r="U542" s="52"/>
    </row>
    <row r="543" spans="9:21" ht="17.25" customHeight="1" x14ac:dyDescent="0.3">
      <c r="I543" s="45"/>
      <c r="J543" s="45"/>
      <c r="R543" s="45"/>
      <c r="S543" s="51"/>
      <c r="U543" s="52"/>
    </row>
    <row r="544" spans="9:21" ht="17.25" customHeight="1" x14ac:dyDescent="0.3">
      <c r="I544" s="45"/>
      <c r="J544" s="45"/>
      <c r="R544" s="45"/>
      <c r="S544" s="51"/>
      <c r="U544" s="52"/>
    </row>
    <row r="545" spans="9:21" ht="17.25" customHeight="1" x14ac:dyDescent="0.3">
      <c r="I545" s="45"/>
      <c r="J545" s="45"/>
      <c r="R545" s="45"/>
      <c r="S545" s="51"/>
      <c r="U545" s="52"/>
    </row>
    <row r="546" spans="9:21" ht="17.25" customHeight="1" x14ac:dyDescent="0.3">
      <c r="I546" s="45"/>
      <c r="J546" s="45"/>
      <c r="R546" s="45"/>
      <c r="S546" s="51"/>
      <c r="U546" s="52"/>
    </row>
    <row r="547" spans="9:21" ht="17.25" customHeight="1" x14ac:dyDescent="0.3">
      <c r="I547" s="45"/>
      <c r="J547" s="45"/>
      <c r="R547" s="45"/>
      <c r="S547" s="51"/>
      <c r="U547" s="52"/>
    </row>
    <row r="548" spans="9:21" ht="17.25" customHeight="1" x14ac:dyDescent="0.3">
      <c r="I548" s="45"/>
      <c r="J548" s="45"/>
      <c r="R548" s="45"/>
      <c r="S548" s="51"/>
      <c r="U548" s="52"/>
    </row>
    <row r="549" spans="9:21" ht="17.25" customHeight="1" x14ac:dyDescent="0.3">
      <c r="I549" s="45"/>
      <c r="J549" s="45"/>
      <c r="R549" s="45"/>
      <c r="S549" s="51"/>
      <c r="U549" s="52"/>
    </row>
    <row r="550" spans="9:21" ht="17.25" customHeight="1" x14ac:dyDescent="0.3">
      <c r="I550" s="45"/>
      <c r="J550" s="45"/>
      <c r="R550" s="45"/>
      <c r="S550" s="51"/>
      <c r="U550" s="52"/>
    </row>
    <row r="551" spans="9:21" ht="17.25" customHeight="1" x14ac:dyDescent="0.3">
      <c r="I551" s="45"/>
      <c r="J551" s="45"/>
      <c r="R551" s="45"/>
      <c r="S551" s="51"/>
      <c r="U551" s="52"/>
    </row>
    <row r="552" spans="9:21" ht="17.25" customHeight="1" x14ac:dyDescent="0.3">
      <c r="I552" s="45"/>
      <c r="J552" s="45"/>
      <c r="R552" s="45"/>
      <c r="S552" s="51"/>
      <c r="U552" s="52"/>
    </row>
    <row r="553" spans="9:21" ht="17.25" customHeight="1" x14ac:dyDescent="0.3">
      <c r="I553" s="45"/>
      <c r="J553" s="45"/>
      <c r="R553" s="45"/>
      <c r="S553" s="51"/>
      <c r="U553" s="52"/>
    </row>
    <row r="554" spans="9:21" ht="17.25" customHeight="1" x14ac:dyDescent="0.3">
      <c r="I554" s="45"/>
      <c r="J554" s="45"/>
      <c r="R554" s="45"/>
      <c r="S554" s="51"/>
      <c r="U554" s="52"/>
    </row>
    <row r="555" spans="9:21" ht="17.25" customHeight="1" x14ac:dyDescent="0.3">
      <c r="I555" s="45"/>
      <c r="J555" s="45"/>
      <c r="R555" s="45"/>
      <c r="S555" s="51"/>
      <c r="U555" s="52"/>
    </row>
    <row r="556" spans="9:21" ht="17.25" customHeight="1" x14ac:dyDescent="0.3">
      <c r="I556" s="45"/>
      <c r="J556" s="45"/>
      <c r="R556" s="45"/>
      <c r="S556" s="51"/>
      <c r="U556" s="52"/>
    </row>
    <row r="557" spans="9:21" ht="17.25" customHeight="1" x14ac:dyDescent="0.3">
      <c r="I557" s="45"/>
      <c r="J557" s="45"/>
      <c r="R557" s="45"/>
      <c r="S557" s="51"/>
      <c r="U557" s="52"/>
    </row>
    <row r="558" spans="9:21" ht="17.25" customHeight="1" x14ac:dyDescent="0.3">
      <c r="I558" s="45"/>
      <c r="J558" s="45"/>
      <c r="R558" s="45"/>
      <c r="S558" s="51"/>
      <c r="U558" s="52"/>
    </row>
    <row r="559" spans="9:21" ht="17.25" customHeight="1" x14ac:dyDescent="0.3">
      <c r="I559" s="45"/>
      <c r="J559" s="45"/>
      <c r="R559" s="45"/>
      <c r="S559" s="51"/>
      <c r="U559" s="52"/>
    </row>
    <row r="560" spans="9:21" ht="17.25" customHeight="1" x14ac:dyDescent="0.3">
      <c r="I560" s="45"/>
      <c r="J560" s="45"/>
      <c r="R560" s="45"/>
      <c r="S560" s="51"/>
      <c r="U560" s="52"/>
    </row>
    <row r="561" spans="9:21" ht="17.25" customHeight="1" x14ac:dyDescent="0.3">
      <c r="I561" s="45"/>
      <c r="J561" s="45"/>
      <c r="R561" s="45"/>
      <c r="S561" s="51"/>
      <c r="U561" s="52"/>
    </row>
    <row r="562" spans="9:21" ht="17.25" customHeight="1" x14ac:dyDescent="0.3">
      <c r="I562" s="45"/>
      <c r="J562" s="45"/>
      <c r="R562" s="45"/>
      <c r="S562" s="51"/>
      <c r="U562" s="52"/>
    </row>
    <row r="563" spans="9:21" ht="17.25" customHeight="1" x14ac:dyDescent="0.3">
      <c r="I563" s="45"/>
      <c r="J563" s="45"/>
      <c r="R563" s="45"/>
      <c r="S563" s="51"/>
      <c r="U563" s="52"/>
    </row>
    <row r="564" spans="9:21" ht="17.25" customHeight="1" x14ac:dyDescent="0.3">
      <c r="I564" s="45"/>
      <c r="J564" s="45"/>
      <c r="R564" s="45"/>
      <c r="S564" s="51"/>
      <c r="U564" s="52"/>
    </row>
    <row r="565" spans="9:21" ht="17.25" customHeight="1" x14ac:dyDescent="0.3">
      <c r="I565" s="45"/>
      <c r="J565" s="45"/>
      <c r="R565" s="45"/>
      <c r="S565" s="51"/>
      <c r="U565" s="52"/>
    </row>
    <row r="566" spans="9:21" ht="17.25" customHeight="1" x14ac:dyDescent="0.3">
      <c r="I566" s="45"/>
      <c r="J566" s="45"/>
      <c r="R566" s="45"/>
      <c r="S566" s="51"/>
      <c r="U566" s="52"/>
    </row>
    <row r="567" spans="9:21" ht="17.25" customHeight="1" x14ac:dyDescent="0.3">
      <c r="I567" s="45"/>
      <c r="J567" s="45"/>
      <c r="R567" s="45"/>
      <c r="S567" s="51"/>
      <c r="U567" s="52"/>
    </row>
    <row r="568" spans="9:21" ht="17.25" customHeight="1" x14ac:dyDescent="0.3">
      <c r="I568" s="45"/>
      <c r="J568" s="45"/>
      <c r="R568" s="45"/>
      <c r="S568" s="51"/>
      <c r="U568" s="52"/>
    </row>
    <row r="569" spans="9:21" ht="17.25" customHeight="1" x14ac:dyDescent="0.3">
      <c r="I569" s="45"/>
      <c r="J569" s="45"/>
      <c r="R569" s="45"/>
      <c r="S569" s="51"/>
      <c r="U569" s="52"/>
    </row>
    <row r="570" spans="9:21" ht="17.25" customHeight="1" x14ac:dyDescent="0.3">
      <c r="I570" s="45"/>
      <c r="J570" s="45"/>
      <c r="R570" s="45"/>
      <c r="S570" s="51"/>
      <c r="U570" s="52"/>
    </row>
    <row r="571" spans="9:21" ht="17.25" customHeight="1" x14ac:dyDescent="0.3">
      <c r="I571" s="45"/>
      <c r="J571" s="45"/>
      <c r="R571" s="45"/>
      <c r="S571" s="51"/>
      <c r="U571" s="52"/>
    </row>
    <row r="572" spans="9:21" ht="17.25" customHeight="1" x14ac:dyDescent="0.3">
      <c r="I572" s="45"/>
      <c r="J572" s="45"/>
      <c r="R572" s="45"/>
      <c r="S572" s="51"/>
      <c r="U572" s="52"/>
    </row>
    <row r="573" spans="9:21" ht="17.25" customHeight="1" x14ac:dyDescent="0.3">
      <c r="I573" s="45"/>
      <c r="J573" s="45"/>
      <c r="R573" s="45"/>
      <c r="S573" s="51"/>
      <c r="U573" s="52"/>
    </row>
    <row r="574" spans="9:21" ht="17.25" customHeight="1" x14ac:dyDescent="0.3">
      <c r="I574" s="45"/>
      <c r="J574" s="45"/>
      <c r="R574" s="45"/>
      <c r="S574" s="51"/>
      <c r="U574" s="52"/>
    </row>
    <row r="575" spans="9:21" ht="17.25" customHeight="1" x14ac:dyDescent="0.3">
      <c r="I575" s="45"/>
      <c r="J575" s="45"/>
      <c r="R575" s="45"/>
      <c r="S575" s="51"/>
      <c r="U575" s="52"/>
    </row>
    <row r="576" spans="9:21" ht="17.25" customHeight="1" x14ac:dyDescent="0.3">
      <c r="I576" s="45"/>
      <c r="J576" s="45"/>
      <c r="R576" s="45"/>
      <c r="S576" s="51"/>
      <c r="U576" s="52"/>
    </row>
    <row r="577" spans="9:21" ht="17.25" customHeight="1" x14ac:dyDescent="0.3">
      <c r="I577" s="45"/>
      <c r="J577" s="45"/>
      <c r="R577" s="45"/>
      <c r="S577" s="51"/>
      <c r="U577" s="52"/>
    </row>
    <row r="578" spans="9:21" ht="17.25" customHeight="1" x14ac:dyDescent="0.3">
      <c r="I578" s="45"/>
      <c r="J578" s="45"/>
      <c r="R578" s="45"/>
      <c r="S578" s="51"/>
      <c r="U578" s="52"/>
    </row>
    <row r="579" spans="9:21" ht="17.25" customHeight="1" x14ac:dyDescent="0.3">
      <c r="I579" s="45"/>
      <c r="J579" s="45"/>
      <c r="R579" s="45"/>
      <c r="S579" s="51"/>
      <c r="U579" s="52"/>
    </row>
    <row r="580" spans="9:21" ht="17.25" customHeight="1" x14ac:dyDescent="0.3">
      <c r="I580" s="45"/>
      <c r="J580" s="45"/>
      <c r="R580" s="45"/>
      <c r="S580" s="51"/>
      <c r="U580" s="52"/>
    </row>
    <row r="581" spans="9:21" ht="17.25" customHeight="1" x14ac:dyDescent="0.3">
      <c r="I581" s="45"/>
      <c r="J581" s="45"/>
      <c r="R581" s="45"/>
      <c r="S581" s="51"/>
      <c r="U581" s="52"/>
    </row>
    <row r="582" spans="9:21" ht="17.25" customHeight="1" x14ac:dyDescent="0.3">
      <c r="I582" s="45"/>
      <c r="J582" s="45"/>
      <c r="R582" s="45"/>
      <c r="S582" s="51"/>
      <c r="U582" s="52"/>
    </row>
    <row r="583" spans="9:21" ht="17.25" customHeight="1" x14ac:dyDescent="0.3">
      <c r="I583" s="45"/>
      <c r="J583" s="45"/>
      <c r="R583" s="45"/>
      <c r="S583" s="51"/>
      <c r="U583" s="52"/>
    </row>
    <row r="584" spans="9:21" ht="17.25" customHeight="1" x14ac:dyDescent="0.3">
      <c r="I584" s="45"/>
      <c r="J584" s="45"/>
      <c r="R584" s="45"/>
      <c r="S584" s="51"/>
      <c r="U584" s="52"/>
    </row>
    <row r="585" spans="9:21" ht="17.25" customHeight="1" x14ac:dyDescent="0.3">
      <c r="I585" s="45"/>
      <c r="J585" s="45"/>
      <c r="R585" s="45"/>
      <c r="S585" s="51"/>
      <c r="U585" s="52"/>
    </row>
    <row r="586" spans="9:21" ht="17.25" customHeight="1" x14ac:dyDescent="0.3">
      <c r="I586" s="45"/>
      <c r="J586" s="45"/>
      <c r="R586" s="45"/>
      <c r="S586" s="51"/>
      <c r="U586" s="52"/>
    </row>
    <row r="587" spans="9:21" ht="17.25" customHeight="1" x14ac:dyDescent="0.3">
      <c r="I587" s="45"/>
      <c r="J587" s="45"/>
      <c r="R587" s="45"/>
      <c r="S587" s="51"/>
      <c r="U587" s="52"/>
    </row>
    <row r="588" spans="9:21" ht="17.25" customHeight="1" x14ac:dyDescent="0.3">
      <c r="I588" s="45"/>
      <c r="J588" s="45"/>
      <c r="R588" s="45"/>
      <c r="S588" s="51"/>
      <c r="U588" s="52"/>
    </row>
    <row r="589" spans="9:21" ht="17.25" customHeight="1" x14ac:dyDescent="0.3">
      <c r="I589" s="45"/>
      <c r="J589" s="45"/>
      <c r="R589" s="45"/>
      <c r="S589" s="51"/>
      <c r="U589" s="52"/>
    </row>
    <row r="590" spans="9:21" ht="17.25" customHeight="1" x14ac:dyDescent="0.3">
      <c r="I590" s="45"/>
      <c r="J590" s="45"/>
      <c r="R590" s="45"/>
      <c r="S590" s="51"/>
      <c r="U590" s="52"/>
    </row>
    <row r="591" spans="9:21" ht="17.25" customHeight="1" x14ac:dyDescent="0.3">
      <c r="I591" s="45"/>
      <c r="J591" s="45"/>
      <c r="R591" s="45"/>
      <c r="S591" s="51"/>
      <c r="U591" s="52"/>
    </row>
    <row r="592" spans="9:21" ht="17.25" customHeight="1" x14ac:dyDescent="0.3">
      <c r="I592" s="45"/>
      <c r="J592" s="45"/>
      <c r="R592" s="45"/>
      <c r="S592" s="51"/>
      <c r="U592" s="52"/>
    </row>
    <row r="593" spans="9:21" ht="17.25" customHeight="1" x14ac:dyDescent="0.3">
      <c r="I593" s="45"/>
      <c r="J593" s="45"/>
      <c r="R593" s="45"/>
      <c r="S593" s="51"/>
      <c r="U593" s="52"/>
    </row>
    <row r="594" spans="9:21" ht="17.25" customHeight="1" x14ac:dyDescent="0.3">
      <c r="I594" s="45"/>
      <c r="J594" s="45"/>
      <c r="R594" s="45"/>
      <c r="S594" s="51"/>
      <c r="U594" s="52"/>
    </row>
    <row r="595" spans="9:21" ht="17.25" customHeight="1" x14ac:dyDescent="0.3">
      <c r="I595" s="45"/>
      <c r="J595" s="45"/>
      <c r="R595" s="45"/>
      <c r="S595" s="51"/>
      <c r="U595" s="52"/>
    </row>
    <row r="596" spans="9:21" ht="17.25" customHeight="1" x14ac:dyDescent="0.3">
      <c r="I596" s="45"/>
      <c r="J596" s="45"/>
      <c r="R596" s="45"/>
      <c r="S596" s="51"/>
      <c r="U596" s="52"/>
    </row>
    <row r="597" spans="9:21" ht="17.25" customHeight="1" x14ac:dyDescent="0.3">
      <c r="I597" s="45"/>
      <c r="J597" s="45"/>
      <c r="R597" s="45"/>
      <c r="S597" s="51"/>
      <c r="U597" s="52"/>
    </row>
    <row r="598" spans="9:21" ht="17.25" customHeight="1" x14ac:dyDescent="0.3">
      <c r="I598" s="45"/>
      <c r="J598" s="45"/>
      <c r="R598" s="45"/>
      <c r="S598" s="51"/>
      <c r="U598" s="52"/>
    </row>
    <row r="599" spans="9:21" ht="17.25" customHeight="1" x14ac:dyDescent="0.3">
      <c r="I599" s="45"/>
      <c r="J599" s="45"/>
      <c r="R599" s="45"/>
      <c r="S599" s="51"/>
      <c r="U599" s="52"/>
    </row>
    <row r="600" spans="9:21" ht="17.25" customHeight="1" x14ac:dyDescent="0.3">
      <c r="I600" s="45"/>
      <c r="J600" s="45"/>
      <c r="R600" s="45"/>
      <c r="S600" s="51"/>
      <c r="U600" s="52"/>
    </row>
    <row r="601" spans="9:21" ht="17.25" customHeight="1" x14ac:dyDescent="0.3">
      <c r="I601" s="45"/>
      <c r="J601" s="45"/>
      <c r="R601" s="45"/>
      <c r="S601" s="51"/>
      <c r="U601" s="52"/>
    </row>
    <row r="602" spans="9:21" ht="17.25" customHeight="1" x14ac:dyDescent="0.3">
      <c r="I602" s="45"/>
      <c r="J602" s="45"/>
      <c r="R602" s="45"/>
      <c r="S602" s="51"/>
      <c r="U602" s="52"/>
    </row>
    <row r="603" spans="9:21" ht="17.25" customHeight="1" x14ac:dyDescent="0.3">
      <c r="I603" s="45"/>
      <c r="J603" s="45"/>
      <c r="R603" s="45"/>
      <c r="S603" s="51"/>
      <c r="U603" s="52"/>
    </row>
    <row r="604" spans="9:21" ht="17.25" customHeight="1" x14ac:dyDescent="0.3">
      <c r="I604" s="45"/>
      <c r="J604" s="45"/>
      <c r="R604" s="45"/>
      <c r="S604" s="51"/>
      <c r="U604" s="52"/>
    </row>
    <row r="605" spans="9:21" ht="17.25" customHeight="1" x14ac:dyDescent="0.3">
      <c r="I605" s="45"/>
      <c r="J605" s="45"/>
      <c r="R605" s="45"/>
      <c r="S605" s="51"/>
      <c r="U605" s="52"/>
    </row>
    <row r="606" spans="9:21" ht="17.25" customHeight="1" x14ac:dyDescent="0.3">
      <c r="I606" s="45"/>
      <c r="J606" s="45"/>
      <c r="R606" s="45"/>
      <c r="S606" s="51"/>
      <c r="U606" s="52"/>
    </row>
    <row r="607" spans="9:21" ht="17.25" customHeight="1" x14ac:dyDescent="0.3">
      <c r="I607" s="45"/>
      <c r="J607" s="45"/>
      <c r="R607" s="45"/>
      <c r="S607" s="51"/>
      <c r="U607" s="52"/>
    </row>
    <row r="608" spans="9:21" ht="17.25" customHeight="1" x14ac:dyDescent="0.3">
      <c r="I608" s="45"/>
      <c r="J608" s="45"/>
      <c r="R608" s="45"/>
      <c r="S608" s="51"/>
      <c r="U608" s="52"/>
    </row>
    <row r="609" spans="9:21" ht="17.25" customHeight="1" x14ac:dyDescent="0.3">
      <c r="I609" s="45"/>
      <c r="J609" s="45"/>
      <c r="R609" s="45"/>
      <c r="S609" s="51"/>
      <c r="U609" s="52"/>
    </row>
    <row r="610" spans="9:21" ht="17.25" customHeight="1" x14ac:dyDescent="0.3">
      <c r="I610" s="45"/>
      <c r="J610" s="45"/>
      <c r="R610" s="45"/>
      <c r="S610" s="51"/>
      <c r="U610" s="52"/>
    </row>
    <row r="611" spans="9:21" ht="17.25" customHeight="1" x14ac:dyDescent="0.3">
      <c r="I611" s="45"/>
      <c r="J611" s="45"/>
      <c r="R611" s="45"/>
      <c r="S611" s="51"/>
      <c r="U611" s="52"/>
    </row>
    <row r="612" spans="9:21" ht="17.25" customHeight="1" x14ac:dyDescent="0.3">
      <c r="I612" s="45"/>
      <c r="J612" s="45"/>
      <c r="R612" s="45"/>
      <c r="S612" s="51"/>
      <c r="U612" s="52"/>
    </row>
    <row r="613" spans="9:21" ht="17.25" customHeight="1" x14ac:dyDescent="0.3">
      <c r="I613" s="45"/>
      <c r="J613" s="45"/>
      <c r="R613" s="45"/>
      <c r="S613" s="51"/>
      <c r="U613" s="52"/>
    </row>
    <row r="614" spans="9:21" ht="17.25" customHeight="1" x14ac:dyDescent="0.3">
      <c r="I614" s="45"/>
      <c r="J614" s="45"/>
      <c r="R614" s="45"/>
      <c r="S614" s="51"/>
      <c r="U614" s="52"/>
    </row>
    <row r="615" spans="9:21" ht="17.25" customHeight="1" x14ac:dyDescent="0.3">
      <c r="I615" s="45"/>
      <c r="J615" s="45"/>
      <c r="R615" s="45"/>
      <c r="S615" s="51"/>
      <c r="U615" s="52"/>
    </row>
    <row r="616" spans="9:21" ht="17.25" customHeight="1" x14ac:dyDescent="0.3">
      <c r="I616" s="45"/>
      <c r="J616" s="45"/>
      <c r="R616" s="45"/>
      <c r="S616" s="51"/>
      <c r="U616" s="52"/>
    </row>
    <row r="617" spans="9:21" ht="17.25" customHeight="1" x14ac:dyDescent="0.3">
      <c r="I617" s="45"/>
      <c r="J617" s="45"/>
      <c r="R617" s="45"/>
      <c r="S617" s="51"/>
      <c r="U617" s="52"/>
    </row>
    <row r="618" spans="9:21" ht="17.25" customHeight="1" x14ac:dyDescent="0.3">
      <c r="I618" s="45"/>
      <c r="J618" s="45"/>
      <c r="R618" s="45"/>
      <c r="S618" s="51"/>
      <c r="U618" s="52"/>
    </row>
    <row r="619" spans="9:21" ht="17.25" customHeight="1" x14ac:dyDescent="0.3">
      <c r="I619" s="45"/>
      <c r="J619" s="45"/>
      <c r="R619" s="45"/>
      <c r="S619" s="51"/>
      <c r="U619" s="52"/>
    </row>
    <row r="620" spans="9:21" ht="17.25" customHeight="1" x14ac:dyDescent="0.3">
      <c r="I620" s="45"/>
      <c r="J620" s="45"/>
      <c r="R620" s="45"/>
      <c r="S620" s="51"/>
      <c r="U620" s="52"/>
    </row>
    <row r="621" spans="9:21" ht="17.25" customHeight="1" x14ac:dyDescent="0.3">
      <c r="I621" s="45"/>
      <c r="J621" s="45"/>
      <c r="R621" s="45"/>
      <c r="S621" s="51"/>
      <c r="U621" s="52"/>
    </row>
    <row r="622" spans="9:21" ht="17.25" customHeight="1" x14ac:dyDescent="0.3">
      <c r="I622" s="45"/>
      <c r="J622" s="45"/>
      <c r="R622" s="45"/>
      <c r="S622" s="51"/>
      <c r="U622" s="52"/>
    </row>
    <row r="623" spans="9:21" ht="17.25" customHeight="1" x14ac:dyDescent="0.3">
      <c r="I623" s="45"/>
      <c r="J623" s="45"/>
      <c r="R623" s="45"/>
      <c r="S623" s="51"/>
      <c r="U623" s="52"/>
    </row>
    <row r="624" spans="9:21" ht="17.25" customHeight="1" x14ac:dyDescent="0.3">
      <c r="I624" s="45"/>
      <c r="J624" s="45"/>
      <c r="R624" s="45"/>
      <c r="S624" s="51"/>
      <c r="U624" s="52"/>
    </row>
    <row r="625" spans="9:21" ht="17.25" customHeight="1" x14ac:dyDescent="0.3">
      <c r="I625" s="45"/>
      <c r="J625" s="45"/>
      <c r="R625" s="45"/>
      <c r="S625" s="51"/>
      <c r="U625" s="52"/>
    </row>
    <row r="626" spans="9:21" ht="17.25" customHeight="1" x14ac:dyDescent="0.3">
      <c r="I626" s="45"/>
      <c r="J626" s="45"/>
      <c r="R626" s="45"/>
      <c r="S626" s="51"/>
      <c r="U626" s="52"/>
    </row>
    <row r="627" spans="9:21" ht="17.25" customHeight="1" x14ac:dyDescent="0.3">
      <c r="I627" s="45"/>
      <c r="J627" s="45"/>
      <c r="R627" s="45"/>
      <c r="S627" s="51"/>
      <c r="U627" s="52"/>
    </row>
    <row r="628" spans="9:21" ht="17.25" customHeight="1" x14ac:dyDescent="0.3">
      <c r="I628" s="45"/>
      <c r="J628" s="45"/>
      <c r="R628" s="45"/>
      <c r="S628" s="51"/>
      <c r="U628" s="52"/>
    </row>
    <row r="629" spans="9:21" ht="17.25" customHeight="1" x14ac:dyDescent="0.3">
      <c r="I629" s="45"/>
      <c r="J629" s="45"/>
      <c r="R629" s="45"/>
      <c r="S629" s="51"/>
      <c r="U629" s="52"/>
    </row>
    <row r="630" spans="9:21" ht="17.25" customHeight="1" x14ac:dyDescent="0.3">
      <c r="I630" s="45"/>
      <c r="J630" s="45"/>
      <c r="R630" s="45"/>
      <c r="S630" s="51"/>
      <c r="U630" s="52"/>
    </row>
    <row r="631" spans="9:21" ht="17.25" customHeight="1" x14ac:dyDescent="0.3">
      <c r="I631" s="45"/>
      <c r="J631" s="45"/>
      <c r="R631" s="45"/>
      <c r="S631" s="51"/>
      <c r="U631" s="52"/>
    </row>
    <row r="632" spans="9:21" ht="17.25" customHeight="1" x14ac:dyDescent="0.3">
      <c r="I632" s="45"/>
      <c r="J632" s="45"/>
      <c r="R632" s="45"/>
      <c r="S632" s="51"/>
      <c r="U632" s="52"/>
    </row>
    <row r="633" spans="9:21" ht="17.25" customHeight="1" x14ac:dyDescent="0.3">
      <c r="I633" s="45"/>
      <c r="J633" s="45"/>
      <c r="R633" s="45"/>
      <c r="S633" s="51"/>
      <c r="U633" s="52"/>
    </row>
    <row r="634" spans="9:21" ht="17.25" customHeight="1" x14ac:dyDescent="0.3">
      <c r="I634" s="45"/>
      <c r="J634" s="45"/>
      <c r="R634" s="45"/>
      <c r="S634" s="51"/>
      <c r="U634" s="52"/>
    </row>
    <row r="635" spans="9:21" ht="17.25" customHeight="1" x14ac:dyDescent="0.3">
      <c r="I635" s="45"/>
      <c r="J635" s="45"/>
      <c r="R635" s="45"/>
      <c r="S635" s="51"/>
      <c r="U635" s="52"/>
    </row>
    <row r="636" spans="9:21" ht="17.25" customHeight="1" x14ac:dyDescent="0.3">
      <c r="I636" s="45"/>
      <c r="J636" s="45"/>
      <c r="R636" s="45"/>
      <c r="S636" s="51"/>
      <c r="U636" s="52"/>
    </row>
    <row r="637" spans="9:21" ht="17.25" customHeight="1" x14ac:dyDescent="0.3">
      <c r="I637" s="45"/>
      <c r="J637" s="45"/>
      <c r="R637" s="45"/>
      <c r="S637" s="51"/>
      <c r="U637" s="52"/>
    </row>
    <row r="638" spans="9:21" ht="17.25" customHeight="1" x14ac:dyDescent="0.3">
      <c r="I638" s="45"/>
      <c r="J638" s="45"/>
      <c r="R638" s="45"/>
      <c r="S638" s="51"/>
      <c r="U638" s="52"/>
    </row>
    <row r="639" spans="9:21" ht="17.25" customHeight="1" x14ac:dyDescent="0.3">
      <c r="I639" s="45"/>
      <c r="J639" s="45"/>
      <c r="R639" s="45"/>
      <c r="S639" s="51"/>
      <c r="U639" s="52"/>
    </row>
    <row r="640" spans="9:21" ht="17.25" customHeight="1" x14ac:dyDescent="0.3">
      <c r="I640" s="45"/>
      <c r="J640" s="45"/>
      <c r="R640" s="45"/>
      <c r="S640" s="51"/>
      <c r="U640" s="52"/>
    </row>
    <row r="641" spans="9:21" ht="17.25" customHeight="1" x14ac:dyDescent="0.3">
      <c r="I641" s="45"/>
      <c r="J641" s="45"/>
      <c r="R641" s="45"/>
      <c r="S641" s="51"/>
      <c r="U641" s="52"/>
    </row>
    <row r="642" spans="9:21" ht="17.25" customHeight="1" x14ac:dyDescent="0.3">
      <c r="I642" s="45"/>
      <c r="J642" s="45"/>
      <c r="R642" s="45"/>
      <c r="S642" s="51"/>
      <c r="U642" s="52"/>
    </row>
    <row r="643" spans="9:21" ht="17.25" customHeight="1" x14ac:dyDescent="0.3">
      <c r="I643" s="45"/>
      <c r="J643" s="45"/>
      <c r="R643" s="45"/>
      <c r="S643" s="51"/>
      <c r="U643" s="52"/>
    </row>
    <row r="644" spans="9:21" ht="17.25" customHeight="1" x14ac:dyDescent="0.3">
      <c r="I644" s="45"/>
      <c r="J644" s="45"/>
      <c r="R644" s="45"/>
      <c r="S644" s="51"/>
      <c r="U644" s="52"/>
    </row>
    <row r="645" spans="9:21" ht="17.25" customHeight="1" x14ac:dyDescent="0.3">
      <c r="I645" s="45"/>
      <c r="J645" s="45"/>
      <c r="R645" s="45"/>
      <c r="S645" s="51"/>
      <c r="U645" s="52"/>
    </row>
    <row r="646" spans="9:21" ht="17.25" customHeight="1" x14ac:dyDescent="0.3">
      <c r="I646" s="45"/>
      <c r="J646" s="45"/>
      <c r="R646" s="45"/>
      <c r="S646" s="51"/>
      <c r="U646" s="52"/>
    </row>
    <row r="647" spans="9:21" ht="17.25" customHeight="1" x14ac:dyDescent="0.3">
      <c r="I647" s="45"/>
      <c r="J647" s="45"/>
      <c r="R647" s="45"/>
      <c r="S647" s="51"/>
      <c r="U647" s="52"/>
    </row>
    <row r="648" spans="9:21" ht="17.25" customHeight="1" x14ac:dyDescent="0.3">
      <c r="I648" s="45"/>
      <c r="J648" s="45"/>
      <c r="R648" s="45"/>
      <c r="S648" s="51"/>
      <c r="U648" s="52"/>
    </row>
    <row r="649" spans="9:21" ht="17.25" customHeight="1" x14ac:dyDescent="0.3">
      <c r="I649" s="45"/>
      <c r="J649" s="45"/>
      <c r="R649" s="45"/>
      <c r="S649" s="51"/>
      <c r="U649" s="52"/>
    </row>
    <row r="650" spans="9:21" ht="17.25" customHeight="1" x14ac:dyDescent="0.3">
      <c r="I650" s="45"/>
      <c r="J650" s="45"/>
      <c r="R650" s="45"/>
      <c r="S650" s="51"/>
      <c r="U650" s="52"/>
    </row>
    <row r="651" spans="9:21" ht="17.25" customHeight="1" x14ac:dyDescent="0.3">
      <c r="I651" s="45"/>
      <c r="J651" s="45"/>
      <c r="R651" s="45"/>
      <c r="S651" s="51"/>
      <c r="U651" s="52"/>
    </row>
    <row r="652" spans="9:21" ht="17.25" customHeight="1" x14ac:dyDescent="0.3">
      <c r="I652" s="45"/>
      <c r="J652" s="45"/>
      <c r="R652" s="45"/>
      <c r="S652" s="51"/>
      <c r="U652" s="52"/>
    </row>
    <row r="653" spans="9:21" ht="17.25" customHeight="1" x14ac:dyDescent="0.3">
      <c r="I653" s="45"/>
      <c r="J653" s="45"/>
      <c r="R653" s="45"/>
      <c r="S653" s="51"/>
      <c r="U653" s="52"/>
    </row>
    <row r="654" spans="9:21" ht="17.25" customHeight="1" x14ac:dyDescent="0.3">
      <c r="I654" s="45"/>
      <c r="J654" s="45"/>
      <c r="R654" s="45"/>
      <c r="S654" s="51"/>
      <c r="U654" s="52"/>
    </row>
    <row r="655" spans="9:21" ht="17.25" customHeight="1" x14ac:dyDescent="0.3">
      <c r="I655" s="45"/>
      <c r="J655" s="45"/>
      <c r="R655" s="45"/>
      <c r="S655" s="51"/>
      <c r="U655" s="52"/>
    </row>
    <row r="656" spans="9:21" ht="17.25" customHeight="1" x14ac:dyDescent="0.3">
      <c r="I656" s="45"/>
      <c r="J656" s="45"/>
      <c r="R656" s="45"/>
      <c r="S656" s="51"/>
      <c r="U656" s="52"/>
    </row>
    <row r="657" spans="9:21" ht="17.25" customHeight="1" x14ac:dyDescent="0.3">
      <c r="I657" s="45"/>
      <c r="J657" s="45"/>
      <c r="R657" s="45"/>
      <c r="S657" s="51"/>
      <c r="U657" s="52"/>
    </row>
    <row r="658" spans="9:21" ht="17.25" customHeight="1" x14ac:dyDescent="0.3">
      <c r="I658" s="45"/>
      <c r="J658" s="45"/>
      <c r="R658" s="45"/>
      <c r="S658" s="51"/>
      <c r="U658" s="52"/>
    </row>
    <row r="659" spans="9:21" ht="17.25" customHeight="1" x14ac:dyDescent="0.3">
      <c r="I659" s="45"/>
      <c r="J659" s="45"/>
      <c r="R659" s="45"/>
      <c r="S659" s="51"/>
      <c r="U659" s="52"/>
    </row>
    <row r="660" spans="9:21" ht="17.25" customHeight="1" x14ac:dyDescent="0.3">
      <c r="I660" s="45"/>
      <c r="J660" s="45"/>
      <c r="R660" s="45"/>
      <c r="S660" s="51"/>
      <c r="U660" s="52"/>
    </row>
    <row r="661" spans="9:21" ht="17.25" customHeight="1" x14ac:dyDescent="0.3">
      <c r="I661" s="45"/>
      <c r="J661" s="45"/>
      <c r="R661" s="45"/>
      <c r="S661" s="51"/>
      <c r="U661" s="52"/>
    </row>
    <row r="662" spans="9:21" ht="17.25" customHeight="1" x14ac:dyDescent="0.3">
      <c r="I662" s="45"/>
      <c r="J662" s="45"/>
      <c r="R662" s="45"/>
      <c r="S662" s="51"/>
      <c r="U662" s="52"/>
    </row>
    <row r="663" spans="9:21" ht="17.25" customHeight="1" x14ac:dyDescent="0.3">
      <c r="I663" s="45"/>
      <c r="J663" s="45"/>
      <c r="R663" s="45"/>
      <c r="S663" s="51"/>
      <c r="U663" s="52"/>
    </row>
    <row r="664" spans="9:21" ht="17.25" customHeight="1" x14ac:dyDescent="0.3">
      <c r="I664" s="45"/>
      <c r="J664" s="45"/>
      <c r="R664" s="45"/>
      <c r="S664" s="51"/>
      <c r="U664" s="52"/>
    </row>
    <row r="665" spans="9:21" ht="17.25" customHeight="1" x14ac:dyDescent="0.3">
      <c r="I665" s="45"/>
      <c r="J665" s="45"/>
      <c r="R665" s="45"/>
      <c r="S665" s="51"/>
      <c r="U665" s="52"/>
    </row>
    <row r="666" spans="9:21" ht="17.25" customHeight="1" x14ac:dyDescent="0.3">
      <c r="I666" s="45"/>
      <c r="J666" s="45"/>
      <c r="R666" s="45"/>
      <c r="S666" s="51"/>
      <c r="U666" s="52"/>
    </row>
    <row r="667" spans="9:21" ht="17.25" customHeight="1" x14ac:dyDescent="0.3">
      <c r="I667" s="45"/>
      <c r="J667" s="45"/>
      <c r="R667" s="45"/>
      <c r="S667" s="51"/>
      <c r="U667" s="52"/>
    </row>
    <row r="668" spans="9:21" ht="17.25" customHeight="1" x14ac:dyDescent="0.3">
      <c r="I668" s="45"/>
      <c r="J668" s="45"/>
      <c r="R668" s="45"/>
      <c r="S668" s="51"/>
      <c r="U668" s="52"/>
    </row>
    <row r="669" spans="9:21" ht="17.25" customHeight="1" x14ac:dyDescent="0.3">
      <c r="I669" s="45"/>
      <c r="J669" s="45"/>
      <c r="R669" s="45"/>
      <c r="S669" s="51"/>
      <c r="U669" s="52"/>
    </row>
    <row r="670" spans="9:21" ht="17.25" customHeight="1" x14ac:dyDescent="0.3">
      <c r="I670" s="45"/>
      <c r="J670" s="45"/>
      <c r="R670" s="45"/>
      <c r="S670" s="51"/>
      <c r="U670" s="52"/>
    </row>
    <row r="671" spans="9:21" ht="17.25" customHeight="1" x14ac:dyDescent="0.3">
      <c r="I671" s="45"/>
      <c r="J671" s="45"/>
      <c r="R671" s="45"/>
      <c r="S671" s="51"/>
      <c r="U671" s="52"/>
    </row>
    <row r="672" spans="9:21" ht="17.25" customHeight="1" x14ac:dyDescent="0.3">
      <c r="I672" s="45"/>
      <c r="J672" s="45"/>
      <c r="R672" s="45"/>
      <c r="S672" s="51"/>
      <c r="U672" s="52"/>
    </row>
    <row r="673" spans="9:21" ht="17.25" customHeight="1" x14ac:dyDescent="0.3">
      <c r="I673" s="45"/>
      <c r="J673" s="45"/>
      <c r="R673" s="45"/>
      <c r="S673" s="51"/>
      <c r="U673" s="52"/>
    </row>
    <row r="674" spans="9:21" ht="17.25" customHeight="1" x14ac:dyDescent="0.3">
      <c r="I674" s="45"/>
      <c r="J674" s="45"/>
      <c r="R674" s="45"/>
      <c r="S674" s="51"/>
      <c r="U674" s="52"/>
    </row>
    <row r="675" spans="9:21" ht="17.25" customHeight="1" x14ac:dyDescent="0.3">
      <c r="I675" s="45"/>
      <c r="J675" s="45"/>
      <c r="R675" s="45"/>
      <c r="S675" s="51"/>
      <c r="U675" s="52"/>
    </row>
    <row r="676" spans="9:21" ht="17.25" customHeight="1" x14ac:dyDescent="0.3">
      <c r="I676" s="45"/>
      <c r="J676" s="45"/>
      <c r="R676" s="45"/>
      <c r="S676" s="51"/>
      <c r="U676" s="52"/>
    </row>
    <row r="677" spans="9:21" ht="17.25" customHeight="1" x14ac:dyDescent="0.3">
      <c r="I677" s="45"/>
      <c r="J677" s="45"/>
      <c r="R677" s="45"/>
      <c r="S677" s="51"/>
      <c r="U677" s="52"/>
    </row>
    <row r="678" spans="9:21" ht="17.25" customHeight="1" x14ac:dyDescent="0.3">
      <c r="I678" s="45"/>
      <c r="J678" s="45"/>
      <c r="R678" s="45"/>
      <c r="S678" s="51"/>
      <c r="U678" s="52"/>
    </row>
    <row r="679" spans="9:21" ht="17.25" customHeight="1" x14ac:dyDescent="0.3">
      <c r="I679" s="45"/>
      <c r="J679" s="45"/>
      <c r="R679" s="45"/>
      <c r="S679" s="51"/>
      <c r="U679" s="52"/>
    </row>
    <row r="680" spans="9:21" ht="17.25" customHeight="1" x14ac:dyDescent="0.3">
      <c r="I680" s="45"/>
      <c r="J680" s="45"/>
      <c r="R680" s="45"/>
      <c r="S680" s="51"/>
      <c r="U680" s="52"/>
    </row>
    <row r="681" spans="9:21" ht="17.25" customHeight="1" x14ac:dyDescent="0.3">
      <c r="I681" s="45"/>
      <c r="J681" s="45"/>
      <c r="R681" s="45"/>
      <c r="S681" s="51"/>
      <c r="U681" s="52"/>
    </row>
    <row r="682" spans="9:21" ht="17.25" customHeight="1" x14ac:dyDescent="0.3">
      <c r="I682" s="45"/>
      <c r="J682" s="45"/>
      <c r="R682" s="45"/>
      <c r="S682" s="51"/>
      <c r="U682" s="52"/>
    </row>
    <row r="683" spans="9:21" ht="17.25" customHeight="1" x14ac:dyDescent="0.3">
      <c r="I683" s="45"/>
      <c r="J683" s="45"/>
      <c r="R683" s="45"/>
      <c r="S683" s="51"/>
      <c r="U683" s="52"/>
    </row>
    <row r="684" spans="9:21" ht="17.25" customHeight="1" x14ac:dyDescent="0.3">
      <c r="I684" s="45"/>
      <c r="J684" s="45"/>
      <c r="R684" s="45"/>
      <c r="S684" s="51"/>
      <c r="U684" s="52"/>
    </row>
    <row r="685" spans="9:21" ht="17.25" customHeight="1" x14ac:dyDescent="0.3">
      <c r="I685" s="45"/>
      <c r="J685" s="45"/>
      <c r="R685" s="45"/>
      <c r="S685" s="51"/>
      <c r="U685" s="52"/>
    </row>
    <row r="686" spans="9:21" ht="17.25" customHeight="1" x14ac:dyDescent="0.3">
      <c r="I686" s="45"/>
      <c r="J686" s="45"/>
      <c r="R686" s="45"/>
      <c r="S686" s="51"/>
      <c r="U686" s="52"/>
    </row>
    <row r="687" spans="9:21" ht="17.25" customHeight="1" x14ac:dyDescent="0.3">
      <c r="I687" s="45"/>
      <c r="J687" s="45"/>
      <c r="R687" s="45"/>
      <c r="S687" s="51"/>
      <c r="U687" s="52"/>
    </row>
    <row r="688" spans="9:21" ht="17.25" customHeight="1" x14ac:dyDescent="0.3">
      <c r="I688" s="45"/>
      <c r="J688" s="45"/>
      <c r="R688" s="45"/>
      <c r="S688" s="51"/>
      <c r="U688" s="52"/>
    </row>
    <row r="689" spans="9:21" ht="17.25" customHeight="1" x14ac:dyDescent="0.3">
      <c r="I689" s="45"/>
      <c r="J689" s="45"/>
      <c r="R689" s="45"/>
      <c r="S689" s="51"/>
      <c r="U689" s="52"/>
    </row>
    <row r="690" spans="9:21" ht="17.25" customHeight="1" x14ac:dyDescent="0.3">
      <c r="I690" s="45"/>
      <c r="J690" s="45"/>
      <c r="R690" s="45"/>
      <c r="S690" s="51"/>
      <c r="U690" s="52"/>
    </row>
    <row r="691" spans="9:21" ht="17.25" customHeight="1" x14ac:dyDescent="0.3">
      <c r="I691" s="45"/>
      <c r="J691" s="45"/>
      <c r="R691" s="45"/>
      <c r="S691" s="51"/>
      <c r="U691" s="52"/>
    </row>
    <row r="692" spans="9:21" ht="17.25" customHeight="1" x14ac:dyDescent="0.3">
      <c r="I692" s="45"/>
      <c r="J692" s="45"/>
      <c r="R692" s="45"/>
      <c r="S692" s="51"/>
      <c r="U692" s="52"/>
    </row>
    <row r="693" spans="9:21" ht="17.25" customHeight="1" x14ac:dyDescent="0.3">
      <c r="I693" s="45"/>
      <c r="J693" s="45"/>
      <c r="R693" s="45"/>
      <c r="S693" s="51"/>
      <c r="U693" s="52"/>
    </row>
    <row r="694" spans="9:21" ht="17.25" customHeight="1" x14ac:dyDescent="0.3">
      <c r="I694" s="45"/>
      <c r="J694" s="45"/>
      <c r="R694" s="45"/>
      <c r="S694" s="51"/>
      <c r="U694" s="52"/>
    </row>
    <row r="695" spans="9:21" ht="17.25" customHeight="1" x14ac:dyDescent="0.3">
      <c r="I695" s="45"/>
      <c r="J695" s="45"/>
      <c r="R695" s="45"/>
      <c r="S695" s="51"/>
      <c r="U695" s="52"/>
    </row>
    <row r="696" spans="9:21" ht="17.25" customHeight="1" x14ac:dyDescent="0.3">
      <c r="I696" s="45"/>
      <c r="J696" s="45"/>
      <c r="R696" s="45"/>
      <c r="S696" s="51"/>
      <c r="U696" s="52"/>
    </row>
    <row r="697" spans="9:21" ht="17.25" customHeight="1" x14ac:dyDescent="0.3">
      <c r="I697" s="45"/>
      <c r="J697" s="45"/>
      <c r="R697" s="45"/>
      <c r="S697" s="51"/>
      <c r="U697" s="52"/>
    </row>
    <row r="698" spans="9:21" ht="17.25" customHeight="1" x14ac:dyDescent="0.3">
      <c r="I698" s="45"/>
      <c r="J698" s="45"/>
      <c r="R698" s="45"/>
      <c r="S698" s="51"/>
      <c r="U698" s="52"/>
    </row>
    <row r="699" spans="9:21" ht="17.25" customHeight="1" x14ac:dyDescent="0.3">
      <c r="I699" s="45"/>
      <c r="J699" s="45"/>
      <c r="R699" s="45"/>
      <c r="S699" s="51"/>
      <c r="U699" s="52"/>
    </row>
    <row r="700" spans="9:21" ht="17.25" customHeight="1" x14ac:dyDescent="0.3">
      <c r="I700" s="45"/>
      <c r="J700" s="45"/>
      <c r="R700" s="45"/>
      <c r="S700" s="51"/>
      <c r="U700" s="52"/>
    </row>
    <row r="701" spans="9:21" ht="17.25" customHeight="1" x14ac:dyDescent="0.3">
      <c r="I701" s="45"/>
      <c r="J701" s="45"/>
      <c r="R701" s="45"/>
      <c r="S701" s="51"/>
      <c r="U701" s="52"/>
    </row>
    <row r="702" spans="9:21" ht="17.25" customHeight="1" x14ac:dyDescent="0.3">
      <c r="I702" s="45"/>
      <c r="J702" s="45"/>
      <c r="R702" s="45"/>
      <c r="S702" s="51"/>
      <c r="U702" s="52"/>
    </row>
    <row r="703" spans="9:21" ht="17.25" customHeight="1" x14ac:dyDescent="0.3">
      <c r="I703" s="45"/>
      <c r="J703" s="45"/>
      <c r="R703" s="45"/>
      <c r="S703" s="51"/>
      <c r="U703" s="52"/>
    </row>
    <row r="704" spans="9:21" ht="17.25" customHeight="1" x14ac:dyDescent="0.3">
      <c r="I704" s="45"/>
      <c r="J704" s="45"/>
      <c r="R704" s="45"/>
      <c r="S704" s="51"/>
      <c r="U704" s="52"/>
    </row>
    <row r="705" spans="9:21" ht="17.25" customHeight="1" x14ac:dyDescent="0.3">
      <c r="I705" s="45"/>
      <c r="J705" s="45"/>
      <c r="R705" s="45"/>
      <c r="S705" s="51"/>
      <c r="U705" s="52"/>
    </row>
    <row r="706" spans="9:21" ht="17.25" customHeight="1" x14ac:dyDescent="0.3">
      <c r="I706" s="45"/>
      <c r="J706" s="45"/>
      <c r="R706" s="45"/>
      <c r="S706" s="51"/>
      <c r="U706" s="52"/>
    </row>
    <row r="707" spans="9:21" ht="17.25" customHeight="1" x14ac:dyDescent="0.3">
      <c r="I707" s="45"/>
      <c r="J707" s="45"/>
      <c r="R707" s="45"/>
      <c r="S707" s="51"/>
      <c r="U707" s="52"/>
    </row>
    <row r="708" spans="9:21" ht="17.25" customHeight="1" x14ac:dyDescent="0.3">
      <c r="I708" s="45"/>
      <c r="J708" s="45"/>
      <c r="R708" s="45"/>
      <c r="S708" s="51"/>
      <c r="U708" s="52"/>
    </row>
    <row r="709" spans="9:21" ht="17.25" customHeight="1" x14ac:dyDescent="0.3">
      <c r="I709" s="45"/>
      <c r="J709" s="45"/>
      <c r="R709" s="45"/>
      <c r="S709" s="51"/>
      <c r="U709" s="52"/>
    </row>
    <row r="710" spans="9:21" ht="17.25" customHeight="1" x14ac:dyDescent="0.3">
      <c r="I710" s="45"/>
      <c r="J710" s="45"/>
      <c r="R710" s="45"/>
      <c r="S710" s="51"/>
      <c r="U710" s="52"/>
    </row>
    <row r="711" spans="9:21" ht="17.25" customHeight="1" x14ac:dyDescent="0.3">
      <c r="I711" s="45"/>
      <c r="J711" s="45"/>
      <c r="R711" s="45"/>
      <c r="S711" s="51"/>
      <c r="U711" s="52"/>
    </row>
    <row r="712" spans="9:21" ht="17.25" customHeight="1" x14ac:dyDescent="0.3">
      <c r="I712" s="45"/>
      <c r="J712" s="45"/>
      <c r="R712" s="45"/>
      <c r="S712" s="51"/>
      <c r="U712" s="52"/>
    </row>
    <row r="713" spans="9:21" ht="17.25" customHeight="1" x14ac:dyDescent="0.3">
      <c r="I713" s="45"/>
      <c r="J713" s="45"/>
      <c r="R713" s="45"/>
      <c r="S713" s="51"/>
      <c r="U713" s="52"/>
    </row>
    <row r="714" spans="9:21" ht="17.25" customHeight="1" x14ac:dyDescent="0.3">
      <c r="I714" s="45"/>
      <c r="J714" s="45"/>
      <c r="R714" s="45"/>
      <c r="S714" s="51"/>
      <c r="U714" s="52"/>
    </row>
    <row r="715" spans="9:21" ht="17.25" customHeight="1" x14ac:dyDescent="0.3">
      <c r="I715" s="45"/>
      <c r="J715" s="45"/>
      <c r="R715" s="45"/>
      <c r="S715" s="51"/>
      <c r="U715" s="52"/>
    </row>
    <row r="716" spans="9:21" ht="17.25" customHeight="1" x14ac:dyDescent="0.3">
      <c r="I716" s="45"/>
      <c r="J716" s="45"/>
      <c r="R716" s="45"/>
      <c r="S716" s="51"/>
      <c r="U716" s="52"/>
    </row>
    <row r="717" spans="9:21" ht="17.25" customHeight="1" x14ac:dyDescent="0.3">
      <c r="I717" s="45"/>
      <c r="J717" s="45"/>
      <c r="R717" s="45"/>
      <c r="S717" s="51"/>
      <c r="U717" s="52"/>
    </row>
    <row r="718" spans="9:21" ht="17.25" customHeight="1" x14ac:dyDescent="0.3">
      <c r="I718" s="45"/>
      <c r="J718" s="45"/>
      <c r="R718" s="45"/>
      <c r="S718" s="51"/>
      <c r="U718" s="52"/>
    </row>
    <row r="719" spans="9:21" ht="17.25" customHeight="1" x14ac:dyDescent="0.3">
      <c r="I719" s="45"/>
      <c r="J719" s="45"/>
      <c r="R719" s="45"/>
      <c r="S719" s="51"/>
      <c r="U719" s="52"/>
    </row>
    <row r="720" spans="9:21" ht="17.25" customHeight="1" x14ac:dyDescent="0.3">
      <c r="I720" s="45"/>
      <c r="J720" s="45"/>
      <c r="R720" s="45"/>
      <c r="S720" s="51"/>
      <c r="U720" s="52"/>
    </row>
    <row r="721" spans="9:21" ht="17.25" customHeight="1" x14ac:dyDescent="0.3">
      <c r="I721" s="45"/>
      <c r="J721" s="45"/>
      <c r="R721" s="45"/>
      <c r="S721" s="51"/>
      <c r="U721" s="52"/>
    </row>
    <row r="722" spans="9:21" ht="17.25" customHeight="1" x14ac:dyDescent="0.3">
      <c r="I722" s="45"/>
      <c r="J722" s="45"/>
      <c r="R722" s="45"/>
      <c r="S722" s="51"/>
      <c r="U722" s="52"/>
    </row>
    <row r="723" spans="9:21" ht="17.25" customHeight="1" x14ac:dyDescent="0.3">
      <c r="I723" s="45"/>
      <c r="J723" s="45"/>
      <c r="R723" s="45"/>
      <c r="S723" s="51"/>
      <c r="U723" s="52"/>
    </row>
    <row r="724" spans="9:21" ht="17.25" customHeight="1" x14ac:dyDescent="0.3">
      <c r="I724" s="45"/>
      <c r="J724" s="45"/>
      <c r="R724" s="45"/>
      <c r="S724" s="51"/>
      <c r="U724" s="52"/>
    </row>
    <row r="725" spans="9:21" ht="17.25" customHeight="1" x14ac:dyDescent="0.3">
      <c r="I725" s="45"/>
      <c r="J725" s="45"/>
      <c r="R725" s="45"/>
      <c r="S725" s="51"/>
      <c r="U725" s="52"/>
    </row>
    <row r="726" spans="9:21" ht="17.25" customHeight="1" x14ac:dyDescent="0.3">
      <c r="I726" s="45"/>
      <c r="J726" s="45"/>
      <c r="R726" s="45"/>
      <c r="S726" s="51"/>
      <c r="U726" s="52"/>
    </row>
    <row r="727" spans="9:21" ht="17.25" customHeight="1" x14ac:dyDescent="0.3">
      <c r="I727" s="45"/>
      <c r="J727" s="45"/>
      <c r="R727" s="45"/>
      <c r="S727" s="51"/>
      <c r="U727" s="52"/>
    </row>
    <row r="728" spans="9:21" ht="17.25" customHeight="1" x14ac:dyDescent="0.3">
      <c r="I728" s="45"/>
      <c r="J728" s="45"/>
      <c r="R728" s="45"/>
      <c r="S728" s="51"/>
      <c r="U728" s="52"/>
    </row>
    <row r="729" spans="9:21" ht="17.25" customHeight="1" x14ac:dyDescent="0.3">
      <c r="I729" s="45"/>
      <c r="J729" s="45"/>
      <c r="R729" s="45"/>
      <c r="S729" s="51"/>
      <c r="U729" s="52"/>
    </row>
    <row r="730" spans="9:21" ht="17.25" customHeight="1" x14ac:dyDescent="0.3">
      <c r="I730" s="45"/>
      <c r="J730" s="45"/>
      <c r="R730" s="45"/>
      <c r="S730" s="51"/>
      <c r="U730" s="52"/>
    </row>
    <row r="731" spans="9:21" ht="17.25" customHeight="1" x14ac:dyDescent="0.3">
      <c r="I731" s="45"/>
      <c r="J731" s="45"/>
      <c r="R731" s="45"/>
      <c r="S731" s="51"/>
      <c r="U731" s="52"/>
    </row>
    <row r="732" spans="9:21" ht="17.25" customHeight="1" x14ac:dyDescent="0.3">
      <c r="I732" s="45"/>
      <c r="J732" s="45"/>
      <c r="R732" s="45"/>
      <c r="S732" s="51"/>
      <c r="U732" s="52"/>
    </row>
    <row r="733" spans="9:21" ht="17.25" customHeight="1" x14ac:dyDescent="0.3">
      <c r="I733" s="45"/>
      <c r="J733" s="45"/>
      <c r="R733" s="45"/>
      <c r="S733" s="51"/>
      <c r="U733" s="52"/>
    </row>
    <row r="734" spans="9:21" ht="17.25" customHeight="1" x14ac:dyDescent="0.3">
      <c r="I734" s="45"/>
      <c r="J734" s="45"/>
      <c r="R734" s="45"/>
      <c r="S734" s="51"/>
      <c r="U734" s="52"/>
    </row>
    <row r="735" spans="9:21" ht="17.25" customHeight="1" x14ac:dyDescent="0.3">
      <c r="I735" s="45"/>
      <c r="J735" s="45"/>
      <c r="R735" s="45"/>
      <c r="S735" s="51"/>
      <c r="U735" s="52"/>
    </row>
    <row r="736" spans="9:21" ht="17.25" customHeight="1" x14ac:dyDescent="0.3">
      <c r="I736" s="45"/>
      <c r="J736" s="45"/>
      <c r="R736" s="45"/>
      <c r="S736" s="51"/>
      <c r="U736" s="52"/>
    </row>
    <row r="737" spans="9:21" ht="17.25" customHeight="1" x14ac:dyDescent="0.3">
      <c r="I737" s="45"/>
      <c r="J737" s="45"/>
      <c r="R737" s="45"/>
      <c r="S737" s="51"/>
      <c r="U737" s="52"/>
    </row>
    <row r="738" spans="9:21" ht="17.25" customHeight="1" x14ac:dyDescent="0.3">
      <c r="I738" s="45"/>
      <c r="J738" s="45"/>
      <c r="R738" s="45"/>
      <c r="S738" s="51"/>
      <c r="U738" s="52"/>
    </row>
    <row r="739" spans="9:21" ht="17.25" customHeight="1" x14ac:dyDescent="0.3">
      <c r="I739" s="45"/>
      <c r="J739" s="45"/>
      <c r="R739" s="45"/>
      <c r="S739" s="51"/>
      <c r="U739" s="52"/>
    </row>
    <row r="740" spans="9:21" ht="17.25" customHeight="1" x14ac:dyDescent="0.3">
      <c r="I740" s="45"/>
      <c r="J740" s="45"/>
      <c r="R740" s="45"/>
      <c r="S740" s="51"/>
      <c r="U740" s="52"/>
    </row>
    <row r="741" spans="9:21" ht="17.25" customHeight="1" x14ac:dyDescent="0.3">
      <c r="I741" s="45"/>
      <c r="J741" s="45"/>
      <c r="R741" s="45"/>
      <c r="S741" s="51"/>
      <c r="U741" s="52"/>
    </row>
    <row r="742" spans="9:21" ht="17.25" customHeight="1" x14ac:dyDescent="0.3">
      <c r="I742" s="45"/>
      <c r="J742" s="45"/>
      <c r="R742" s="45"/>
      <c r="S742" s="51"/>
      <c r="U742" s="52"/>
    </row>
    <row r="743" spans="9:21" ht="17.25" customHeight="1" x14ac:dyDescent="0.3">
      <c r="I743" s="45"/>
      <c r="J743" s="45"/>
      <c r="R743" s="45"/>
      <c r="S743" s="51"/>
      <c r="U743" s="52"/>
    </row>
    <row r="744" spans="9:21" ht="17.25" customHeight="1" x14ac:dyDescent="0.3">
      <c r="I744" s="45"/>
      <c r="J744" s="45"/>
      <c r="R744" s="45"/>
      <c r="S744" s="51"/>
      <c r="U744" s="52"/>
    </row>
    <row r="745" spans="9:21" ht="17.25" customHeight="1" x14ac:dyDescent="0.3">
      <c r="I745" s="45"/>
      <c r="J745" s="45"/>
      <c r="R745" s="45"/>
      <c r="S745" s="51"/>
      <c r="U745" s="52"/>
    </row>
    <row r="746" spans="9:21" ht="17.25" customHeight="1" x14ac:dyDescent="0.3">
      <c r="I746" s="45"/>
      <c r="J746" s="45"/>
      <c r="R746" s="45"/>
      <c r="S746" s="51"/>
      <c r="U746" s="52"/>
    </row>
    <row r="747" spans="9:21" ht="17.25" customHeight="1" x14ac:dyDescent="0.3">
      <c r="I747" s="45"/>
      <c r="J747" s="45"/>
      <c r="R747" s="45"/>
      <c r="S747" s="51"/>
      <c r="U747" s="52"/>
    </row>
    <row r="748" spans="9:21" ht="17.25" customHeight="1" x14ac:dyDescent="0.3">
      <c r="I748" s="45"/>
      <c r="J748" s="45"/>
      <c r="R748" s="45"/>
      <c r="S748" s="51"/>
      <c r="U748" s="52"/>
    </row>
    <row r="749" spans="9:21" ht="17.25" customHeight="1" x14ac:dyDescent="0.3">
      <c r="I749" s="45"/>
      <c r="J749" s="45"/>
      <c r="R749" s="45"/>
      <c r="S749" s="51"/>
      <c r="U749" s="52"/>
    </row>
    <row r="750" spans="9:21" ht="17.25" customHeight="1" x14ac:dyDescent="0.3">
      <c r="I750" s="45"/>
      <c r="J750" s="45"/>
      <c r="R750" s="45"/>
      <c r="S750" s="51"/>
      <c r="U750" s="52"/>
    </row>
    <row r="751" spans="9:21" ht="17.25" customHeight="1" x14ac:dyDescent="0.3">
      <c r="I751" s="45"/>
      <c r="J751" s="45"/>
      <c r="R751" s="45"/>
      <c r="S751" s="51"/>
      <c r="U751" s="52"/>
    </row>
    <row r="752" spans="9:21" ht="17.25" customHeight="1" x14ac:dyDescent="0.3">
      <c r="I752" s="45"/>
      <c r="J752" s="45"/>
      <c r="R752" s="45"/>
      <c r="S752" s="51"/>
      <c r="U752" s="52"/>
    </row>
    <row r="753" spans="9:21" ht="17.25" customHeight="1" x14ac:dyDescent="0.3">
      <c r="I753" s="45"/>
      <c r="J753" s="45"/>
      <c r="R753" s="45"/>
      <c r="S753" s="51"/>
      <c r="U753" s="52"/>
    </row>
    <row r="754" spans="9:21" ht="17.25" customHeight="1" x14ac:dyDescent="0.3">
      <c r="I754" s="45"/>
      <c r="J754" s="45"/>
      <c r="R754" s="45"/>
      <c r="S754" s="51"/>
      <c r="U754" s="52"/>
    </row>
    <row r="755" spans="9:21" ht="17.25" customHeight="1" x14ac:dyDescent="0.3">
      <c r="I755" s="45"/>
      <c r="J755" s="45"/>
      <c r="R755" s="45"/>
      <c r="S755" s="51"/>
      <c r="U755" s="52"/>
    </row>
    <row r="756" spans="9:21" ht="17.25" customHeight="1" x14ac:dyDescent="0.3">
      <c r="I756" s="45"/>
      <c r="J756" s="45"/>
      <c r="R756" s="45"/>
      <c r="S756" s="51"/>
      <c r="U756" s="52"/>
    </row>
    <row r="757" spans="9:21" ht="17.25" customHeight="1" x14ac:dyDescent="0.3">
      <c r="I757" s="45"/>
      <c r="J757" s="45"/>
      <c r="R757" s="45"/>
      <c r="S757" s="51"/>
      <c r="U757" s="52"/>
    </row>
    <row r="758" spans="9:21" ht="17.25" customHeight="1" x14ac:dyDescent="0.3">
      <c r="I758" s="45"/>
      <c r="J758" s="45"/>
      <c r="R758" s="45"/>
      <c r="S758" s="51"/>
      <c r="U758" s="52"/>
    </row>
    <row r="759" spans="9:21" ht="17.25" customHeight="1" x14ac:dyDescent="0.3">
      <c r="I759" s="45"/>
      <c r="J759" s="45"/>
      <c r="R759" s="45"/>
      <c r="S759" s="51"/>
      <c r="U759" s="52"/>
    </row>
    <row r="760" spans="9:21" ht="17.25" customHeight="1" x14ac:dyDescent="0.3">
      <c r="I760" s="45"/>
      <c r="J760" s="45"/>
      <c r="R760" s="45"/>
      <c r="S760" s="51"/>
      <c r="U760" s="52"/>
    </row>
    <row r="761" spans="9:21" ht="17.25" customHeight="1" x14ac:dyDescent="0.3">
      <c r="I761" s="45"/>
      <c r="J761" s="45"/>
      <c r="R761" s="45"/>
      <c r="S761" s="51"/>
      <c r="U761" s="52"/>
    </row>
    <row r="762" spans="9:21" ht="17.25" customHeight="1" x14ac:dyDescent="0.3">
      <c r="I762" s="45"/>
      <c r="J762" s="45"/>
      <c r="R762" s="45"/>
      <c r="S762" s="51"/>
      <c r="U762" s="52"/>
    </row>
    <row r="763" spans="9:21" ht="17.25" customHeight="1" x14ac:dyDescent="0.3">
      <c r="I763" s="45"/>
      <c r="J763" s="45"/>
      <c r="R763" s="45"/>
      <c r="S763" s="51"/>
      <c r="U763" s="52"/>
    </row>
    <row r="764" spans="9:21" ht="17.25" customHeight="1" x14ac:dyDescent="0.3">
      <c r="I764" s="45"/>
      <c r="J764" s="45"/>
      <c r="R764" s="45"/>
      <c r="S764" s="51"/>
      <c r="U764" s="52"/>
    </row>
    <row r="765" spans="9:21" ht="17.25" customHeight="1" x14ac:dyDescent="0.3">
      <c r="I765" s="45"/>
      <c r="J765" s="45"/>
      <c r="R765" s="45"/>
      <c r="S765" s="51"/>
      <c r="U765" s="52"/>
    </row>
    <row r="766" spans="9:21" ht="17.25" customHeight="1" x14ac:dyDescent="0.3">
      <c r="I766" s="45"/>
      <c r="J766" s="45"/>
      <c r="R766" s="45"/>
      <c r="S766" s="51"/>
      <c r="U766" s="52"/>
    </row>
    <row r="767" spans="9:21" ht="17.25" customHeight="1" x14ac:dyDescent="0.3">
      <c r="I767" s="45"/>
      <c r="J767" s="45"/>
      <c r="R767" s="45"/>
      <c r="S767" s="51"/>
      <c r="U767" s="52"/>
    </row>
    <row r="768" spans="9:21" ht="17.25" customHeight="1" x14ac:dyDescent="0.3">
      <c r="I768" s="45"/>
      <c r="J768" s="45"/>
      <c r="R768" s="45"/>
      <c r="S768" s="51"/>
      <c r="U768" s="52"/>
    </row>
    <row r="769" spans="9:21" ht="17.25" customHeight="1" x14ac:dyDescent="0.3">
      <c r="I769" s="45"/>
      <c r="J769" s="45"/>
      <c r="R769" s="45"/>
      <c r="S769" s="51"/>
      <c r="U769" s="52"/>
    </row>
    <row r="770" spans="9:21" ht="17.25" customHeight="1" x14ac:dyDescent="0.3">
      <c r="I770" s="45"/>
      <c r="J770" s="45"/>
      <c r="R770" s="45"/>
      <c r="S770" s="51"/>
      <c r="U770" s="52"/>
    </row>
    <row r="771" spans="9:21" ht="17.25" customHeight="1" x14ac:dyDescent="0.3">
      <c r="I771" s="45"/>
      <c r="J771" s="45"/>
      <c r="R771" s="45"/>
      <c r="S771" s="51"/>
      <c r="U771" s="52"/>
    </row>
    <row r="772" spans="9:21" ht="17.25" customHeight="1" x14ac:dyDescent="0.3">
      <c r="I772" s="45"/>
      <c r="J772" s="45"/>
      <c r="R772" s="45"/>
      <c r="S772" s="51"/>
      <c r="U772" s="52"/>
    </row>
    <row r="773" spans="9:21" ht="17.25" customHeight="1" x14ac:dyDescent="0.3">
      <c r="I773" s="45"/>
      <c r="J773" s="45"/>
      <c r="R773" s="45"/>
      <c r="S773" s="51"/>
      <c r="U773" s="52"/>
    </row>
    <row r="774" spans="9:21" ht="17.25" customHeight="1" x14ac:dyDescent="0.3">
      <c r="I774" s="45"/>
      <c r="J774" s="45"/>
      <c r="R774" s="45"/>
      <c r="S774" s="51"/>
      <c r="U774" s="52"/>
    </row>
    <row r="775" spans="9:21" ht="17.25" customHeight="1" x14ac:dyDescent="0.3">
      <c r="I775" s="45"/>
      <c r="J775" s="45"/>
      <c r="R775" s="45"/>
      <c r="S775" s="51"/>
      <c r="U775" s="52"/>
    </row>
    <row r="776" spans="9:21" ht="17.25" customHeight="1" x14ac:dyDescent="0.3">
      <c r="I776" s="45"/>
      <c r="J776" s="45"/>
      <c r="R776" s="45"/>
      <c r="S776" s="51"/>
      <c r="U776" s="52"/>
    </row>
    <row r="777" spans="9:21" ht="17.25" customHeight="1" x14ac:dyDescent="0.3">
      <c r="I777" s="45"/>
      <c r="J777" s="45"/>
      <c r="R777" s="45"/>
      <c r="S777" s="51"/>
      <c r="U777" s="52"/>
    </row>
    <row r="778" spans="9:21" ht="17.25" customHeight="1" x14ac:dyDescent="0.3">
      <c r="I778" s="45"/>
      <c r="J778" s="45"/>
      <c r="R778" s="45"/>
      <c r="S778" s="51"/>
      <c r="U778" s="52"/>
    </row>
    <row r="779" spans="9:21" ht="17.25" customHeight="1" x14ac:dyDescent="0.3">
      <c r="I779" s="45"/>
      <c r="J779" s="45"/>
      <c r="R779" s="45"/>
      <c r="S779" s="51"/>
      <c r="U779" s="52"/>
    </row>
    <row r="780" spans="9:21" ht="17.25" customHeight="1" x14ac:dyDescent="0.3">
      <c r="I780" s="45"/>
      <c r="J780" s="45"/>
      <c r="R780" s="45"/>
      <c r="S780" s="51"/>
      <c r="U780" s="52"/>
    </row>
    <row r="781" spans="9:21" ht="17.25" customHeight="1" x14ac:dyDescent="0.3">
      <c r="I781" s="45"/>
      <c r="J781" s="45"/>
      <c r="R781" s="45"/>
      <c r="S781" s="51"/>
      <c r="U781" s="52"/>
    </row>
    <row r="782" spans="9:21" ht="17.25" customHeight="1" x14ac:dyDescent="0.3">
      <c r="I782" s="45"/>
      <c r="J782" s="45"/>
      <c r="R782" s="45"/>
      <c r="S782" s="51"/>
      <c r="U782" s="52"/>
    </row>
    <row r="783" spans="9:21" ht="17.25" customHeight="1" x14ac:dyDescent="0.3">
      <c r="I783" s="45"/>
      <c r="J783" s="45"/>
      <c r="R783" s="45"/>
      <c r="S783" s="51"/>
      <c r="U783" s="52"/>
    </row>
    <row r="784" spans="9:21" ht="17.25" customHeight="1" x14ac:dyDescent="0.3">
      <c r="I784" s="45"/>
      <c r="J784" s="45"/>
      <c r="R784" s="45"/>
      <c r="S784" s="51"/>
      <c r="U784" s="52"/>
    </row>
    <row r="785" spans="9:21" ht="17.25" customHeight="1" x14ac:dyDescent="0.3">
      <c r="I785" s="45"/>
      <c r="J785" s="45"/>
      <c r="R785" s="45"/>
      <c r="S785" s="51"/>
      <c r="U785" s="52"/>
    </row>
    <row r="786" spans="9:21" ht="17.25" customHeight="1" x14ac:dyDescent="0.3">
      <c r="I786" s="45"/>
      <c r="J786" s="45"/>
      <c r="R786" s="45"/>
      <c r="S786" s="51"/>
      <c r="U786" s="52"/>
    </row>
    <row r="787" spans="9:21" ht="17.25" customHeight="1" x14ac:dyDescent="0.3">
      <c r="I787" s="45"/>
      <c r="J787" s="45"/>
      <c r="R787" s="45"/>
      <c r="S787" s="51"/>
      <c r="U787" s="52"/>
    </row>
    <row r="788" spans="9:21" ht="17.25" customHeight="1" x14ac:dyDescent="0.3">
      <c r="I788" s="45"/>
      <c r="J788" s="45"/>
      <c r="R788" s="45"/>
      <c r="S788" s="51"/>
      <c r="U788" s="52"/>
    </row>
    <row r="789" spans="9:21" ht="17.25" customHeight="1" x14ac:dyDescent="0.3">
      <c r="I789" s="45"/>
      <c r="J789" s="45"/>
      <c r="R789" s="45"/>
      <c r="S789" s="51"/>
      <c r="U789" s="52"/>
    </row>
    <row r="790" spans="9:21" ht="17.25" customHeight="1" x14ac:dyDescent="0.3">
      <c r="I790" s="45"/>
      <c r="J790" s="45"/>
      <c r="R790" s="45"/>
      <c r="S790" s="51"/>
      <c r="U790" s="52"/>
    </row>
    <row r="791" spans="9:21" ht="17.25" customHeight="1" x14ac:dyDescent="0.3">
      <c r="I791" s="45"/>
      <c r="J791" s="45"/>
      <c r="R791" s="45"/>
      <c r="S791" s="51"/>
      <c r="U791" s="52"/>
    </row>
    <row r="792" spans="9:21" ht="17.25" customHeight="1" x14ac:dyDescent="0.3">
      <c r="I792" s="45"/>
      <c r="J792" s="45"/>
      <c r="R792" s="45"/>
      <c r="S792" s="51"/>
      <c r="U792" s="52"/>
    </row>
    <row r="793" spans="9:21" ht="17.25" customHeight="1" x14ac:dyDescent="0.3">
      <c r="I793" s="45"/>
      <c r="J793" s="45"/>
      <c r="R793" s="45"/>
      <c r="S793" s="51"/>
      <c r="U793" s="52"/>
    </row>
    <row r="794" spans="9:21" ht="17.25" customHeight="1" x14ac:dyDescent="0.3">
      <c r="I794" s="45"/>
      <c r="J794" s="45"/>
      <c r="R794" s="45"/>
      <c r="S794" s="51"/>
      <c r="U794" s="52"/>
    </row>
    <row r="795" spans="9:21" ht="17.25" customHeight="1" x14ac:dyDescent="0.3">
      <c r="I795" s="45"/>
      <c r="J795" s="45"/>
      <c r="R795" s="45"/>
      <c r="S795" s="51"/>
      <c r="U795" s="52"/>
    </row>
    <row r="796" spans="9:21" ht="17.25" customHeight="1" x14ac:dyDescent="0.3">
      <c r="I796" s="45"/>
      <c r="J796" s="45"/>
      <c r="R796" s="45"/>
      <c r="S796" s="51"/>
      <c r="U796" s="52"/>
    </row>
    <row r="797" spans="9:21" ht="17.25" customHeight="1" x14ac:dyDescent="0.3">
      <c r="I797" s="45"/>
      <c r="J797" s="45"/>
      <c r="R797" s="45"/>
      <c r="S797" s="51"/>
      <c r="U797" s="52"/>
    </row>
    <row r="798" spans="9:21" ht="17.25" customHeight="1" x14ac:dyDescent="0.3">
      <c r="I798" s="45"/>
      <c r="J798" s="45"/>
      <c r="R798" s="45"/>
      <c r="S798" s="51"/>
      <c r="U798" s="52"/>
    </row>
    <row r="799" spans="9:21" ht="17.25" customHeight="1" x14ac:dyDescent="0.3">
      <c r="I799" s="45"/>
      <c r="J799" s="45"/>
      <c r="R799" s="45"/>
      <c r="S799" s="51"/>
      <c r="U799" s="52"/>
    </row>
    <row r="800" spans="9:21" ht="17.25" customHeight="1" x14ac:dyDescent="0.3">
      <c r="I800" s="45"/>
      <c r="J800" s="45"/>
      <c r="R800" s="45"/>
      <c r="S800" s="51"/>
      <c r="U800" s="52"/>
    </row>
    <row r="801" spans="9:21" ht="17.25" customHeight="1" x14ac:dyDescent="0.3">
      <c r="I801" s="45"/>
      <c r="J801" s="45"/>
      <c r="R801" s="45"/>
      <c r="S801" s="51"/>
      <c r="U801" s="52"/>
    </row>
    <row r="802" spans="9:21" ht="17.25" customHeight="1" x14ac:dyDescent="0.3">
      <c r="I802" s="45"/>
      <c r="J802" s="45"/>
      <c r="R802" s="45"/>
      <c r="S802" s="51"/>
      <c r="U802" s="52"/>
    </row>
    <row r="803" spans="9:21" ht="17.25" customHeight="1" x14ac:dyDescent="0.3">
      <c r="I803" s="45"/>
      <c r="J803" s="45"/>
      <c r="R803" s="45"/>
      <c r="S803" s="51"/>
      <c r="U803" s="52"/>
    </row>
    <row r="804" spans="9:21" ht="17.25" customHeight="1" x14ac:dyDescent="0.3">
      <c r="I804" s="45"/>
      <c r="J804" s="45"/>
      <c r="R804" s="45"/>
      <c r="S804" s="51"/>
      <c r="U804" s="52"/>
    </row>
    <row r="805" spans="9:21" ht="17.25" customHeight="1" x14ac:dyDescent="0.3">
      <c r="I805" s="45"/>
      <c r="J805" s="45"/>
      <c r="R805" s="45"/>
      <c r="S805" s="51"/>
      <c r="U805" s="52"/>
    </row>
    <row r="806" spans="9:21" ht="17.25" customHeight="1" x14ac:dyDescent="0.3">
      <c r="I806" s="45"/>
      <c r="J806" s="45"/>
      <c r="R806" s="45"/>
      <c r="S806" s="51"/>
      <c r="U806" s="52"/>
    </row>
    <row r="807" spans="9:21" ht="17.25" customHeight="1" x14ac:dyDescent="0.3">
      <c r="I807" s="45"/>
      <c r="J807" s="45"/>
      <c r="R807" s="45"/>
      <c r="S807" s="51"/>
      <c r="U807" s="52"/>
    </row>
    <row r="808" spans="9:21" ht="17.25" customHeight="1" x14ac:dyDescent="0.3">
      <c r="I808" s="45"/>
      <c r="J808" s="45"/>
      <c r="R808" s="45"/>
      <c r="S808" s="51"/>
      <c r="U808" s="52"/>
    </row>
    <row r="809" spans="9:21" ht="17.25" customHeight="1" x14ac:dyDescent="0.3">
      <c r="I809" s="45"/>
      <c r="J809" s="45"/>
      <c r="R809" s="45"/>
      <c r="S809" s="51"/>
      <c r="U809" s="52"/>
    </row>
    <row r="810" spans="9:21" ht="17.25" customHeight="1" x14ac:dyDescent="0.3">
      <c r="I810" s="45"/>
      <c r="J810" s="45"/>
      <c r="R810" s="45"/>
      <c r="S810" s="51"/>
      <c r="U810" s="52"/>
    </row>
    <row r="811" spans="9:21" ht="17.25" customHeight="1" x14ac:dyDescent="0.3">
      <c r="I811" s="45"/>
      <c r="J811" s="45"/>
      <c r="R811" s="45"/>
      <c r="S811" s="51"/>
      <c r="U811" s="52"/>
    </row>
    <row r="812" spans="9:21" ht="17.25" customHeight="1" x14ac:dyDescent="0.3">
      <c r="I812" s="45"/>
      <c r="J812" s="45"/>
      <c r="R812" s="45"/>
      <c r="S812" s="51"/>
      <c r="U812" s="52"/>
    </row>
    <row r="813" spans="9:21" ht="17.25" customHeight="1" x14ac:dyDescent="0.3">
      <c r="I813" s="45"/>
      <c r="J813" s="45"/>
      <c r="R813" s="45"/>
      <c r="S813" s="51"/>
      <c r="U813" s="52"/>
    </row>
    <row r="814" spans="9:21" ht="17.25" customHeight="1" x14ac:dyDescent="0.3">
      <c r="I814" s="45"/>
      <c r="J814" s="45"/>
      <c r="R814" s="45"/>
      <c r="S814" s="51"/>
      <c r="U814" s="52"/>
    </row>
    <row r="815" spans="9:21" ht="17.25" customHeight="1" x14ac:dyDescent="0.3">
      <c r="I815" s="45"/>
      <c r="J815" s="45"/>
      <c r="R815" s="45"/>
      <c r="S815" s="51"/>
      <c r="U815" s="52"/>
    </row>
    <row r="816" spans="9:21" ht="17.25" customHeight="1" x14ac:dyDescent="0.3">
      <c r="I816" s="45"/>
      <c r="J816" s="45"/>
      <c r="R816" s="45"/>
      <c r="S816" s="51"/>
      <c r="U816" s="52"/>
    </row>
    <row r="817" spans="9:21" ht="17.25" customHeight="1" x14ac:dyDescent="0.3">
      <c r="I817" s="45"/>
      <c r="J817" s="45"/>
      <c r="R817" s="45"/>
      <c r="S817" s="51"/>
      <c r="U817" s="52"/>
    </row>
    <row r="818" spans="9:21" ht="17.25" customHeight="1" x14ac:dyDescent="0.3">
      <c r="I818" s="45"/>
      <c r="J818" s="45"/>
      <c r="R818" s="45"/>
      <c r="S818" s="51"/>
      <c r="U818" s="52"/>
    </row>
    <row r="819" spans="9:21" ht="17.25" customHeight="1" x14ac:dyDescent="0.3">
      <c r="I819" s="45"/>
      <c r="J819" s="45"/>
      <c r="R819" s="45"/>
      <c r="S819" s="51"/>
      <c r="U819" s="52"/>
    </row>
    <row r="820" spans="9:21" ht="17.25" customHeight="1" x14ac:dyDescent="0.3">
      <c r="I820" s="45"/>
      <c r="J820" s="45"/>
      <c r="R820" s="45"/>
      <c r="S820" s="51"/>
      <c r="U820" s="52"/>
    </row>
    <row r="821" spans="9:21" ht="17.25" customHeight="1" x14ac:dyDescent="0.3">
      <c r="I821" s="45"/>
      <c r="J821" s="45"/>
      <c r="R821" s="45"/>
      <c r="S821" s="51"/>
      <c r="U821" s="52"/>
    </row>
    <row r="822" spans="9:21" ht="17.25" customHeight="1" x14ac:dyDescent="0.3">
      <c r="I822" s="45"/>
      <c r="J822" s="45"/>
      <c r="R822" s="45"/>
      <c r="S822" s="51"/>
      <c r="U822" s="52"/>
    </row>
    <row r="823" spans="9:21" ht="17.25" customHeight="1" x14ac:dyDescent="0.3">
      <c r="I823" s="45"/>
      <c r="J823" s="45"/>
      <c r="R823" s="45"/>
      <c r="S823" s="51"/>
      <c r="U823" s="52"/>
    </row>
    <row r="824" spans="9:21" ht="17.25" customHeight="1" x14ac:dyDescent="0.3">
      <c r="I824" s="45"/>
      <c r="J824" s="45"/>
      <c r="R824" s="45"/>
      <c r="S824" s="51"/>
      <c r="U824" s="52"/>
    </row>
    <row r="825" spans="9:21" ht="17.25" customHeight="1" x14ac:dyDescent="0.3">
      <c r="I825" s="45"/>
      <c r="J825" s="45"/>
      <c r="R825" s="45"/>
      <c r="S825" s="51"/>
      <c r="U825" s="52"/>
    </row>
    <row r="826" spans="9:21" ht="17.25" customHeight="1" x14ac:dyDescent="0.3">
      <c r="I826" s="45"/>
      <c r="J826" s="45"/>
      <c r="R826" s="45"/>
      <c r="S826" s="51"/>
      <c r="U826" s="52"/>
    </row>
    <row r="827" spans="9:21" ht="17.25" customHeight="1" x14ac:dyDescent="0.3">
      <c r="I827" s="45"/>
      <c r="J827" s="45"/>
      <c r="R827" s="45"/>
      <c r="S827" s="51"/>
      <c r="U827" s="52"/>
    </row>
    <row r="828" spans="9:21" ht="17.25" customHeight="1" x14ac:dyDescent="0.3">
      <c r="I828" s="45"/>
      <c r="J828" s="45"/>
      <c r="R828" s="45"/>
      <c r="S828" s="51"/>
      <c r="U828" s="52"/>
    </row>
    <row r="829" spans="9:21" ht="17.25" customHeight="1" x14ac:dyDescent="0.3">
      <c r="I829" s="45"/>
      <c r="J829" s="45"/>
      <c r="R829" s="45"/>
      <c r="S829" s="51"/>
      <c r="U829" s="52"/>
    </row>
    <row r="830" spans="9:21" ht="17.25" customHeight="1" x14ac:dyDescent="0.3">
      <c r="I830" s="45"/>
      <c r="J830" s="45"/>
      <c r="R830" s="45"/>
      <c r="S830" s="51"/>
      <c r="U830" s="52"/>
    </row>
    <row r="831" spans="9:21" ht="17.25" customHeight="1" x14ac:dyDescent="0.3">
      <c r="I831" s="45"/>
      <c r="J831" s="45"/>
      <c r="R831" s="45"/>
      <c r="S831" s="51"/>
      <c r="U831" s="52"/>
    </row>
    <row r="832" spans="9:21" ht="17.25" customHeight="1" x14ac:dyDescent="0.3">
      <c r="I832" s="45"/>
      <c r="J832" s="45"/>
      <c r="R832" s="45"/>
      <c r="S832" s="51"/>
      <c r="U832" s="52"/>
    </row>
    <row r="833" spans="9:21" ht="17.25" customHeight="1" x14ac:dyDescent="0.3">
      <c r="I833" s="45"/>
      <c r="J833" s="45"/>
      <c r="R833" s="45"/>
      <c r="S833" s="51"/>
      <c r="U833" s="52"/>
    </row>
    <row r="834" spans="9:21" ht="17.25" customHeight="1" x14ac:dyDescent="0.3">
      <c r="I834" s="45"/>
      <c r="J834" s="45"/>
      <c r="R834" s="45"/>
      <c r="S834" s="51"/>
      <c r="U834" s="52"/>
    </row>
    <row r="835" spans="9:21" ht="17.25" customHeight="1" x14ac:dyDescent="0.3">
      <c r="I835" s="45"/>
      <c r="J835" s="45"/>
      <c r="R835" s="45"/>
      <c r="S835" s="51"/>
      <c r="U835" s="52"/>
    </row>
    <row r="836" spans="9:21" ht="17.25" customHeight="1" x14ac:dyDescent="0.3">
      <c r="I836" s="45"/>
      <c r="J836" s="45"/>
      <c r="R836" s="45"/>
      <c r="S836" s="51"/>
      <c r="U836" s="52"/>
    </row>
    <row r="837" spans="9:21" ht="17.25" customHeight="1" x14ac:dyDescent="0.3">
      <c r="I837" s="45"/>
      <c r="J837" s="45"/>
      <c r="R837" s="45"/>
      <c r="S837" s="51"/>
      <c r="U837" s="52"/>
    </row>
    <row r="838" spans="9:21" ht="17.25" customHeight="1" x14ac:dyDescent="0.3">
      <c r="I838" s="45"/>
      <c r="J838" s="45"/>
      <c r="R838" s="45"/>
      <c r="S838" s="51"/>
      <c r="U838" s="52"/>
    </row>
    <row r="839" spans="9:21" ht="17.25" customHeight="1" x14ac:dyDescent="0.3">
      <c r="I839" s="45"/>
      <c r="J839" s="45"/>
      <c r="R839" s="45"/>
      <c r="S839" s="51"/>
      <c r="U839" s="52"/>
    </row>
    <row r="840" spans="9:21" ht="17.25" customHeight="1" x14ac:dyDescent="0.3">
      <c r="I840" s="45"/>
      <c r="J840" s="45"/>
      <c r="R840" s="45"/>
      <c r="S840" s="51"/>
      <c r="U840" s="52"/>
    </row>
    <row r="841" spans="9:21" ht="17.25" customHeight="1" x14ac:dyDescent="0.3">
      <c r="I841" s="45"/>
      <c r="J841" s="45"/>
      <c r="R841" s="45"/>
      <c r="S841" s="51"/>
      <c r="U841" s="52"/>
    </row>
    <row r="842" spans="9:21" ht="17.25" customHeight="1" x14ac:dyDescent="0.3">
      <c r="I842" s="45"/>
      <c r="J842" s="45"/>
      <c r="R842" s="45"/>
      <c r="S842" s="51"/>
      <c r="U842" s="52"/>
    </row>
    <row r="843" spans="9:21" ht="17.25" customHeight="1" x14ac:dyDescent="0.3">
      <c r="I843" s="45"/>
      <c r="J843" s="45"/>
      <c r="R843" s="45"/>
      <c r="S843" s="51"/>
      <c r="U843" s="52"/>
    </row>
    <row r="844" spans="9:21" ht="17.25" customHeight="1" x14ac:dyDescent="0.3">
      <c r="I844" s="45"/>
      <c r="J844" s="45"/>
      <c r="R844" s="45"/>
      <c r="S844" s="51"/>
      <c r="U844" s="52"/>
    </row>
    <row r="845" spans="9:21" ht="17.25" customHeight="1" x14ac:dyDescent="0.3">
      <c r="I845" s="45"/>
      <c r="J845" s="45"/>
      <c r="R845" s="45"/>
      <c r="S845" s="51"/>
      <c r="U845" s="52"/>
    </row>
    <row r="846" spans="9:21" ht="17.25" customHeight="1" x14ac:dyDescent="0.3">
      <c r="I846" s="45"/>
      <c r="J846" s="45"/>
      <c r="R846" s="45"/>
      <c r="S846" s="51"/>
      <c r="U846" s="52"/>
    </row>
    <row r="847" spans="9:21" ht="17.25" customHeight="1" x14ac:dyDescent="0.3">
      <c r="I847" s="45"/>
      <c r="J847" s="45"/>
      <c r="R847" s="45"/>
      <c r="S847" s="51"/>
      <c r="U847" s="52"/>
    </row>
    <row r="848" spans="9:21" ht="17.25" customHeight="1" x14ac:dyDescent="0.3">
      <c r="I848" s="45"/>
      <c r="J848" s="45"/>
      <c r="R848" s="45"/>
      <c r="S848" s="51"/>
      <c r="U848" s="52"/>
    </row>
    <row r="849" spans="9:21" ht="17.25" customHeight="1" x14ac:dyDescent="0.3">
      <c r="I849" s="45"/>
      <c r="J849" s="45"/>
      <c r="R849" s="45"/>
      <c r="S849" s="51"/>
      <c r="U849" s="52"/>
    </row>
    <row r="850" spans="9:21" ht="17.25" customHeight="1" x14ac:dyDescent="0.3">
      <c r="I850" s="45"/>
      <c r="J850" s="45"/>
      <c r="R850" s="45"/>
      <c r="S850" s="51"/>
      <c r="U850" s="52"/>
    </row>
    <row r="851" spans="9:21" ht="17.25" customHeight="1" x14ac:dyDescent="0.3">
      <c r="I851" s="45"/>
      <c r="J851" s="45"/>
      <c r="R851" s="45"/>
      <c r="S851" s="51"/>
      <c r="U851" s="52"/>
    </row>
    <row r="852" spans="9:21" ht="17.25" customHeight="1" x14ac:dyDescent="0.3">
      <c r="I852" s="45"/>
      <c r="J852" s="45"/>
      <c r="R852" s="45"/>
      <c r="S852" s="51"/>
      <c r="U852" s="52"/>
    </row>
    <row r="853" spans="9:21" ht="17.25" customHeight="1" x14ac:dyDescent="0.3">
      <c r="I853" s="45"/>
      <c r="J853" s="45"/>
      <c r="R853" s="45"/>
      <c r="S853" s="51"/>
      <c r="U853" s="52"/>
    </row>
    <row r="854" spans="9:21" ht="17.25" customHeight="1" x14ac:dyDescent="0.3">
      <c r="I854" s="45"/>
      <c r="J854" s="45"/>
      <c r="R854" s="45"/>
      <c r="S854" s="51"/>
      <c r="U854" s="52"/>
    </row>
    <row r="855" spans="9:21" ht="17.25" customHeight="1" x14ac:dyDescent="0.3">
      <c r="I855" s="45"/>
      <c r="J855" s="45"/>
      <c r="R855" s="45"/>
      <c r="S855" s="51"/>
      <c r="U855" s="52"/>
    </row>
    <row r="856" spans="9:21" ht="17.25" customHeight="1" x14ac:dyDescent="0.3">
      <c r="I856" s="45"/>
      <c r="J856" s="45"/>
      <c r="R856" s="45"/>
      <c r="S856" s="51"/>
      <c r="U856" s="52"/>
    </row>
    <row r="857" spans="9:21" ht="17.25" customHeight="1" x14ac:dyDescent="0.3">
      <c r="I857" s="45"/>
      <c r="J857" s="45"/>
      <c r="R857" s="45"/>
      <c r="S857" s="51"/>
      <c r="U857" s="52"/>
    </row>
    <row r="858" spans="9:21" ht="17.25" customHeight="1" x14ac:dyDescent="0.3">
      <c r="I858" s="45"/>
      <c r="J858" s="45"/>
      <c r="R858" s="45"/>
      <c r="S858" s="51"/>
      <c r="U858" s="52"/>
    </row>
    <row r="859" spans="9:21" ht="17.25" customHeight="1" x14ac:dyDescent="0.3">
      <c r="I859" s="45"/>
      <c r="J859" s="45"/>
      <c r="R859" s="45"/>
      <c r="S859" s="51"/>
      <c r="U859" s="52"/>
    </row>
    <row r="860" spans="9:21" ht="17.25" customHeight="1" x14ac:dyDescent="0.3">
      <c r="I860" s="45"/>
      <c r="J860" s="45"/>
      <c r="R860" s="45"/>
      <c r="S860" s="51"/>
      <c r="U860" s="52"/>
    </row>
    <row r="861" spans="9:21" ht="17.25" customHeight="1" x14ac:dyDescent="0.3">
      <c r="I861" s="45"/>
      <c r="J861" s="45"/>
      <c r="R861" s="45"/>
      <c r="S861" s="51"/>
      <c r="U861" s="52"/>
    </row>
    <row r="862" spans="9:21" ht="17.25" customHeight="1" x14ac:dyDescent="0.3">
      <c r="I862" s="45"/>
      <c r="J862" s="45"/>
      <c r="R862" s="45"/>
      <c r="S862" s="51"/>
      <c r="U862" s="52"/>
    </row>
    <row r="863" spans="9:21" ht="17.25" customHeight="1" x14ac:dyDescent="0.3">
      <c r="I863" s="45"/>
      <c r="J863" s="45"/>
      <c r="R863" s="45"/>
      <c r="S863" s="51"/>
      <c r="U863" s="52"/>
    </row>
    <row r="864" spans="9:21" ht="17.25" customHeight="1" x14ac:dyDescent="0.3">
      <c r="I864" s="45"/>
      <c r="J864" s="45"/>
      <c r="R864" s="45"/>
      <c r="S864" s="51"/>
      <c r="U864" s="52"/>
    </row>
    <row r="865" spans="9:21" ht="17.25" customHeight="1" x14ac:dyDescent="0.3">
      <c r="I865" s="45"/>
      <c r="J865" s="45"/>
      <c r="R865" s="45"/>
      <c r="S865" s="51"/>
      <c r="U865" s="52"/>
    </row>
    <row r="866" spans="9:21" ht="17.25" customHeight="1" x14ac:dyDescent="0.3">
      <c r="I866" s="45"/>
      <c r="J866" s="45"/>
      <c r="R866" s="45"/>
      <c r="S866" s="51"/>
      <c r="U866" s="52"/>
    </row>
    <row r="867" spans="9:21" ht="17.25" customHeight="1" x14ac:dyDescent="0.3">
      <c r="I867" s="45"/>
      <c r="J867" s="45"/>
      <c r="R867" s="45"/>
      <c r="S867" s="51"/>
      <c r="U867" s="52"/>
    </row>
    <row r="868" spans="9:21" ht="17.25" customHeight="1" x14ac:dyDescent="0.3">
      <c r="I868" s="45"/>
      <c r="J868" s="45"/>
      <c r="R868" s="45"/>
      <c r="S868" s="51"/>
      <c r="U868" s="52"/>
    </row>
    <row r="869" spans="9:21" ht="17.25" customHeight="1" x14ac:dyDescent="0.3">
      <c r="I869" s="45"/>
      <c r="J869" s="45"/>
      <c r="R869" s="45"/>
      <c r="S869" s="51"/>
      <c r="U869" s="52"/>
    </row>
    <row r="870" spans="9:21" ht="17.25" customHeight="1" x14ac:dyDescent="0.3">
      <c r="I870" s="45"/>
      <c r="J870" s="45"/>
      <c r="R870" s="45"/>
      <c r="S870" s="51"/>
      <c r="U870" s="52"/>
    </row>
    <row r="871" spans="9:21" ht="17.25" customHeight="1" x14ac:dyDescent="0.3">
      <c r="I871" s="45"/>
      <c r="J871" s="45"/>
      <c r="R871" s="45"/>
      <c r="S871" s="51"/>
      <c r="U871" s="52"/>
    </row>
    <row r="872" spans="9:21" ht="17.25" customHeight="1" x14ac:dyDescent="0.3">
      <c r="I872" s="45"/>
      <c r="J872" s="45"/>
      <c r="R872" s="45"/>
      <c r="S872" s="51"/>
      <c r="U872" s="52"/>
    </row>
    <row r="873" spans="9:21" ht="17.25" customHeight="1" x14ac:dyDescent="0.3">
      <c r="I873" s="45"/>
      <c r="J873" s="45"/>
      <c r="R873" s="45"/>
      <c r="S873" s="51"/>
      <c r="U873" s="52"/>
    </row>
    <row r="874" spans="9:21" ht="17.25" customHeight="1" x14ac:dyDescent="0.3">
      <c r="I874" s="45"/>
      <c r="J874" s="45"/>
      <c r="R874" s="45"/>
      <c r="S874" s="51"/>
      <c r="U874" s="52"/>
    </row>
    <row r="875" spans="9:21" ht="17.25" customHeight="1" x14ac:dyDescent="0.3">
      <c r="I875" s="45"/>
      <c r="J875" s="45"/>
      <c r="R875" s="45"/>
      <c r="S875" s="51"/>
      <c r="U875" s="52"/>
    </row>
    <row r="876" spans="9:21" ht="17.25" customHeight="1" x14ac:dyDescent="0.3">
      <c r="I876" s="45"/>
      <c r="J876" s="45"/>
      <c r="R876" s="45"/>
      <c r="S876" s="51"/>
      <c r="U876" s="52"/>
    </row>
    <row r="877" spans="9:21" ht="17.25" customHeight="1" x14ac:dyDescent="0.3">
      <c r="I877" s="45"/>
      <c r="J877" s="45"/>
      <c r="R877" s="45"/>
      <c r="S877" s="51"/>
      <c r="U877" s="52"/>
    </row>
    <row r="878" spans="9:21" ht="17.25" customHeight="1" x14ac:dyDescent="0.3">
      <c r="I878" s="45"/>
      <c r="J878" s="45"/>
      <c r="R878" s="45"/>
      <c r="S878" s="51"/>
      <c r="U878" s="52"/>
    </row>
    <row r="879" spans="9:21" ht="17.25" customHeight="1" x14ac:dyDescent="0.3">
      <c r="I879" s="45"/>
      <c r="J879" s="45"/>
      <c r="R879" s="45"/>
      <c r="S879" s="51"/>
      <c r="U879" s="52"/>
    </row>
    <row r="880" spans="9:21" ht="17.25" customHeight="1" x14ac:dyDescent="0.3">
      <c r="I880" s="45"/>
      <c r="J880" s="45"/>
      <c r="R880" s="45"/>
      <c r="S880" s="51"/>
      <c r="U880" s="52"/>
    </row>
    <row r="881" spans="9:21" ht="17.25" customHeight="1" x14ac:dyDescent="0.3">
      <c r="I881" s="45"/>
      <c r="J881" s="45"/>
      <c r="R881" s="45"/>
      <c r="S881" s="51"/>
      <c r="U881" s="52"/>
    </row>
    <row r="882" spans="9:21" ht="17.25" customHeight="1" x14ac:dyDescent="0.3">
      <c r="I882" s="45"/>
      <c r="J882" s="45"/>
      <c r="R882" s="45"/>
      <c r="S882" s="51"/>
      <c r="U882" s="52"/>
    </row>
    <row r="883" spans="9:21" ht="17.25" customHeight="1" x14ac:dyDescent="0.3">
      <c r="I883" s="45"/>
      <c r="J883" s="45"/>
      <c r="R883" s="45"/>
      <c r="S883" s="51"/>
      <c r="U883" s="52"/>
    </row>
    <row r="884" spans="9:21" ht="17.25" customHeight="1" x14ac:dyDescent="0.3">
      <c r="I884" s="45"/>
      <c r="J884" s="45"/>
      <c r="R884" s="45"/>
      <c r="S884" s="51"/>
      <c r="U884" s="52"/>
    </row>
    <row r="885" spans="9:21" ht="17.25" customHeight="1" x14ac:dyDescent="0.3">
      <c r="I885" s="45"/>
      <c r="J885" s="45"/>
      <c r="R885" s="45"/>
      <c r="S885" s="51"/>
      <c r="U885" s="52"/>
    </row>
    <row r="886" spans="9:21" ht="17.25" customHeight="1" x14ac:dyDescent="0.3">
      <c r="I886" s="45"/>
      <c r="J886" s="45"/>
      <c r="R886" s="45"/>
      <c r="S886" s="51"/>
      <c r="U886" s="52"/>
    </row>
    <row r="887" spans="9:21" ht="17.25" customHeight="1" x14ac:dyDescent="0.3">
      <c r="I887" s="45"/>
      <c r="J887" s="45"/>
      <c r="R887" s="45"/>
      <c r="S887" s="51"/>
      <c r="U887" s="52"/>
    </row>
    <row r="888" spans="9:21" ht="17.25" customHeight="1" x14ac:dyDescent="0.3">
      <c r="I888" s="45"/>
      <c r="J888" s="45"/>
      <c r="R888" s="45"/>
      <c r="S888" s="51"/>
      <c r="U888" s="52"/>
    </row>
    <row r="889" spans="9:21" ht="17.25" customHeight="1" x14ac:dyDescent="0.3">
      <c r="I889" s="45"/>
      <c r="J889" s="45"/>
      <c r="R889" s="45"/>
      <c r="S889" s="51"/>
      <c r="U889" s="52"/>
    </row>
    <row r="890" spans="9:21" ht="17.25" customHeight="1" x14ac:dyDescent="0.3">
      <c r="I890" s="45"/>
      <c r="J890" s="45"/>
      <c r="R890" s="45"/>
      <c r="S890" s="51"/>
      <c r="U890" s="52"/>
    </row>
    <row r="891" spans="9:21" ht="17.25" customHeight="1" x14ac:dyDescent="0.3">
      <c r="I891" s="45"/>
      <c r="J891" s="45"/>
      <c r="R891" s="45"/>
      <c r="S891" s="51"/>
      <c r="U891" s="52"/>
    </row>
    <row r="892" spans="9:21" ht="17.25" customHeight="1" x14ac:dyDescent="0.3">
      <c r="I892" s="45"/>
      <c r="J892" s="45"/>
      <c r="R892" s="45"/>
      <c r="S892" s="51"/>
      <c r="U892" s="52"/>
    </row>
    <row r="893" spans="9:21" ht="17.25" customHeight="1" x14ac:dyDescent="0.3">
      <c r="I893" s="45"/>
      <c r="J893" s="45"/>
      <c r="R893" s="45"/>
      <c r="S893" s="51"/>
      <c r="U893" s="52"/>
    </row>
    <row r="894" spans="9:21" ht="17.25" customHeight="1" x14ac:dyDescent="0.3">
      <c r="I894" s="45"/>
      <c r="J894" s="45"/>
      <c r="R894" s="45"/>
      <c r="S894" s="51"/>
      <c r="U894" s="52"/>
    </row>
    <row r="895" spans="9:21" ht="17.25" customHeight="1" x14ac:dyDescent="0.3">
      <c r="I895" s="45"/>
      <c r="J895" s="45"/>
      <c r="R895" s="45"/>
      <c r="S895" s="51"/>
      <c r="U895" s="52"/>
    </row>
    <row r="896" spans="9:21" ht="17.25" customHeight="1" x14ac:dyDescent="0.3">
      <c r="I896" s="45"/>
      <c r="J896" s="45"/>
      <c r="R896" s="45"/>
      <c r="S896" s="51"/>
      <c r="U896" s="52"/>
    </row>
    <row r="897" spans="9:21" ht="17.25" customHeight="1" x14ac:dyDescent="0.3">
      <c r="I897" s="45"/>
      <c r="J897" s="45"/>
      <c r="R897" s="45"/>
      <c r="S897" s="51"/>
      <c r="U897" s="52"/>
    </row>
    <row r="898" spans="9:21" ht="17.25" customHeight="1" x14ac:dyDescent="0.3">
      <c r="I898" s="45"/>
      <c r="J898" s="45"/>
      <c r="R898" s="45"/>
      <c r="S898" s="51"/>
      <c r="U898" s="52"/>
    </row>
    <row r="899" spans="9:21" ht="17.25" customHeight="1" x14ac:dyDescent="0.3">
      <c r="I899" s="45"/>
      <c r="J899" s="45"/>
      <c r="R899" s="45"/>
      <c r="S899" s="51"/>
      <c r="U899" s="52"/>
    </row>
    <row r="900" spans="9:21" ht="17.25" customHeight="1" x14ac:dyDescent="0.3">
      <c r="I900" s="45"/>
      <c r="J900" s="45"/>
      <c r="R900" s="45"/>
      <c r="S900" s="51"/>
      <c r="U900" s="52"/>
    </row>
    <row r="901" spans="9:21" ht="17.25" customHeight="1" x14ac:dyDescent="0.3">
      <c r="I901" s="45"/>
      <c r="J901" s="45"/>
      <c r="R901" s="45"/>
      <c r="S901" s="51"/>
      <c r="U901" s="52"/>
    </row>
    <row r="902" spans="9:21" ht="17.25" customHeight="1" x14ac:dyDescent="0.3">
      <c r="I902" s="45"/>
      <c r="J902" s="45"/>
      <c r="R902" s="45"/>
      <c r="S902" s="51"/>
      <c r="U902" s="52"/>
    </row>
    <row r="903" spans="9:21" ht="17.25" customHeight="1" x14ac:dyDescent="0.3">
      <c r="I903" s="45"/>
      <c r="J903" s="45"/>
      <c r="R903" s="45"/>
      <c r="S903" s="51"/>
      <c r="U903" s="52"/>
    </row>
    <row r="904" spans="9:21" ht="17.25" customHeight="1" x14ac:dyDescent="0.3">
      <c r="I904" s="45"/>
      <c r="J904" s="45"/>
      <c r="R904" s="45"/>
      <c r="S904" s="51"/>
      <c r="U904" s="52"/>
    </row>
    <row r="905" spans="9:21" ht="17.25" customHeight="1" x14ac:dyDescent="0.3">
      <c r="I905" s="45"/>
      <c r="J905" s="45"/>
      <c r="R905" s="45"/>
      <c r="S905" s="51"/>
      <c r="U905" s="52"/>
    </row>
    <row r="906" spans="9:21" ht="17.25" customHeight="1" x14ac:dyDescent="0.3">
      <c r="I906" s="45"/>
      <c r="J906" s="45"/>
      <c r="R906" s="45"/>
      <c r="S906" s="51"/>
      <c r="U906" s="52"/>
    </row>
    <row r="907" spans="9:21" ht="17.25" customHeight="1" x14ac:dyDescent="0.3">
      <c r="I907" s="45"/>
      <c r="J907" s="45"/>
      <c r="R907" s="45"/>
      <c r="S907" s="51"/>
      <c r="U907" s="52"/>
    </row>
    <row r="908" spans="9:21" ht="17.25" customHeight="1" x14ac:dyDescent="0.3">
      <c r="I908" s="45"/>
      <c r="J908" s="45"/>
      <c r="R908" s="45"/>
      <c r="S908" s="51"/>
      <c r="U908" s="52"/>
    </row>
    <row r="909" spans="9:21" ht="17.25" customHeight="1" x14ac:dyDescent="0.3">
      <c r="I909" s="45"/>
      <c r="J909" s="45"/>
      <c r="R909" s="45"/>
      <c r="S909" s="51"/>
      <c r="U909" s="52"/>
    </row>
    <row r="910" spans="9:21" ht="17.25" customHeight="1" x14ac:dyDescent="0.3">
      <c r="I910" s="45"/>
      <c r="J910" s="45"/>
      <c r="R910" s="45"/>
      <c r="S910" s="51"/>
      <c r="U910" s="52"/>
    </row>
    <row r="911" spans="9:21" ht="17.25" customHeight="1" x14ac:dyDescent="0.3">
      <c r="I911" s="45"/>
      <c r="J911" s="45"/>
      <c r="R911" s="45"/>
      <c r="S911" s="51"/>
      <c r="U911" s="52"/>
    </row>
    <row r="912" spans="9:21" ht="17.25" customHeight="1" x14ac:dyDescent="0.3">
      <c r="I912" s="45"/>
      <c r="J912" s="45"/>
      <c r="R912" s="45"/>
      <c r="S912" s="51"/>
      <c r="U912" s="52"/>
    </row>
    <row r="913" spans="9:21" ht="17.25" customHeight="1" x14ac:dyDescent="0.3">
      <c r="I913" s="45"/>
      <c r="J913" s="45"/>
      <c r="R913" s="45"/>
      <c r="S913" s="51"/>
      <c r="U913" s="52"/>
    </row>
    <row r="914" spans="9:21" ht="17.25" customHeight="1" x14ac:dyDescent="0.3">
      <c r="I914" s="45"/>
      <c r="J914" s="45"/>
      <c r="R914" s="45"/>
      <c r="S914" s="51"/>
      <c r="U914" s="52"/>
    </row>
    <row r="915" spans="9:21" ht="17.25" customHeight="1" x14ac:dyDescent="0.3">
      <c r="I915" s="45"/>
      <c r="J915" s="45"/>
      <c r="R915" s="45"/>
      <c r="S915" s="51"/>
      <c r="U915" s="52"/>
    </row>
    <row r="916" spans="9:21" ht="17.25" customHeight="1" x14ac:dyDescent="0.3">
      <c r="I916" s="45"/>
      <c r="J916" s="45"/>
      <c r="R916" s="45"/>
      <c r="S916" s="51"/>
      <c r="U916" s="52"/>
    </row>
    <row r="917" spans="9:21" ht="17.25" customHeight="1" x14ac:dyDescent="0.3">
      <c r="I917" s="45"/>
      <c r="J917" s="45"/>
      <c r="R917" s="45"/>
      <c r="S917" s="51"/>
      <c r="U917" s="52"/>
    </row>
    <row r="918" spans="9:21" ht="17.25" customHeight="1" x14ac:dyDescent="0.3">
      <c r="I918" s="45"/>
      <c r="J918" s="45"/>
      <c r="R918" s="45"/>
      <c r="S918" s="51"/>
      <c r="U918" s="52"/>
    </row>
    <row r="919" spans="9:21" ht="17.25" customHeight="1" x14ac:dyDescent="0.3">
      <c r="I919" s="45"/>
      <c r="J919" s="45"/>
      <c r="R919" s="45"/>
      <c r="S919" s="51"/>
      <c r="U919" s="52"/>
    </row>
    <row r="920" spans="9:21" ht="17.25" customHeight="1" x14ac:dyDescent="0.3">
      <c r="I920" s="45"/>
      <c r="J920" s="45"/>
      <c r="R920" s="45"/>
      <c r="S920" s="51"/>
      <c r="U920" s="52"/>
    </row>
    <row r="921" spans="9:21" ht="17.25" customHeight="1" x14ac:dyDescent="0.3">
      <c r="I921" s="45"/>
      <c r="J921" s="45"/>
      <c r="R921" s="45"/>
      <c r="S921" s="51"/>
      <c r="U921" s="52"/>
    </row>
    <row r="922" spans="9:21" ht="17.25" customHeight="1" x14ac:dyDescent="0.3">
      <c r="I922" s="45"/>
      <c r="J922" s="45"/>
      <c r="R922" s="45"/>
      <c r="S922" s="51"/>
      <c r="U922" s="52"/>
    </row>
    <row r="923" spans="9:21" ht="17.25" customHeight="1" x14ac:dyDescent="0.3">
      <c r="I923" s="45"/>
      <c r="J923" s="45"/>
      <c r="R923" s="45"/>
      <c r="S923" s="51"/>
      <c r="U923" s="52"/>
    </row>
    <row r="924" spans="9:21" ht="17.25" customHeight="1" x14ac:dyDescent="0.3">
      <c r="I924" s="45"/>
      <c r="J924" s="45"/>
      <c r="R924" s="45"/>
      <c r="S924" s="51"/>
      <c r="U924" s="52"/>
    </row>
    <row r="925" spans="9:21" ht="17.25" customHeight="1" x14ac:dyDescent="0.3">
      <c r="I925" s="45"/>
      <c r="J925" s="45"/>
      <c r="R925" s="45"/>
      <c r="S925" s="51"/>
      <c r="U925" s="52"/>
    </row>
    <row r="926" spans="9:21" ht="17.25" customHeight="1" x14ac:dyDescent="0.3">
      <c r="I926" s="45"/>
      <c r="J926" s="45"/>
      <c r="R926" s="45"/>
      <c r="S926" s="51"/>
      <c r="U926" s="52"/>
    </row>
    <row r="927" spans="9:21" ht="17.25" customHeight="1" x14ac:dyDescent="0.3">
      <c r="I927" s="45"/>
      <c r="J927" s="45"/>
      <c r="R927" s="45"/>
      <c r="S927" s="51"/>
      <c r="U927" s="52"/>
    </row>
    <row r="928" spans="9:21" ht="17.25" customHeight="1" x14ac:dyDescent="0.3">
      <c r="I928" s="45"/>
      <c r="J928" s="45"/>
      <c r="R928" s="45"/>
      <c r="S928" s="51"/>
      <c r="U928" s="52"/>
    </row>
    <row r="929" spans="9:21" ht="17.25" customHeight="1" x14ac:dyDescent="0.3">
      <c r="I929" s="45"/>
      <c r="J929" s="45"/>
      <c r="R929" s="45"/>
      <c r="S929" s="51"/>
      <c r="U929" s="52"/>
    </row>
    <row r="930" spans="9:21" ht="17.25" customHeight="1" x14ac:dyDescent="0.3">
      <c r="I930" s="45"/>
      <c r="J930" s="45"/>
      <c r="R930" s="45"/>
      <c r="S930" s="51"/>
      <c r="U930" s="52"/>
    </row>
    <row r="931" spans="9:21" ht="17.25" customHeight="1" x14ac:dyDescent="0.3">
      <c r="I931" s="45"/>
      <c r="J931" s="45"/>
      <c r="R931" s="45"/>
      <c r="S931" s="51"/>
      <c r="U931" s="52"/>
    </row>
    <row r="932" spans="9:21" ht="17.25" customHeight="1" x14ac:dyDescent="0.3">
      <c r="I932" s="45"/>
      <c r="J932" s="45"/>
      <c r="R932" s="45"/>
      <c r="S932" s="51"/>
      <c r="U932" s="52"/>
    </row>
    <row r="933" spans="9:21" ht="17.25" customHeight="1" x14ac:dyDescent="0.3">
      <c r="I933" s="45"/>
      <c r="J933" s="45"/>
      <c r="R933" s="45"/>
      <c r="S933" s="51"/>
      <c r="U933" s="52"/>
    </row>
    <row r="934" spans="9:21" ht="17.25" customHeight="1" x14ac:dyDescent="0.3">
      <c r="I934" s="45"/>
      <c r="J934" s="45"/>
      <c r="R934" s="45"/>
      <c r="S934" s="51"/>
      <c r="U934" s="52"/>
    </row>
    <row r="935" spans="9:21" ht="17.25" customHeight="1" x14ac:dyDescent="0.3">
      <c r="I935" s="45"/>
      <c r="J935" s="45"/>
      <c r="R935" s="45"/>
      <c r="S935" s="51"/>
      <c r="U935" s="52"/>
    </row>
    <row r="936" spans="9:21" ht="17.25" customHeight="1" x14ac:dyDescent="0.3">
      <c r="I936" s="45"/>
      <c r="J936" s="45"/>
      <c r="R936" s="45"/>
      <c r="S936" s="51"/>
      <c r="U936" s="52"/>
    </row>
    <row r="937" spans="9:21" ht="17.25" customHeight="1" x14ac:dyDescent="0.3">
      <c r="I937" s="45"/>
      <c r="J937" s="45"/>
      <c r="R937" s="45"/>
      <c r="S937" s="51"/>
      <c r="U937" s="52"/>
    </row>
    <row r="938" spans="9:21" ht="17.25" customHeight="1" x14ac:dyDescent="0.3">
      <c r="I938" s="45"/>
      <c r="J938" s="45"/>
      <c r="R938" s="45"/>
      <c r="S938" s="51"/>
      <c r="U938" s="52"/>
    </row>
    <row r="939" spans="9:21" ht="17.25" customHeight="1" x14ac:dyDescent="0.3">
      <c r="I939" s="45"/>
      <c r="J939" s="45"/>
      <c r="R939" s="45"/>
      <c r="S939" s="51"/>
      <c r="U939" s="52"/>
    </row>
    <row r="940" spans="9:21" ht="17.25" customHeight="1" x14ac:dyDescent="0.3">
      <c r="I940" s="45"/>
      <c r="J940" s="45"/>
      <c r="R940" s="45"/>
      <c r="S940" s="51"/>
      <c r="U940" s="52"/>
    </row>
    <row r="941" spans="9:21" ht="17.25" customHeight="1" x14ac:dyDescent="0.3">
      <c r="I941" s="45"/>
      <c r="J941" s="45"/>
      <c r="R941" s="45"/>
      <c r="S941" s="51"/>
      <c r="U941" s="52"/>
    </row>
    <row r="942" spans="9:21" ht="17.25" customHeight="1" x14ac:dyDescent="0.3">
      <c r="I942" s="45"/>
      <c r="J942" s="45"/>
      <c r="R942" s="45"/>
      <c r="S942" s="51"/>
      <c r="U942" s="52"/>
    </row>
    <row r="943" spans="9:21" ht="17.25" customHeight="1" x14ac:dyDescent="0.3">
      <c r="I943" s="45"/>
      <c r="J943" s="45"/>
      <c r="R943" s="45"/>
      <c r="S943" s="51"/>
      <c r="U943" s="52"/>
    </row>
    <row r="944" spans="9:21" ht="17.25" customHeight="1" x14ac:dyDescent="0.3">
      <c r="I944" s="45"/>
      <c r="J944" s="45"/>
      <c r="R944" s="45"/>
      <c r="S944" s="51"/>
      <c r="U944" s="52"/>
    </row>
    <row r="945" spans="9:21" ht="17.25" customHeight="1" x14ac:dyDescent="0.3">
      <c r="I945" s="45"/>
      <c r="J945" s="45"/>
      <c r="R945" s="45"/>
      <c r="S945" s="51"/>
      <c r="U945" s="52"/>
    </row>
    <row r="946" spans="9:21" ht="17.25" customHeight="1" x14ac:dyDescent="0.3">
      <c r="I946" s="45"/>
      <c r="J946" s="45"/>
      <c r="R946" s="45"/>
      <c r="S946" s="51"/>
      <c r="U946" s="52"/>
    </row>
    <row r="947" spans="9:21" ht="17.25" customHeight="1" x14ac:dyDescent="0.3">
      <c r="I947" s="45"/>
      <c r="J947" s="45"/>
      <c r="R947" s="45"/>
      <c r="S947" s="51"/>
      <c r="U947" s="52"/>
    </row>
    <row r="948" spans="9:21" ht="17.25" customHeight="1" x14ac:dyDescent="0.3">
      <c r="I948" s="45"/>
      <c r="J948" s="45"/>
      <c r="R948" s="45"/>
      <c r="S948" s="51"/>
      <c r="U948" s="52"/>
    </row>
    <row r="949" spans="9:21" ht="17.25" customHeight="1" x14ac:dyDescent="0.3">
      <c r="I949" s="45"/>
      <c r="J949" s="45"/>
      <c r="R949" s="45"/>
      <c r="S949" s="51"/>
      <c r="U949" s="52"/>
    </row>
  </sheetData>
  <conditionalFormatting sqref="G1">
    <cfRule type="cellIs" dxfId="0" priority="1" operator="equal">
      <formula>"A.A"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993"/>
  <sheetViews>
    <sheetView workbookViewId="0"/>
  </sheetViews>
  <sheetFormatPr baseColWidth="10" defaultColWidth="14.44140625" defaultRowHeight="15" customHeight="1" x14ac:dyDescent="0.3"/>
  <cols>
    <col min="1" max="1" width="35.109375" customWidth="1"/>
  </cols>
  <sheetData>
    <row r="1" spans="1:4" ht="15" customHeight="1" x14ac:dyDescent="0.35">
      <c r="A1" s="55" t="s">
        <v>1323</v>
      </c>
      <c r="B1" s="56" t="s">
        <v>1324</v>
      </c>
      <c r="C1" s="57"/>
      <c r="D1" s="58"/>
    </row>
    <row r="2" spans="1:4" ht="15" customHeight="1" x14ac:dyDescent="0.35">
      <c r="A2" s="59" t="s">
        <v>1325</v>
      </c>
      <c r="B2" s="60" t="s">
        <v>1326</v>
      </c>
      <c r="C2" s="57"/>
    </row>
    <row r="3" spans="1:4" ht="15" customHeight="1" x14ac:dyDescent="0.35">
      <c r="A3" s="61" t="s">
        <v>1327</v>
      </c>
      <c r="B3" s="60" t="s">
        <v>1328</v>
      </c>
      <c r="C3" s="57"/>
    </row>
    <row r="4" spans="1:4" ht="15" customHeight="1" x14ac:dyDescent="0.35">
      <c r="A4" s="59" t="s">
        <v>1329</v>
      </c>
      <c r="B4" s="60" t="s">
        <v>1330</v>
      </c>
      <c r="C4" s="57"/>
    </row>
    <row r="5" spans="1:4" ht="15" customHeight="1" x14ac:dyDescent="0.35">
      <c r="A5" s="59" t="s">
        <v>1331</v>
      </c>
      <c r="B5" s="60" t="s">
        <v>1332</v>
      </c>
      <c r="C5" s="57"/>
    </row>
    <row r="6" spans="1:4" ht="15" customHeight="1" x14ac:dyDescent="0.35">
      <c r="A6" s="61" t="s">
        <v>1333</v>
      </c>
      <c r="B6" s="60" t="s">
        <v>1334</v>
      </c>
      <c r="C6" s="57"/>
    </row>
    <row r="7" spans="1:4" ht="15" customHeight="1" x14ac:dyDescent="0.35">
      <c r="A7" s="61" t="s">
        <v>1335</v>
      </c>
      <c r="B7" s="60" t="s">
        <v>1336</v>
      </c>
      <c r="C7" s="57"/>
    </row>
    <row r="8" spans="1:4" ht="15" customHeight="1" x14ac:dyDescent="0.35">
      <c r="A8" s="61" t="s">
        <v>1337</v>
      </c>
      <c r="B8" s="60" t="s">
        <v>1338</v>
      </c>
      <c r="C8" s="57"/>
    </row>
    <row r="9" spans="1:4" ht="15" customHeight="1" x14ac:dyDescent="0.35">
      <c r="A9" s="61" t="s">
        <v>1339</v>
      </c>
      <c r="B9" s="60" t="s">
        <v>1340</v>
      </c>
      <c r="C9" s="57"/>
    </row>
    <row r="10" spans="1:4" ht="15" customHeight="1" x14ac:dyDescent="0.35">
      <c r="A10" s="62" t="s">
        <v>1341</v>
      </c>
      <c r="B10" s="60" t="s">
        <v>1342</v>
      </c>
      <c r="C10" s="57"/>
    </row>
    <row r="11" spans="1:4" ht="15" customHeight="1" x14ac:dyDescent="0.35">
      <c r="A11" s="61" t="s">
        <v>1343</v>
      </c>
      <c r="B11" s="60" t="s">
        <v>1344</v>
      </c>
      <c r="C11" s="57"/>
    </row>
    <row r="12" spans="1:4" ht="15" customHeight="1" x14ac:dyDescent="0.35">
      <c r="A12" s="61" t="s">
        <v>1345</v>
      </c>
      <c r="B12" s="60" t="s">
        <v>1346</v>
      </c>
      <c r="C12" s="57"/>
    </row>
    <row r="13" spans="1:4" ht="15" customHeight="1" x14ac:dyDescent="0.35">
      <c r="A13" s="61" t="s">
        <v>1347</v>
      </c>
      <c r="B13" s="60" t="s">
        <v>1348</v>
      </c>
      <c r="C13" s="57"/>
    </row>
    <row r="14" spans="1:4" ht="15" customHeight="1" x14ac:dyDescent="0.35">
      <c r="A14" s="61" t="s">
        <v>1349</v>
      </c>
      <c r="B14" s="60" t="s">
        <v>1350</v>
      </c>
      <c r="C14" s="57"/>
    </row>
    <row r="15" spans="1:4" ht="15" customHeight="1" x14ac:dyDescent="0.35">
      <c r="A15" s="61" t="s">
        <v>1351</v>
      </c>
      <c r="B15" s="60" t="s">
        <v>1352</v>
      </c>
      <c r="C15" s="57"/>
    </row>
    <row r="16" spans="1:4" ht="15" customHeight="1" x14ac:dyDescent="0.35">
      <c r="A16" s="61" t="s">
        <v>1353</v>
      </c>
      <c r="B16" s="60" t="s">
        <v>1354</v>
      </c>
      <c r="C16" s="57"/>
    </row>
    <row r="17" spans="1:3" ht="15" customHeight="1" x14ac:dyDescent="0.35">
      <c r="A17" s="61" t="s">
        <v>1355</v>
      </c>
      <c r="B17" s="60" t="s">
        <v>1356</v>
      </c>
      <c r="C17" s="57"/>
    </row>
    <row r="18" spans="1:3" ht="15" customHeight="1" x14ac:dyDescent="0.35">
      <c r="A18" s="61" t="s">
        <v>1357</v>
      </c>
      <c r="B18" s="60" t="s">
        <v>1358</v>
      </c>
      <c r="C18" s="57"/>
    </row>
    <row r="19" spans="1:3" ht="15" customHeight="1" x14ac:dyDescent="0.35">
      <c r="A19" s="61" t="s">
        <v>1359</v>
      </c>
      <c r="B19" s="60" t="s">
        <v>1360</v>
      </c>
      <c r="C19" s="57"/>
    </row>
    <row r="20" spans="1:3" ht="15" customHeight="1" x14ac:dyDescent="0.35">
      <c r="A20" s="61" t="s">
        <v>1361</v>
      </c>
      <c r="B20" s="60" t="s">
        <v>1362</v>
      </c>
      <c r="C20" s="57"/>
    </row>
    <row r="21" spans="1:3" ht="15" customHeight="1" x14ac:dyDescent="0.35">
      <c r="A21" s="62" t="s">
        <v>1363</v>
      </c>
      <c r="B21" s="60" t="s">
        <v>1364</v>
      </c>
      <c r="C21" s="57"/>
    </row>
    <row r="22" spans="1:3" ht="15" customHeight="1" x14ac:dyDescent="0.35">
      <c r="A22" s="62" t="s">
        <v>1365</v>
      </c>
      <c r="B22" s="60" t="s">
        <v>1366</v>
      </c>
      <c r="C22" s="57"/>
    </row>
    <row r="23" spans="1:3" ht="15" customHeight="1" x14ac:dyDescent="0.35">
      <c r="A23" s="62" t="s">
        <v>1367</v>
      </c>
      <c r="B23" s="63" t="s">
        <v>1368</v>
      </c>
      <c r="C23" s="57"/>
    </row>
    <row r="24" spans="1:3" ht="15" customHeight="1" x14ac:dyDescent="0.35">
      <c r="A24" s="62" t="s">
        <v>1369</v>
      </c>
      <c r="B24" s="63" t="s">
        <v>1370</v>
      </c>
      <c r="C24" s="57"/>
    </row>
    <row r="25" spans="1:3" ht="15" customHeight="1" x14ac:dyDescent="0.35">
      <c r="A25" s="62" t="s">
        <v>1371</v>
      </c>
      <c r="B25" s="63" t="s">
        <v>1372</v>
      </c>
      <c r="C25" s="57"/>
    </row>
    <row r="26" spans="1:3" ht="15" customHeight="1" x14ac:dyDescent="0.35">
      <c r="A26" s="62" t="s">
        <v>1373</v>
      </c>
      <c r="B26" s="63" t="s">
        <v>1373</v>
      </c>
      <c r="C26" s="57"/>
    </row>
    <row r="27" spans="1:3" ht="15" customHeight="1" x14ac:dyDescent="0.35">
      <c r="A27" s="61"/>
      <c r="B27" s="63"/>
    </row>
    <row r="28" spans="1:3" ht="15" customHeight="1" x14ac:dyDescent="0.35">
      <c r="A28" s="61"/>
      <c r="B28" s="63"/>
    </row>
    <row r="29" spans="1:3" ht="18" x14ac:dyDescent="0.35">
      <c r="A29" s="61"/>
      <c r="B29" s="63"/>
    </row>
    <row r="30" spans="1:3" ht="18" x14ac:dyDescent="0.35">
      <c r="A30" s="61"/>
      <c r="B30" s="63"/>
    </row>
    <row r="31" spans="1:3" ht="18" x14ac:dyDescent="0.35">
      <c r="A31" s="61"/>
      <c r="B31" s="63"/>
    </row>
    <row r="32" spans="1:3" ht="18" x14ac:dyDescent="0.35">
      <c r="A32" s="59"/>
      <c r="B32" s="63"/>
    </row>
    <row r="33" spans="1:2" ht="18" x14ac:dyDescent="0.35">
      <c r="A33" s="59"/>
      <c r="B33" s="63"/>
    </row>
    <row r="34" spans="1:2" ht="18" x14ac:dyDescent="0.35">
      <c r="A34" s="59"/>
      <c r="B34" s="63"/>
    </row>
    <row r="35" spans="1:2" ht="18" x14ac:dyDescent="0.35">
      <c r="A35" s="59"/>
      <c r="B35" s="63"/>
    </row>
    <row r="36" spans="1:2" ht="18" x14ac:dyDescent="0.35">
      <c r="A36" s="59"/>
      <c r="B36" s="63"/>
    </row>
    <row r="37" spans="1:2" ht="18" x14ac:dyDescent="0.35">
      <c r="A37" s="59"/>
      <c r="B37" s="63"/>
    </row>
    <row r="38" spans="1:2" ht="18" x14ac:dyDescent="0.35">
      <c r="A38" s="59"/>
      <c r="B38" s="63"/>
    </row>
    <row r="39" spans="1:2" ht="18" x14ac:dyDescent="0.35">
      <c r="A39" s="59"/>
      <c r="B39" s="63"/>
    </row>
    <row r="40" spans="1:2" ht="18" x14ac:dyDescent="0.35">
      <c r="A40" s="59"/>
      <c r="B40" s="63"/>
    </row>
    <row r="41" spans="1:2" ht="18" x14ac:dyDescent="0.35">
      <c r="A41" s="59"/>
      <c r="B41" s="63"/>
    </row>
    <row r="42" spans="1:2" ht="18" x14ac:dyDescent="0.35">
      <c r="A42" s="59"/>
      <c r="B42" s="63"/>
    </row>
    <row r="43" spans="1:2" ht="18" x14ac:dyDescent="0.35">
      <c r="A43" s="59"/>
      <c r="B43" s="63"/>
    </row>
    <row r="44" spans="1:2" ht="18" x14ac:dyDescent="0.35">
      <c r="A44" s="59"/>
      <c r="B44" s="63"/>
    </row>
    <row r="45" spans="1:2" ht="18" x14ac:dyDescent="0.35">
      <c r="A45" s="59"/>
      <c r="B45" s="63"/>
    </row>
    <row r="46" spans="1:2" ht="18" x14ac:dyDescent="0.35">
      <c r="A46" s="59"/>
      <c r="B46" s="63"/>
    </row>
    <row r="47" spans="1:2" ht="18" x14ac:dyDescent="0.35">
      <c r="A47" s="59"/>
      <c r="B47" s="63"/>
    </row>
    <row r="48" spans="1:2" ht="18" x14ac:dyDescent="0.35">
      <c r="A48" s="59"/>
      <c r="B48" s="63"/>
    </row>
    <row r="49" spans="1:2" ht="18" x14ac:dyDescent="0.35">
      <c r="A49" s="59"/>
      <c r="B49" s="63"/>
    </row>
    <row r="50" spans="1:2" ht="18" x14ac:dyDescent="0.35">
      <c r="A50" s="59"/>
      <c r="B50" s="63"/>
    </row>
    <row r="51" spans="1:2" ht="18" x14ac:dyDescent="0.35">
      <c r="A51" s="59"/>
      <c r="B51" s="63"/>
    </row>
    <row r="52" spans="1:2" ht="18" x14ac:dyDescent="0.35">
      <c r="A52" s="59"/>
      <c r="B52" s="63"/>
    </row>
    <row r="53" spans="1:2" ht="18" x14ac:dyDescent="0.35">
      <c r="A53" s="59"/>
      <c r="B53" s="63"/>
    </row>
    <row r="54" spans="1:2" ht="18" x14ac:dyDescent="0.35">
      <c r="A54" s="59"/>
      <c r="B54" s="63"/>
    </row>
    <row r="55" spans="1:2" ht="18" x14ac:dyDescent="0.35">
      <c r="A55" s="59"/>
      <c r="B55" s="63"/>
    </row>
    <row r="56" spans="1:2" ht="18" x14ac:dyDescent="0.35">
      <c r="A56" s="59"/>
      <c r="B56" s="63"/>
    </row>
    <row r="57" spans="1:2" ht="18" x14ac:dyDescent="0.35">
      <c r="A57" s="59"/>
      <c r="B57" s="63"/>
    </row>
    <row r="58" spans="1:2" ht="18" x14ac:dyDescent="0.35">
      <c r="A58" s="59"/>
      <c r="B58" s="63"/>
    </row>
    <row r="59" spans="1:2" ht="18" x14ac:dyDescent="0.35">
      <c r="A59" s="59"/>
      <c r="B59" s="63"/>
    </row>
    <row r="60" spans="1:2" ht="18" x14ac:dyDescent="0.35">
      <c r="A60" s="59"/>
      <c r="B60" s="63"/>
    </row>
    <row r="61" spans="1:2" ht="18" x14ac:dyDescent="0.35">
      <c r="A61" s="59"/>
      <c r="B61" s="63"/>
    </row>
    <row r="62" spans="1:2" ht="18" x14ac:dyDescent="0.35">
      <c r="A62" s="59"/>
      <c r="B62" s="63"/>
    </row>
    <row r="63" spans="1:2" ht="18" x14ac:dyDescent="0.35">
      <c r="A63" s="59"/>
      <c r="B63" s="63"/>
    </row>
    <row r="64" spans="1:2" ht="18" x14ac:dyDescent="0.35">
      <c r="A64" s="59"/>
      <c r="B64" s="63"/>
    </row>
    <row r="65" spans="1:2" ht="18" x14ac:dyDescent="0.35">
      <c r="A65" s="59"/>
      <c r="B65" s="63"/>
    </row>
    <row r="66" spans="1:2" ht="18" x14ac:dyDescent="0.35">
      <c r="A66" s="59"/>
      <c r="B66" s="63"/>
    </row>
    <row r="67" spans="1:2" ht="18" x14ac:dyDescent="0.35">
      <c r="A67" s="59"/>
      <c r="B67" s="63"/>
    </row>
    <row r="68" spans="1:2" ht="18" x14ac:dyDescent="0.35">
      <c r="A68" s="59"/>
      <c r="B68" s="63"/>
    </row>
    <row r="69" spans="1:2" ht="18" x14ac:dyDescent="0.35">
      <c r="A69" s="59"/>
      <c r="B69" s="63"/>
    </row>
    <row r="70" spans="1:2" ht="18" x14ac:dyDescent="0.35">
      <c r="A70" s="59"/>
      <c r="B70" s="63"/>
    </row>
    <row r="71" spans="1:2" ht="18" x14ac:dyDescent="0.35">
      <c r="A71" s="59"/>
      <c r="B71" s="63"/>
    </row>
    <row r="72" spans="1:2" ht="18" x14ac:dyDescent="0.35">
      <c r="A72" s="59"/>
      <c r="B72" s="63"/>
    </row>
    <row r="73" spans="1:2" ht="18" x14ac:dyDescent="0.35">
      <c r="A73" s="59"/>
      <c r="B73" s="63"/>
    </row>
    <row r="74" spans="1:2" ht="18" x14ac:dyDescent="0.35">
      <c r="A74" s="59"/>
      <c r="B74" s="63"/>
    </row>
    <row r="75" spans="1:2" ht="18" x14ac:dyDescent="0.35">
      <c r="A75" s="59"/>
      <c r="B75" s="63"/>
    </row>
    <row r="76" spans="1:2" ht="18" x14ac:dyDescent="0.35">
      <c r="A76" s="59"/>
      <c r="B76" s="63"/>
    </row>
    <row r="77" spans="1:2" ht="18" x14ac:dyDescent="0.35">
      <c r="A77" s="59"/>
      <c r="B77" s="63"/>
    </row>
    <row r="78" spans="1:2" ht="18" x14ac:dyDescent="0.35">
      <c r="A78" s="59"/>
      <c r="B78" s="63"/>
    </row>
    <row r="79" spans="1:2" ht="18" x14ac:dyDescent="0.35">
      <c r="A79" s="59"/>
      <c r="B79" s="63"/>
    </row>
    <row r="80" spans="1:2" ht="18" x14ac:dyDescent="0.35">
      <c r="A80" s="59"/>
      <c r="B80" s="63"/>
    </row>
    <row r="81" spans="1:2" ht="18" x14ac:dyDescent="0.35">
      <c r="A81" s="59"/>
      <c r="B81" s="63"/>
    </row>
    <row r="82" spans="1:2" ht="18" x14ac:dyDescent="0.35">
      <c r="A82" s="59"/>
      <c r="B82" s="63"/>
    </row>
    <row r="83" spans="1:2" ht="18" x14ac:dyDescent="0.35">
      <c r="A83" s="59"/>
      <c r="B83" s="63"/>
    </row>
    <row r="84" spans="1:2" ht="18" x14ac:dyDescent="0.35">
      <c r="A84" s="59"/>
      <c r="B84" s="63"/>
    </row>
    <row r="85" spans="1:2" ht="18" x14ac:dyDescent="0.35">
      <c r="A85" s="59"/>
      <c r="B85" s="63"/>
    </row>
    <row r="86" spans="1:2" ht="18" x14ac:dyDescent="0.35">
      <c r="A86" s="59"/>
      <c r="B86" s="63"/>
    </row>
    <row r="87" spans="1:2" ht="18" x14ac:dyDescent="0.35">
      <c r="A87" s="59"/>
      <c r="B87" s="63"/>
    </row>
    <row r="88" spans="1:2" ht="18" x14ac:dyDescent="0.35">
      <c r="A88" s="59"/>
      <c r="B88" s="63"/>
    </row>
    <row r="89" spans="1:2" ht="18" x14ac:dyDescent="0.35">
      <c r="A89" s="59"/>
      <c r="B89" s="63"/>
    </row>
    <row r="90" spans="1:2" ht="18" x14ac:dyDescent="0.35">
      <c r="A90" s="59"/>
      <c r="B90" s="63"/>
    </row>
    <row r="91" spans="1:2" ht="18" x14ac:dyDescent="0.35">
      <c r="A91" s="59"/>
      <c r="B91" s="63"/>
    </row>
    <row r="92" spans="1:2" ht="18" x14ac:dyDescent="0.35">
      <c r="A92" s="59"/>
      <c r="B92" s="63"/>
    </row>
    <row r="93" spans="1:2" ht="18" x14ac:dyDescent="0.35">
      <c r="A93" s="59"/>
      <c r="B93" s="63"/>
    </row>
    <row r="94" spans="1:2" ht="18" x14ac:dyDescent="0.35">
      <c r="A94" s="59"/>
      <c r="B94" s="63"/>
    </row>
    <row r="95" spans="1:2" ht="18" x14ac:dyDescent="0.35">
      <c r="A95" s="59"/>
      <c r="B95" s="63"/>
    </row>
    <row r="96" spans="1:2" ht="18" x14ac:dyDescent="0.35">
      <c r="A96" s="59"/>
      <c r="B96" s="63"/>
    </row>
    <row r="97" spans="1:2" ht="18" x14ac:dyDescent="0.35">
      <c r="A97" s="59"/>
      <c r="B97" s="63"/>
    </row>
    <row r="98" spans="1:2" ht="18" x14ac:dyDescent="0.35">
      <c r="A98" s="59"/>
      <c r="B98" s="63"/>
    </row>
    <row r="99" spans="1:2" ht="18" x14ac:dyDescent="0.35">
      <c r="A99" s="59"/>
      <c r="B99" s="63"/>
    </row>
    <row r="100" spans="1:2" ht="18" x14ac:dyDescent="0.35">
      <c r="A100" s="59"/>
      <c r="B100" s="63"/>
    </row>
    <row r="101" spans="1:2" ht="18" x14ac:dyDescent="0.35">
      <c r="A101" s="59"/>
      <c r="B101" s="63"/>
    </row>
    <row r="102" spans="1:2" ht="18" x14ac:dyDescent="0.35">
      <c r="A102" s="59"/>
      <c r="B102" s="63"/>
    </row>
    <row r="103" spans="1:2" ht="18" x14ac:dyDescent="0.35">
      <c r="A103" s="59"/>
      <c r="B103" s="63"/>
    </row>
    <row r="104" spans="1:2" ht="18" x14ac:dyDescent="0.35">
      <c r="A104" s="59"/>
      <c r="B104" s="63"/>
    </row>
    <row r="105" spans="1:2" ht="18" x14ac:dyDescent="0.35">
      <c r="A105" s="59"/>
      <c r="B105" s="63"/>
    </row>
    <row r="106" spans="1:2" ht="18" x14ac:dyDescent="0.35">
      <c r="A106" s="59"/>
      <c r="B106" s="63"/>
    </row>
    <row r="107" spans="1:2" ht="18" x14ac:dyDescent="0.35">
      <c r="A107" s="59"/>
      <c r="B107" s="63"/>
    </row>
    <row r="108" spans="1:2" ht="18" x14ac:dyDescent="0.35">
      <c r="A108" s="59"/>
      <c r="B108" s="63"/>
    </row>
    <row r="109" spans="1:2" ht="18" x14ac:dyDescent="0.35">
      <c r="A109" s="59"/>
      <c r="B109" s="63"/>
    </row>
    <row r="110" spans="1:2" ht="18" x14ac:dyDescent="0.35">
      <c r="A110" s="59"/>
      <c r="B110" s="63"/>
    </row>
    <row r="111" spans="1:2" ht="18" x14ac:dyDescent="0.35">
      <c r="A111" s="59"/>
      <c r="B111" s="63"/>
    </row>
    <row r="112" spans="1:2" ht="18" x14ac:dyDescent="0.35">
      <c r="A112" s="59"/>
      <c r="B112" s="63"/>
    </row>
    <row r="113" spans="1:2" ht="18" x14ac:dyDescent="0.35">
      <c r="A113" s="59"/>
      <c r="B113" s="63"/>
    </row>
    <row r="114" spans="1:2" ht="18" x14ac:dyDescent="0.35">
      <c r="A114" s="59"/>
      <c r="B114" s="63"/>
    </row>
    <row r="115" spans="1:2" ht="18" x14ac:dyDescent="0.35">
      <c r="A115" s="59"/>
      <c r="B115" s="63"/>
    </row>
    <row r="116" spans="1:2" ht="18" x14ac:dyDescent="0.35">
      <c r="A116" s="59"/>
      <c r="B116" s="63"/>
    </row>
    <row r="117" spans="1:2" ht="18" x14ac:dyDescent="0.35">
      <c r="A117" s="59"/>
      <c r="B117" s="63"/>
    </row>
    <row r="118" spans="1:2" ht="18" x14ac:dyDescent="0.35">
      <c r="A118" s="59"/>
      <c r="B118" s="63"/>
    </row>
    <row r="119" spans="1:2" ht="18" x14ac:dyDescent="0.35">
      <c r="A119" s="59"/>
      <c r="B119" s="63"/>
    </row>
    <row r="120" spans="1:2" ht="18" x14ac:dyDescent="0.35">
      <c r="A120" s="59"/>
      <c r="B120" s="63"/>
    </row>
    <row r="121" spans="1:2" ht="18" x14ac:dyDescent="0.35">
      <c r="A121" s="59"/>
      <c r="B121" s="63"/>
    </row>
    <row r="122" spans="1:2" ht="18" x14ac:dyDescent="0.35">
      <c r="A122" s="59"/>
      <c r="B122" s="63"/>
    </row>
    <row r="123" spans="1:2" ht="18" x14ac:dyDescent="0.35">
      <c r="A123" s="59"/>
      <c r="B123" s="63"/>
    </row>
    <row r="124" spans="1:2" ht="18" x14ac:dyDescent="0.35">
      <c r="A124" s="59"/>
      <c r="B124" s="63"/>
    </row>
    <row r="125" spans="1:2" ht="18" x14ac:dyDescent="0.35">
      <c r="A125" s="59"/>
      <c r="B125" s="63"/>
    </row>
    <row r="126" spans="1:2" ht="18" x14ac:dyDescent="0.35">
      <c r="A126" s="59"/>
      <c r="B126" s="63"/>
    </row>
    <row r="127" spans="1:2" ht="18" x14ac:dyDescent="0.35">
      <c r="A127" s="59"/>
      <c r="B127" s="63"/>
    </row>
    <row r="128" spans="1:2" ht="18" x14ac:dyDescent="0.35">
      <c r="A128" s="59"/>
      <c r="B128" s="63"/>
    </row>
    <row r="129" spans="1:2" ht="18" x14ac:dyDescent="0.35">
      <c r="A129" s="59"/>
      <c r="B129" s="63"/>
    </row>
    <row r="130" spans="1:2" ht="18" x14ac:dyDescent="0.35">
      <c r="A130" s="59"/>
      <c r="B130" s="63"/>
    </row>
    <row r="131" spans="1:2" ht="18" x14ac:dyDescent="0.35">
      <c r="A131" s="59"/>
      <c r="B131" s="63"/>
    </row>
    <row r="132" spans="1:2" ht="18" x14ac:dyDescent="0.35">
      <c r="A132" s="59"/>
      <c r="B132" s="63"/>
    </row>
    <row r="133" spans="1:2" ht="18" x14ac:dyDescent="0.35">
      <c r="A133" s="59"/>
      <c r="B133" s="63"/>
    </row>
    <row r="134" spans="1:2" ht="18" x14ac:dyDescent="0.35">
      <c r="A134" s="59"/>
      <c r="B134" s="63"/>
    </row>
    <row r="135" spans="1:2" ht="18" x14ac:dyDescent="0.35">
      <c r="A135" s="59"/>
      <c r="B135" s="63"/>
    </row>
    <row r="136" spans="1:2" ht="18" x14ac:dyDescent="0.35">
      <c r="A136" s="59"/>
      <c r="B136" s="63"/>
    </row>
    <row r="137" spans="1:2" ht="18" x14ac:dyDescent="0.35">
      <c r="A137" s="59"/>
      <c r="B137" s="63"/>
    </row>
    <row r="138" spans="1:2" ht="18" x14ac:dyDescent="0.35">
      <c r="A138" s="59"/>
      <c r="B138" s="63"/>
    </row>
    <row r="139" spans="1:2" ht="18" x14ac:dyDescent="0.35">
      <c r="A139" s="59"/>
      <c r="B139" s="63"/>
    </row>
    <row r="140" spans="1:2" ht="18" x14ac:dyDescent="0.35">
      <c r="A140" s="59"/>
      <c r="B140" s="63"/>
    </row>
    <row r="141" spans="1:2" ht="18" x14ac:dyDescent="0.35">
      <c r="A141" s="59"/>
      <c r="B141" s="63"/>
    </row>
    <row r="142" spans="1:2" ht="18" x14ac:dyDescent="0.35">
      <c r="A142" s="59"/>
      <c r="B142" s="63"/>
    </row>
    <row r="143" spans="1:2" ht="18" x14ac:dyDescent="0.35">
      <c r="A143" s="59"/>
      <c r="B143" s="63"/>
    </row>
    <row r="144" spans="1:2" ht="18" x14ac:dyDescent="0.35">
      <c r="A144" s="59"/>
      <c r="B144" s="63"/>
    </row>
    <row r="145" spans="1:2" ht="18" x14ac:dyDescent="0.35">
      <c r="A145" s="59"/>
      <c r="B145" s="63"/>
    </row>
    <row r="146" spans="1:2" ht="18" x14ac:dyDescent="0.35">
      <c r="A146" s="59"/>
      <c r="B146" s="63"/>
    </row>
    <row r="147" spans="1:2" ht="18" x14ac:dyDescent="0.35">
      <c r="A147" s="59"/>
      <c r="B147" s="63"/>
    </row>
    <row r="148" spans="1:2" ht="18" x14ac:dyDescent="0.35">
      <c r="A148" s="59"/>
      <c r="B148" s="63"/>
    </row>
    <row r="149" spans="1:2" ht="18" x14ac:dyDescent="0.35">
      <c r="A149" s="59"/>
      <c r="B149" s="63"/>
    </row>
    <row r="150" spans="1:2" ht="18" x14ac:dyDescent="0.35">
      <c r="A150" s="59"/>
      <c r="B150" s="63"/>
    </row>
    <row r="151" spans="1:2" ht="18" x14ac:dyDescent="0.35">
      <c r="A151" s="59"/>
      <c r="B151" s="63"/>
    </row>
    <row r="152" spans="1:2" ht="18" x14ac:dyDescent="0.35">
      <c r="A152" s="59"/>
      <c r="B152" s="63"/>
    </row>
    <row r="153" spans="1:2" ht="18" x14ac:dyDescent="0.35">
      <c r="A153" s="59"/>
      <c r="B153" s="63"/>
    </row>
    <row r="154" spans="1:2" ht="18" x14ac:dyDescent="0.35">
      <c r="A154" s="59"/>
      <c r="B154" s="63"/>
    </row>
    <row r="155" spans="1:2" ht="18" x14ac:dyDescent="0.35">
      <c r="A155" s="59"/>
      <c r="B155" s="63"/>
    </row>
    <row r="156" spans="1:2" ht="18" x14ac:dyDescent="0.35">
      <c r="A156" s="59"/>
      <c r="B156" s="63"/>
    </row>
    <row r="157" spans="1:2" ht="18" x14ac:dyDescent="0.35">
      <c r="A157" s="59"/>
      <c r="B157" s="63"/>
    </row>
    <row r="158" spans="1:2" ht="18" x14ac:dyDescent="0.35">
      <c r="A158" s="59"/>
      <c r="B158" s="63"/>
    </row>
    <row r="159" spans="1:2" ht="18" x14ac:dyDescent="0.35">
      <c r="A159" s="59"/>
      <c r="B159" s="63"/>
    </row>
    <row r="160" spans="1:2" ht="18" x14ac:dyDescent="0.35">
      <c r="A160" s="59"/>
      <c r="B160" s="63"/>
    </row>
    <row r="161" spans="1:2" ht="18" x14ac:dyDescent="0.35">
      <c r="A161" s="59"/>
      <c r="B161" s="63"/>
    </row>
    <row r="162" spans="1:2" ht="18" x14ac:dyDescent="0.35">
      <c r="A162" s="59"/>
      <c r="B162" s="63"/>
    </row>
    <row r="163" spans="1:2" ht="18" x14ac:dyDescent="0.35">
      <c r="A163" s="59"/>
      <c r="B163" s="63"/>
    </row>
    <row r="164" spans="1:2" ht="18" x14ac:dyDescent="0.35">
      <c r="A164" s="59"/>
      <c r="B164" s="63"/>
    </row>
    <row r="165" spans="1:2" ht="18" x14ac:dyDescent="0.35">
      <c r="A165" s="59"/>
      <c r="B165" s="63"/>
    </row>
    <row r="166" spans="1:2" ht="18" x14ac:dyDescent="0.35">
      <c r="A166" s="59"/>
      <c r="B166" s="63"/>
    </row>
    <row r="167" spans="1:2" ht="18" x14ac:dyDescent="0.35">
      <c r="A167" s="59"/>
      <c r="B167" s="63"/>
    </row>
    <row r="168" spans="1:2" ht="18" x14ac:dyDescent="0.35">
      <c r="A168" s="59"/>
      <c r="B168" s="63"/>
    </row>
    <row r="169" spans="1:2" ht="18" x14ac:dyDescent="0.35">
      <c r="A169" s="59"/>
      <c r="B169" s="63"/>
    </row>
    <row r="170" spans="1:2" ht="18" x14ac:dyDescent="0.35">
      <c r="A170" s="59"/>
      <c r="B170" s="63"/>
    </row>
    <row r="171" spans="1:2" ht="18" x14ac:dyDescent="0.35">
      <c r="A171" s="59"/>
      <c r="B171" s="63"/>
    </row>
    <row r="172" spans="1:2" ht="18" x14ac:dyDescent="0.35">
      <c r="A172" s="59"/>
      <c r="B172" s="63"/>
    </row>
    <row r="173" spans="1:2" ht="18" x14ac:dyDescent="0.35">
      <c r="A173" s="59"/>
      <c r="B173" s="63"/>
    </row>
    <row r="174" spans="1:2" ht="18" x14ac:dyDescent="0.35">
      <c r="A174" s="59"/>
      <c r="B174" s="63"/>
    </row>
    <row r="175" spans="1:2" ht="18" x14ac:dyDescent="0.35">
      <c r="A175" s="59"/>
      <c r="B175" s="63"/>
    </row>
    <row r="176" spans="1:2" ht="18" x14ac:dyDescent="0.35">
      <c r="A176" s="59"/>
      <c r="B176" s="63"/>
    </row>
    <row r="177" spans="1:2" ht="18" x14ac:dyDescent="0.35">
      <c r="A177" s="59"/>
      <c r="B177" s="63"/>
    </row>
    <row r="178" spans="1:2" ht="18" x14ac:dyDescent="0.35">
      <c r="A178" s="59"/>
      <c r="B178" s="63"/>
    </row>
    <row r="179" spans="1:2" ht="18" x14ac:dyDescent="0.35">
      <c r="A179" s="59"/>
      <c r="B179" s="63"/>
    </row>
    <row r="180" spans="1:2" ht="18" x14ac:dyDescent="0.35">
      <c r="A180" s="59"/>
      <c r="B180" s="63"/>
    </row>
    <row r="181" spans="1:2" ht="18" x14ac:dyDescent="0.35">
      <c r="A181" s="59"/>
      <c r="B181" s="63"/>
    </row>
    <row r="182" spans="1:2" ht="18" x14ac:dyDescent="0.35">
      <c r="A182" s="59"/>
      <c r="B182" s="63"/>
    </row>
    <row r="183" spans="1:2" ht="18" x14ac:dyDescent="0.35">
      <c r="A183" s="59"/>
      <c r="B183" s="63"/>
    </row>
    <row r="184" spans="1:2" ht="18" x14ac:dyDescent="0.35">
      <c r="A184" s="59"/>
      <c r="B184" s="63"/>
    </row>
    <row r="185" spans="1:2" ht="18" x14ac:dyDescent="0.35">
      <c r="A185" s="59"/>
      <c r="B185" s="63"/>
    </row>
    <row r="186" spans="1:2" ht="18" x14ac:dyDescent="0.35">
      <c r="A186" s="59"/>
      <c r="B186" s="63"/>
    </row>
    <row r="187" spans="1:2" ht="18" x14ac:dyDescent="0.35">
      <c r="A187" s="59"/>
      <c r="B187" s="63"/>
    </row>
    <row r="188" spans="1:2" ht="18" x14ac:dyDescent="0.35">
      <c r="A188" s="59"/>
      <c r="B188" s="63"/>
    </row>
    <row r="189" spans="1:2" ht="18" x14ac:dyDescent="0.35">
      <c r="A189" s="59"/>
      <c r="B189" s="63"/>
    </row>
    <row r="190" spans="1:2" ht="18" x14ac:dyDescent="0.35">
      <c r="A190" s="59"/>
      <c r="B190" s="63"/>
    </row>
    <row r="191" spans="1:2" ht="18" x14ac:dyDescent="0.35">
      <c r="A191" s="59"/>
      <c r="B191" s="63"/>
    </row>
    <row r="192" spans="1:2" ht="18" x14ac:dyDescent="0.35">
      <c r="A192" s="59"/>
      <c r="B192" s="63"/>
    </row>
    <row r="193" spans="1:2" ht="18" x14ac:dyDescent="0.35">
      <c r="A193" s="59"/>
      <c r="B193" s="63"/>
    </row>
    <row r="194" spans="1:2" ht="18" x14ac:dyDescent="0.35">
      <c r="A194" s="59"/>
      <c r="B194" s="63"/>
    </row>
    <row r="195" spans="1:2" ht="18" x14ac:dyDescent="0.35">
      <c r="A195" s="59"/>
      <c r="B195" s="63"/>
    </row>
    <row r="196" spans="1:2" ht="18" x14ac:dyDescent="0.35">
      <c r="A196" s="59"/>
      <c r="B196" s="63"/>
    </row>
    <row r="197" spans="1:2" ht="18" x14ac:dyDescent="0.35">
      <c r="A197" s="59"/>
      <c r="B197" s="63"/>
    </row>
    <row r="198" spans="1:2" ht="18" x14ac:dyDescent="0.35">
      <c r="A198" s="59"/>
      <c r="B198" s="63"/>
    </row>
    <row r="199" spans="1:2" ht="18" x14ac:dyDescent="0.35">
      <c r="A199" s="59"/>
      <c r="B199" s="63"/>
    </row>
    <row r="200" spans="1:2" ht="18" x14ac:dyDescent="0.35">
      <c r="A200" s="59"/>
      <c r="B200" s="63"/>
    </row>
    <row r="201" spans="1:2" ht="18" x14ac:dyDescent="0.35">
      <c r="A201" s="59"/>
      <c r="B201" s="63"/>
    </row>
    <row r="202" spans="1:2" ht="18" x14ac:dyDescent="0.35">
      <c r="A202" s="59"/>
      <c r="B202" s="63"/>
    </row>
    <row r="203" spans="1:2" ht="18" x14ac:dyDescent="0.35">
      <c r="A203" s="59"/>
      <c r="B203" s="63"/>
    </row>
    <row r="204" spans="1:2" ht="18" x14ac:dyDescent="0.35">
      <c r="A204" s="59"/>
      <c r="B204" s="63"/>
    </row>
    <row r="205" spans="1:2" ht="18" x14ac:dyDescent="0.35">
      <c r="A205" s="59"/>
      <c r="B205" s="63"/>
    </row>
    <row r="206" spans="1:2" ht="18" x14ac:dyDescent="0.35">
      <c r="A206" s="59"/>
      <c r="B206" s="63"/>
    </row>
    <row r="207" spans="1:2" ht="18" x14ac:dyDescent="0.35">
      <c r="A207" s="59"/>
      <c r="B207" s="63"/>
    </row>
    <row r="208" spans="1:2" ht="18" x14ac:dyDescent="0.35">
      <c r="A208" s="59"/>
      <c r="B208" s="63"/>
    </row>
    <row r="209" spans="1:2" ht="18" x14ac:dyDescent="0.35">
      <c r="A209" s="59"/>
      <c r="B209" s="63"/>
    </row>
    <row r="210" spans="1:2" ht="18" x14ac:dyDescent="0.35">
      <c r="A210" s="59"/>
      <c r="B210" s="63"/>
    </row>
    <row r="211" spans="1:2" ht="18" x14ac:dyDescent="0.35">
      <c r="A211" s="59"/>
      <c r="B211" s="63"/>
    </row>
    <row r="212" spans="1:2" ht="18" x14ac:dyDescent="0.35">
      <c r="A212" s="59"/>
      <c r="B212" s="63"/>
    </row>
    <row r="213" spans="1:2" ht="18" x14ac:dyDescent="0.35">
      <c r="A213" s="59"/>
      <c r="B213" s="63"/>
    </row>
    <row r="214" spans="1:2" ht="18" x14ac:dyDescent="0.35">
      <c r="A214" s="59"/>
      <c r="B214" s="63"/>
    </row>
    <row r="215" spans="1:2" ht="18" x14ac:dyDescent="0.35">
      <c r="A215" s="59"/>
      <c r="B215" s="63"/>
    </row>
    <row r="216" spans="1:2" ht="18" x14ac:dyDescent="0.35">
      <c r="A216" s="59"/>
      <c r="B216" s="63"/>
    </row>
    <row r="217" spans="1:2" ht="18" x14ac:dyDescent="0.35">
      <c r="A217" s="59"/>
      <c r="B217" s="63"/>
    </row>
    <row r="218" spans="1:2" ht="18" x14ac:dyDescent="0.35">
      <c r="A218" s="59"/>
      <c r="B218" s="63"/>
    </row>
    <row r="219" spans="1:2" ht="18" x14ac:dyDescent="0.35">
      <c r="A219" s="59"/>
      <c r="B219" s="63"/>
    </row>
    <row r="220" spans="1:2" ht="18" x14ac:dyDescent="0.35">
      <c r="A220" s="59"/>
      <c r="B220" s="63"/>
    </row>
    <row r="221" spans="1:2" ht="18" x14ac:dyDescent="0.35">
      <c r="A221" s="59"/>
      <c r="B221" s="63"/>
    </row>
    <row r="222" spans="1:2" ht="18" x14ac:dyDescent="0.35">
      <c r="A222" s="59"/>
      <c r="B222" s="63"/>
    </row>
    <row r="223" spans="1:2" ht="18" x14ac:dyDescent="0.35">
      <c r="A223" s="59"/>
      <c r="B223" s="63"/>
    </row>
    <row r="224" spans="1:2" ht="18" x14ac:dyDescent="0.35">
      <c r="A224" s="59"/>
      <c r="B224" s="63"/>
    </row>
    <row r="225" spans="1:2" ht="18" x14ac:dyDescent="0.35">
      <c r="A225" s="59"/>
      <c r="B225" s="63"/>
    </row>
    <row r="226" spans="1:2" ht="18" x14ac:dyDescent="0.35">
      <c r="A226" s="59"/>
      <c r="B226" s="63"/>
    </row>
    <row r="227" spans="1:2" ht="18" x14ac:dyDescent="0.35">
      <c r="A227" s="59"/>
      <c r="B227" s="63"/>
    </row>
    <row r="228" spans="1:2" ht="18" x14ac:dyDescent="0.35">
      <c r="A228" s="59"/>
      <c r="B228" s="63"/>
    </row>
    <row r="229" spans="1:2" ht="18" x14ac:dyDescent="0.35">
      <c r="A229" s="59"/>
      <c r="B229" s="63"/>
    </row>
    <row r="230" spans="1:2" ht="18" x14ac:dyDescent="0.35">
      <c r="A230" s="59"/>
      <c r="B230" s="63"/>
    </row>
    <row r="231" spans="1:2" ht="18" x14ac:dyDescent="0.35">
      <c r="A231" s="59"/>
      <c r="B231" s="63"/>
    </row>
    <row r="232" spans="1:2" ht="18" x14ac:dyDescent="0.35">
      <c r="A232" s="59"/>
      <c r="B232" s="63"/>
    </row>
    <row r="233" spans="1:2" ht="18" x14ac:dyDescent="0.35">
      <c r="A233" s="59"/>
      <c r="B233" s="63"/>
    </row>
    <row r="234" spans="1:2" ht="18" x14ac:dyDescent="0.35">
      <c r="A234" s="59"/>
      <c r="B234" s="63"/>
    </row>
    <row r="235" spans="1:2" ht="18" x14ac:dyDescent="0.35">
      <c r="A235" s="59"/>
      <c r="B235" s="63"/>
    </row>
    <row r="236" spans="1:2" ht="18" x14ac:dyDescent="0.35">
      <c r="A236" s="59"/>
      <c r="B236" s="63"/>
    </row>
    <row r="237" spans="1:2" ht="18" x14ac:dyDescent="0.35">
      <c r="A237" s="59"/>
      <c r="B237" s="63"/>
    </row>
    <row r="238" spans="1:2" ht="18" x14ac:dyDescent="0.35">
      <c r="A238" s="59"/>
      <c r="B238" s="63"/>
    </row>
    <row r="239" spans="1:2" ht="18" x14ac:dyDescent="0.35">
      <c r="A239" s="59"/>
      <c r="B239" s="63"/>
    </row>
    <row r="240" spans="1:2" ht="18" x14ac:dyDescent="0.35">
      <c r="A240" s="59"/>
      <c r="B240" s="63"/>
    </row>
    <row r="241" spans="1:2" ht="18" x14ac:dyDescent="0.35">
      <c r="A241" s="59"/>
      <c r="B241" s="63"/>
    </row>
    <row r="242" spans="1:2" ht="18" x14ac:dyDescent="0.35">
      <c r="A242" s="59"/>
      <c r="B242" s="63"/>
    </row>
    <row r="243" spans="1:2" ht="18" x14ac:dyDescent="0.35">
      <c r="A243" s="59"/>
      <c r="B243" s="63"/>
    </row>
    <row r="244" spans="1:2" ht="18" x14ac:dyDescent="0.35">
      <c r="A244" s="59"/>
      <c r="B244" s="63"/>
    </row>
    <row r="245" spans="1:2" ht="18" x14ac:dyDescent="0.35">
      <c r="A245" s="59"/>
      <c r="B245" s="63"/>
    </row>
    <row r="246" spans="1:2" ht="18" x14ac:dyDescent="0.35">
      <c r="A246" s="59"/>
      <c r="B246" s="63"/>
    </row>
    <row r="247" spans="1:2" ht="18" x14ac:dyDescent="0.35">
      <c r="A247" s="59"/>
      <c r="B247" s="63"/>
    </row>
    <row r="248" spans="1:2" ht="18" x14ac:dyDescent="0.35">
      <c r="A248" s="59"/>
      <c r="B248" s="63"/>
    </row>
    <row r="249" spans="1:2" ht="18" x14ac:dyDescent="0.35">
      <c r="A249" s="59"/>
      <c r="B249" s="63"/>
    </row>
    <row r="250" spans="1:2" ht="18" x14ac:dyDescent="0.35">
      <c r="A250" s="59"/>
      <c r="B250" s="63"/>
    </row>
    <row r="251" spans="1:2" ht="18" x14ac:dyDescent="0.35">
      <c r="A251" s="59"/>
      <c r="B251" s="63"/>
    </row>
    <row r="252" spans="1:2" ht="18" x14ac:dyDescent="0.35">
      <c r="A252" s="59"/>
      <c r="B252" s="63"/>
    </row>
    <row r="253" spans="1:2" ht="18" x14ac:dyDescent="0.35">
      <c r="A253" s="59"/>
      <c r="B253" s="63"/>
    </row>
    <row r="254" spans="1:2" ht="18" x14ac:dyDescent="0.35">
      <c r="A254" s="59"/>
      <c r="B254" s="63"/>
    </row>
    <row r="255" spans="1:2" ht="18" x14ac:dyDescent="0.35">
      <c r="A255" s="59"/>
      <c r="B255" s="63"/>
    </row>
    <row r="256" spans="1:2" ht="18" x14ac:dyDescent="0.35">
      <c r="A256" s="59"/>
      <c r="B256" s="63"/>
    </row>
    <row r="257" spans="1:2" ht="18" x14ac:dyDescent="0.35">
      <c r="A257" s="59"/>
      <c r="B257" s="63"/>
    </row>
    <row r="258" spans="1:2" ht="18" x14ac:dyDescent="0.35">
      <c r="A258" s="59"/>
      <c r="B258" s="63"/>
    </row>
    <row r="259" spans="1:2" ht="18" x14ac:dyDescent="0.35">
      <c r="A259" s="59"/>
      <c r="B259" s="63"/>
    </row>
    <row r="260" spans="1:2" ht="18" x14ac:dyDescent="0.35">
      <c r="A260" s="59"/>
      <c r="B260" s="63"/>
    </row>
    <row r="261" spans="1:2" ht="18" x14ac:dyDescent="0.35">
      <c r="A261" s="59"/>
      <c r="B261" s="63"/>
    </row>
    <row r="262" spans="1:2" ht="18" x14ac:dyDescent="0.35">
      <c r="A262" s="59"/>
      <c r="B262" s="63"/>
    </row>
    <row r="263" spans="1:2" ht="18" x14ac:dyDescent="0.35">
      <c r="A263" s="59"/>
      <c r="B263" s="63"/>
    </row>
    <row r="264" spans="1:2" ht="18" x14ac:dyDescent="0.35">
      <c r="A264" s="59"/>
      <c r="B264" s="63"/>
    </row>
    <row r="265" spans="1:2" ht="18" x14ac:dyDescent="0.35">
      <c r="A265" s="59"/>
      <c r="B265" s="63"/>
    </row>
    <row r="266" spans="1:2" ht="18" x14ac:dyDescent="0.35">
      <c r="A266" s="59"/>
      <c r="B266" s="63"/>
    </row>
    <row r="267" spans="1:2" ht="18" x14ac:dyDescent="0.35">
      <c r="A267" s="59"/>
      <c r="B267" s="63"/>
    </row>
    <row r="268" spans="1:2" ht="18" x14ac:dyDescent="0.35">
      <c r="A268" s="59"/>
      <c r="B268" s="63"/>
    </row>
    <row r="269" spans="1:2" ht="18" x14ac:dyDescent="0.35">
      <c r="A269" s="59"/>
      <c r="B269" s="63"/>
    </row>
    <row r="270" spans="1:2" ht="18" x14ac:dyDescent="0.35">
      <c r="A270" s="59"/>
      <c r="B270" s="63"/>
    </row>
    <row r="271" spans="1:2" ht="18" x14ac:dyDescent="0.35">
      <c r="A271" s="59"/>
      <c r="B271" s="63"/>
    </row>
    <row r="272" spans="1:2" ht="18" x14ac:dyDescent="0.35">
      <c r="A272" s="59"/>
      <c r="B272" s="63"/>
    </row>
    <row r="273" spans="1:2" ht="18" x14ac:dyDescent="0.35">
      <c r="A273" s="59"/>
      <c r="B273" s="63"/>
    </row>
    <row r="274" spans="1:2" ht="18" x14ac:dyDescent="0.35">
      <c r="A274" s="59"/>
      <c r="B274" s="63"/>
    </row>
    <row r="275" spans="1:2" ht="18" x14ac:dyDescent="0.35">
      <c r="A275" s="59"/>
      <c r="B275" s="63"/>
    </row>
    <row r="276" spans="1:2" ht="18" x14ac:dyDescent="0.35">
      <c r="A276" s="59"/>
      <c r="B276" s="63"/>
    </row>
    <row r="277" spans="1:2" ht="18" x14ac:dyDescent="0.35">
      <c r="A277" s="59"/>
      <c r="B277" s="63"/>
    </row>
    <row r="278" spans="1:2" ht="18" x14ac:dyDescent="0.35">
      <c r="A278" s="59"/>
      <c r="B278" s="63"/>
    </row>
    <row r="279" spans="1:2" ht="18" x14ac:dyDescent="0.35">
      <c r="A279" s="59"/>
      <c r="B279" s="63"/>
    </row>
    <row r="280" spans="1:2" ht="18" x14ac:dyDescent="0.35">
      <c r="A280" s="59"/>
      <c r="B280" s="63"/>
    </row>
    <row r="281" spans="1:2" ht="18" x14ac:dyDescent="0.35">
      <c r="A281" s="59"/>
      <c r="B281" s="63"/>
    </row>
    <row r="282" spans="1:2" ht="18" x14ac:dyDescent="0.35">
      <c r="A282" s="59"/>
      <c r="B282" s="63"/>
    </row>
    <row r="283" spans="1:2" ht="18" x14ac:dyDescent="0.35">
      <c r="A283" s="59"/>
      <c r="B283" s="63"/>
    </row>
    <row r="284" spans="1:2" ht="18" x14ac:dyDescent="0.35">
      <c r="A284" s="59"/>
      <c r="B284" s="63"/>
    </row>
    <row r="285" spans="1:2" ht="18" x14ac:dyDescent="0.35">
      <c r="A285" s="59"/>
      <c r="B285" s="63"/>
    </row>
    <row r="286" spans="1:2" ht="18" x14ac:dyDescent="0.35">
      <c r="A286" s="59"/>
      <c r="B286" s="63"/>
    </row>
    <row r="287" spans="1:2" ht="18" x14ac:dyDescent="0.35">
      <c r="A287" s="59"/>
      <c r="B287" s="63"/>
    </row>
    <row r="288" spans="1:2" ht="18" x14ac:dyDescent="0.35">
      <c r="A288" s="59"/>
      <c r="B288" s="63"/>
    </row>
    <row r="289" spans="1:2" ht="18" x14ac:dyDescent="0.35">
      <c r="A289" s="59"/>
      <c r="B289" s="63"/>
    </row>
    <row r="290" spans="1:2" ht="18" x14ac:dyDescent="0.35">
      <c r="A290" s="59"/>
      <c r="B290" s="63"/>
    </row>
    <row r="291" spans="1:2" ht="18" x14ac:dyDescent="0.35">
      <c r="A291" s="59"/>
      <c r="B291" s="63"/>
    </row>
    <row r="292" spans="1:2" ht="18" x14ac:dyDescent="0.35">
      <c r="A292" s="59"/>
      <c r="B292" s="63"/>
    </row>
    <row r="293" spans="1:2" ht="18" x14ac:dyDescent="0.35">
      <c r="A293" s="59"/>
      <c r="B293" s="63"/>
    </row>
    <row r="294" spans="1:2" ht="18" x14ac:dyDescent="0.35">
      <c r="A294" s="59"/>
      <c r="B294" s="63"/>
    </row>
    <row r="295" spans="1:2" ht="18" x14ac:dyDescent="0.35">
      <c r="A295" s="59"/>
      <c r="B295" s="63"/>
    </row>
    <row r="296" spans="1:2" ht="18" x14ac:dyDescent="0.35">
      <c r="A296" s="59"/>
      <c r="B296" s="63"/>
    </row>
    <row r="297" spans="1:2" ht="18" x14ac:dyDescent="0.35">
      <c r="A297" s="59"/>
      <c r="B297" s="63"/>
    </row>
    <row r="298" spans="1:2" ht="18" x14ac:dyDescent="0.35">
      <c r="A298" s="59"/>
      <c r="B298" s="63"/>
    </row>
    <row r="299" spans="1:2" ht="18" x14ac:dyDescent="0.35">
      <c r="A299" s="59"/>
      <c r="B299" s="63"/>
    </row>
    <row r="300" spans="1:2" ht="18" x14ac:dyDescent="0.35">
      <c r="A300" s="59"/>
      <c r="B300" s="63"/>
    </row>
    <row r="301" spans="1:2" ht="18" x14ac:dyDescent="0.35">
      <c r="A301" s="59"/>
      <c r="B301" s="63"/>
    </row>
    <row r="302" spans="1:2" ht="18" x14ac:dyDescent="0.35">
      <c r="A302" s="59"/>
      <c r="B302" s="63"/>
    </row>
    <row r="303" spans="1:2" ht="18" x14ac:dyDescent="0.35">
      <c r="A303" s="59"/>
      <c r="B303" s="63"/>
    </row>
    <row r="304" spans="1:2" ht="18" x14ac:dyDescent="0.35">
      <c r="A304" s="59"/>
      <c r="B304" s="63"/>
    </row>
    <row r="305" spans="1:2" ht="18" x14ac:dyDescent="0.35">
      <c r="A305" s="59"/>
      <c r="B305" s="63"/>
    </row>
    <row r="306" spans="1:2" ht="18" x14ac:dyDescent="0.35">
      <c r="A306" s="59"/>
      <c r="B306" s="63"/>
    </row>
    <row r="307" spans="1:2" ht="18" x14ac:dyDescent="0.35">
      <c r="A307" s="59"/>
      <c r="B307" s="63"/>
    </row>
    <row r="308" spans="1:2" ht="18" x14ac:dyDescent="0.35">
      <c r="A308" s="59"/>
      <c r="B308" s="63"/>
    </row>
    <row r="309" spans="1:2" ht="18" x14ac:dyDescent="0.35">
      <c r="A309" s="59"/>
      <c r="B309" s="63"/>
    </row>
    <row r="310" spans="1:2" ht="18" x14ac:dyDescent="0.35">
      <c r="A310" s="59"/>
      <c r="B310" s="63"/>
    </row>
    <row r="311" spans="1:2" ht="18" x14ac:dyDescent="0.35">
      <c r="A311" s="59"/>
      <c r="B311" s="63"/>
    </row>
    <row r="312" spans="1:2" ht="18" x14ac:dyDescent="0.35">
      <c r="A312" s="59"/>
      <c r="B312" s="63"/>
    </row>
    <row r="313" spans="1:2" ht="18" x14ac:dyDescent="0.35">
      <c r="A313" s="59"/>
      <c r="B313" s="63"/>
    </row>
    <row r="314" spans="1:2" ht="18" x14ac:dyDescent="0.35">
      <c r="A314" s="59"/>
      <c r="B314" s="63"/>
    </row>
    <row r="315" spans="1:2" ht="18" x14ac:dyDescent="0.35">
      <c r="A315" s="59"/>
      <c r="B315" s="63"/>
    </row>
    <row r="316" spans="1:2" ht="18" x14ac:dyDescent="0.35">
      <c r="A316" s="59"/>
      <c r="B316" s="63"/>
    </row>
    <row r="317" spans="1:2" ht="18" x14ac:dyDescent="0.35">
      <c r="A317" s="59"/>
      <c r="B317" s="63"/>
    </row>
    <row r="318" spans="1:2" ht="18" x14ac:dyDescent="0.35">
      <c r="A318" s="59"/>
      <c r="B318" s="63"/>
    </row>
    <row r="319" spans="1:2" ht="18" x14ac:dyDescent="0.35">
      <c r="A319" s="59"/>
      <c r="B319" s="63"/>
    </row>
    <row r="320" spans="1:2" ht="18" x14ac:dyDescent="0.35">
      <c r="A320" s="59"/>
      <c r="B320" s="63"/>
    </row>
    <row r="321" spans="1:2" ht="18" x14ac:dyDescent="0.35">
      <c r="A321" s="59"/>
      <c r="B321" s="63"/>
    </row>
    <row r="322" spans="1:2" ht="18" x14ac:dyDescent="0.35">
      <c r="A322" s="59"/>
      <c r="B322" s="63"/>
    </row>
    <row r="323" spans="1:2" ht="18" x14ac:dyDescent="0.35">
      <c r="A323" s="59"/>
      <c r="B323" s="63"/>
    </row>
    <row r="324" spans="1:2" ht="18" x14ac:dyDescent="0.35">
      <c r="A324" s="59"/>
      <c r="B324" s="63"/>
    </row>
    <row r="325" spans="1:2" ht="18" x14ac:dyDescent="0.35">
      <c r="A325" s="59"/>
      <c r="B325" s="63"/>
    </row>
    <row r="326" spans="1:2" ht="18" x14ac:dyDescent="0.35">
      <c r="A326" s="59"/>
      <c r="B326" s="63"/>
    </row>
    <row r="327" spans="1:2" ht="18" x14ac:dyDescent="0.35">
      <c r="A327" s="59"/>
      <c r="B327" s="63"/>
    </row>
    <row r="328" spans="1:2" ht="18" x14ac:dyDescent="0.35">
      <c r="A328" s="59"/>
      <c r="B328" s="63"/>
    </row>
    <row r="329" spans="1:2" ht="18" x14ac:dyDescent="0.35">
      <c r="A329" s="59"/>
      <c r="B329" s="63"/>
    </row>
    <row r="330" spans="1:2" ht="18" x14ac:dyDescent="0.35">
      <c r="A330" s="59"/>
      <c r="B330" s="63"/>
    </row>
    <row r="331" spans="1:2" ht="18" x14ac:dyDescent="0.35">
      <c r="A331" s="59"/>
      <c r="B331" s="63"/>
    </row>
    <row r="332" spans="1:2" ht="18" x14ac:dyDescent="0.35">
      <c r="A332" s="59"/>
      <c r="B332" s="63"/>
    </row>
    <row r="333" spans="1:2" ht="18" x14ac:dyDescent="0.35">
      <c r="A333" s="59"/>
      <c r="B333" s="63"/>
    </row>
    <row r="334" spans="1:2" ht="18" x14ac:dyDescent="0.35">
      <c r="A334" s="59"/>
      <c r="B334" s="63"/>
    </row>
    <row r="335" spans="1:2" ht="18" x14ac:dyDescent="0.35">
      <c r="A335" s="59"/>
      <c r="B335" s="63"/>
    </row>
    <row r="336" spans="1:2" ht="18" x14ac:dyDescent="0.35">
      <c r="A336" s="59"/>
      <c r="B336" s="63"/>
    </row>
    <row r="337" spans="1:2" ht="18" x14ac:dyDescent="0.35">
      <c r="A337" s="59"/>
      <c r="B337" s="63"/>
    </row>
    <row r="338" spans="1:2" ht="18" x14ac:dyDescent="0.35">
      <c r="A338" s="59"/>
      <c r="B338" s="63"/>
    </row>
    <row r="339" spans="1:2" ht="18" x14ac:dyDescent="0.35">
      <c r="A339" s="59"/>
      <c r="B339" s="63"/>
    </row>
    <row r="340" spans="1:2" ht="18" x14ac:dyDescent="0.35">
      <c r="A340" s="59"/>
      <c r="B340" s="63"/>
    </row>
    <row r="341" spans="1:2" ht="18" x14ac:dyDescent="0.35">
      <c r="A341" s="59"/>
      <c r="B341" s="63"/>
    </row>
    <row r="342" spans="1:2" ht="18" x14ac:dyDescent="0.35">
      <c r="A342" s="59"/>
      <c r="B342" s="63"/>
    </row>
    <row r="343" spans="1:2" ht="18" x14ac:dyDescent="0.35">
      <c r="A343" s="59"/>
      <c r="B343" s="63"/>
    </row>
    <row r="344" spans="1:2" ht="18" x14ac:dyDescent="0.35">
      <c r="A344" s="59"/>
      <c r="B344" s="63"/>
    </row>
    <row r="345" spans="1:2" ht="18" x14ac:dyDescent="0.35">
      <c r="A345" s="59"/>
      <c r="B345" s="63"/>
    </row>
    <row r="346" spans="1:2" ht="18" x14ac:dyDescent="0.35">
      <c r="A346" s="59"/>
      <c r="B346" s="63"/>
    </row>
    <row r="347" spans="1:2" ht="18" x14ac:dyDescent="0.35">
      <c r="A347" s="59"/>
      <c r="B347" s="63"/>
    </row>
    <row r="348" spans="1:2" ht="18" x14ac:dyDescent="0.35">
      <c r="A348" s="59"/>
      <c r="B348" s="63"/>
    </row>
    <row r="349" spans="1:2" ht="18" x14ac:dyDescent="0.35">
      <c r="A349" s="59"/>
      <c r="B349" s="63"/>
    </row>
    <row r="350" spans="1:2" ht="18" x14ac:dyDescent="0.35">
      <c r="A350" s="59"/>
      <c r="B350" s="63"/>
    </row>
    <row r="351" spans="1:2" ht="18" x14ac:dyDescent="0.35">
      <c r="A351" s="59"/>
      <c r="B351" s="63"/>
    </row>
    <row r="352" spans="1:2" ht="18" x14ac:dyDescent="0.35">
      <c r="A352" s="59"/>
      <c r="B352" s="63"/>
    </row>
    <row r="353" spans="1:2" ht="18" x14ac:dyDescent="0.35">
      <c r="A353" s="59"/>
      <c r="B353" s="63"/>
    </row>
    <row r="354" spans="1:2" ht="18" x14ac:dyDescent="0.35">
      <c r="A354" s="59"/>
      <c r="B354" s="63"/>
    </row>
    <row r="355" spans="1:2" ht="18" x14ac:dyDescent="0.35">
      <c r="A355" s="59"/>
      <c r="B355" s="63"/>
    </row>
    <row r="356" spans="1:2" ht="18" x14ac:dyDescent="0.35">
      <c r="A356" s="59"/>
      <c r="B356" s="63"/>
    </row>
    <row r="357" spans="1:2" ht="18" x14ac:dyDescent="0.35">
      <c r="A357" s="59"/>
      <c r="B357" s="63"/>
    </row>
    <row r="358" spans="1:2" ht="18" x14ac:dyDescent="0.35">
      <c r="A358" s="59"/>
      <c r="B358" s="63"/>
    </row>
    <row r="359" spans="1:2" ht="18" x14ac:dyDescent="0.35">
      <c r="A359" s="59"/>
      <c r="B359" s="63"/>
    </row>
    <row r="360" spans="1:2" ht="18" x14ac:dyDescent="0.35">
      <c r="A360" s="59"/>
      <c r="B360" s="63"/>
    </row>
    <row r="361" spans="1:2" ht="18" x14ac:dyDescent="0.35">
      <c r="A361" s="59"/>
      <c r="B361" s="63"/>
    </row>
    <row r="362" spans="1:2" ht="18" x14ac:dyDescent="0.35">
      <c r="A362" s="59"/>
      <c r="B362" s="63"/>
    </row>
    <row r="363" spans="1:2" ht="18" x14ac:dyDescent="0.35">
      <c r="A363" s="59"/>
      <c r="B363" s="63"/>
    </row>
    <row r="364" spans="1:2" ht="18" x14ac:dyDescent="0.35">
      <c r="A364" s="59"/>
      <c r="B364" s="63"/>
    </row>
    <row r="365" spans="1:2" ht="18" x14ac:dyDescent="0.35">
      <c r="A365" s="59"/>
      <c r="B365" s="63"/>
    </row>
    <row r="366" spans="1:2" ht="18" x14ac:dyDescent="0.35">
      <c r="A366" s="59"/>
      <c r="B366" s="63"/>
    </row>
    <row r="367" spans="1:2" ht="18" x14ac:dyDescent="0.35">
      <c r="A367" s="59"/>
      <c r="B367" s="63"/>
    </row>
    <row r="368" spans="1:2" ht="18" x14ac:dyDescent="0.35">
      <c r="A368" s="59"/>
      <c r="B368" s="63"/>
    </row>
    <row r="369" spans="1:2" ht="18" x14ac:dyDescent="0.35">
      <c r="A369" s="59"/>
      <c r="B369" s="63"/>
    </row>
    <row r="370" spans="1:2" ht="18" x14ac:dyDescent="0.35">
      <c r="A370" s="59"/>
      <c r="B370" s="63"/>
    </row>
    <row r="371" spans="1:2" ht="18" x14ac:dyDescent="0.35">
      <c r="A371" s="59"/>
      <c r="B371" s="63"/>
    </row>
    <row r="372" spans="1:2" ht="18" x14ac:dyDescent="0.35">
      <c r="A372" s="59"/>
      <c r="B372" s="63"/>
    </row>
    <row r="373" spans="1:2" ht="18" x14ac:dyDescent="0.35">
      <c r="A373" s="59"/>
      <c r="B373" s="63"/>
    </row>
    <row r="374" spans="1:2" ht="18" x14ac:dyDescent="0.35">
      <c r="A374" s="59"/>
      <c r="B374" s="63"/>
    </row>
    <row r="375" spans="1:2" ht="18" x14ac:dyDescent="0.35">
      <c r="A375" s="59"/>
      <c r="B375" s="63"/>
    </row>
    <row r="376" spans="1:2" ht="18" x14ac:dyDescent="0.35">
      <c r="A376" s="59"/>
      <c r="B376" s="63"/>
    </row>
    <row r="377" spans="1:2" ht="18" x14ac:dyDescent="0.35">
      <c r="A377" s="59"/>
      <c r="B377" s="63"/>
    </row>
    <row r="378" spans="1:2" ht="18" x14ac:dyDescent="0.35">
      <c r="A378" s="59"/>
      <c r="B378" s="63"/>
    </row>
    <row r="379" spans="1:2" ht="18" x14ac:dyDescent="0.35">
      <c r="A379" s="59"/>
      <c r="B379" s="63"/>
    </row>
    <row r="380" spans="1:2" ht="18" x14ac:dyDescent="0.35">
      <c r="A380" s="59"/>
      <c r="B380" s="63"/>
    </row>
    <row r="381" spans="1:2" ht="18" x14ac:dyDescent="0.35">
      <c r="A381" s="59"/>
      <c r="B381" s="63"/>
    </row>
    <row r="382" spans="1:2" ht="18" x14ac:dyDescent="0.35">
      <c r="A382" s="59"/>
      <c r="B382" s="63"/>
    </row>
    <row r="383" spans="1:2" ht="18" x14ac:dyDescent="0.35">
      <c r="A383" s="59"/>
      <c r="B383" s="63"/>
    </row>
    <row r="384" spans="1:2" ht="18" x14ac:dyDescent="0.35">
      <c r="A384" s="59"/>
      <c r="B384" s="63"/>
    </row>
    <row r="385" spans="1:2" ht="18" x14ac:dyDescent="0.35">
      <c r="A385" s="59"/>
      <c r="B385" s="63"/>
    </row>
    <row r="386" spans="1:2" ht="18" x14ac:dyDescent="0.35">
      <c r="A386" s="59"/>
      <c r="B386" s="63"/>
    </row>
    <row r="387" spans="1:2" ht="18" x14ac:dyDescent="0.35">
      <c r="A387" s="59"/>
      <c r="B387" s="63"/>
    </row>
    <row r="388" spans="1:2" ht="18" x14ac:dyDescent="0.35">
      <c r="A388" s="59"/>
      <c r="B388" s="63"/>
    </row>
    <row r="389" spans="1:2" ht="18" x14ac:dyDescent="0.35">
      <c r="A389" s="59"/>
      <c r="B389" s="63"/>
    </row>
    <row r="390" spans="1:2" ht="18" x14ac:dyDescent="0.35">
      <c r="A390" s="59"/>
      <c r="B390" s="63"/>
    </row>
    <row r="391" spans="1:2" ht="18" x14ac:dyDescent="0.35">
      <c r="A391" s="59"/>
      <c r="B391" s="63"/>
    </row>
    <row r="392" spans="1:2" ht="18" x14ac:dyDescent="0.35">
      <c r="A392" s="59"/>
      <c r="B392" s="63"/>
    </row>
    <row r="393" spans="1:2" ht="18" x14ac:dyDescent="0.35">
      <c r="A393" s="59"/>
      <c r="B393" s="63"/>
    </row>
    <row r="394" spans="1:2" ht="18" x14ac:dyDescent="0.35">
      <c r="A394" s="59"/>
      <c r="B394" s="63"/>
    </row>
    <row r="395" spans="1:2" ht="18" x14ac:dyDescent="0.35">
      <c r="A395" s="59"/>
      <c r="B395" s="63"/>
    </row>
    <row r="396" spans="1:2" ht="18" x14ac:dyDescent="0.35">
      <c r="A396" s="59"/>
      <c r="B396" s="63"/>
    </row>
    <row r="397" spans="1:2" ht="18" x14ac:dyDescent="0.35">
      <c r="A397" s="59"/>
      <c r="B397" s="63"/>
    </row>
    <row r="398" spans="1:2" ht="18" x14ac:dyDescent="0.35">
      <c r="A398" s="59"/>
      <c r="B398" s="63"/>
    </row>
    <row r="399" spans="1:2" ht="18" x14ac:dyDescent="0.35">
      <c r="A399" s="59"/>
      <c r="B399" s="63"/>
    </row>
    <row r="400" spans="1:2" ht="18" x14ac:dyDescent="0.35">
      <c r="A400" s="59"/>
      <c r="B400" s="63"/>
    </row>
    <row r="401" spans="1:2" ht="18" x14ac:dyDescent="0.35">
      <c r="A401" s="59"/>
      <c r="B401" s="63"/>
    </row>
    <row r="402" spans="1:2" ht="18" x14ac:dyDescent="0.35">
      <c r="A402" s="59"/>
      <c r="B402" s="63"/>
    </row>
    <row r="403" spans="1:2" ht="18" x14ac:dyDescent="0.35">
      <c r="A403" s="59"/>
      <c r="B403" s="63"/>
    </row>
    <row r="404" spans="1:2" ht="18" x14ac:dyDescent="0.35">
      <c r="A404" s="59"/>
      <c r="B404" s="63"/>
    </row>
    <row r="405" spans="1:2" ht="18" x14ac:dyDescent="0.35">
      <c r="A405" s="59"/>
      <c r="B405" s="63"/>
    </row>
    <row r="406" spans="1:2" ht="18" x14ac:dyDescent="0.35">
      <c r="A406" s="59"/>
      <c r="B406" s="63"/>
    </row>
    <row r="407" spans="1:2" ht="18" x14ac:dyDescent="0.35">
      <c r="A407" s="59"/>
      <c r="B407" s="63"/>
    </row>
    <row r="408" spans="1:2" ht="18" x14ac:dyDescent="0.35">
      <c r="A408" s="59"/>
      <c r="B408" s="63"/>
    </row>
    <row r="409" spans="1:2" ht="18" x14ac:dyDescent="0.35">
      <c r="A409" s="59"/>
      <c r="B409" s="63"/>
    </row>
    <row r="410" spans="1:2" ht="18" x14ac:dyDescent="0.35">
      <c r="A410" s="59"/>
      <c r="B410" s="63"/>
    </row>
    <row r="411" spans="1:2" ht="18" x14ac:dyDescent="0.35">
      <c r="A411" s="59"/>
      <c r="B411" s="63"/>
    </row>
    <row r="412" spans="1:2" ht="18" x14ac:dyDescent="0.35">
      <c r="A412" s="59"/>
      <c r="B412" s="63"/>
    </row>
    <row r="413" spans="1:2" ht="18" x14ac:dyDescent="0.35">
      <c r="A413" s="59"/>
      <c r="B413" s="63"/>
    </row>
    <row r="414" spans="1:2" ht="18" x14ac:dyDescent="0.35">
      <c r="A414" s="59"/>
      <c r="B414" s="63"/>
    </row>
    <row r="415" spans="1:2" ht="18" x14ac:dyDescent="0.35">
      <c r="A415" s="59"/>
      <c r="B415" s="63"/>
    </row>
    <row r="416" spans="1:2" ht="18" x14ac:dyDescent="0.35">
      <c r="A416" s="59"/>
      <c r="B416" s="63"/>
    </row>
    <row r="417" spans="1:2" ht="18" x14ac:dyDescent="0.35">
      <c r="A417" s="59"/>
      <c r="B417" s="63"/>
    </row>
    <row r="418" spans="1:2" ht="18" x14ac:dyDescent="0.35">
      <c r="A418" s="59"/>
      <c r="B418" s="63"/>
    </row>
    <row r="419" spans="1:2" ht="18" x14ac:dyDescent="0.35">
      <c r="A419" s="59"/>
      <c r="B419" s="63"/>
    </row>
    <row r="420" spans="1:2" ht="18" x14ac:dyDescent="0.35">
      <c r="A420" s="59"/>
      <c r="B420" s="63"/>
    </row>
    <row r="421" spans="1:2" ht="18" x14ac:dyDescent="0.35">
      <c r="A421" s="59"/>
      <c r="B421" s="63"/>
    </row>
    <row r="422" spans="1:2" ht="18" x14ac:dyDescent="0.35">
      <c r="A422" s="59"/>
      <c r="B422" s="63"/>
    </row>
    <row r="423" spans="1:2" ht="18" x14ac:dyDescent="0.35">
      <c r="A423" s="59"/>
      <c r="B423" s="63"/>
    </row>
    <row r="424" spans="1:2" ht="18" x14ac:dyDescent="0.35">
      <c r="A424" s="59"/>
      <c r="B424" s="63"/>
    </row>
    <row r="425" spans="1:2" ht="18" x14ac:dyDescent="0.35">
      <c r="A425" s="59"/>
      <c r="B425" s="63"/>
    </row>
    <row r="426" spans="1:2" ht="18" x14ac:dyDescent="0.35">
      <c r="A426" s="59"/>
      <c r="B426" s="63"/>
    </row>
    <row r="427" spans="1:2" ht="18" x14ac:dyDescent="0.35">
      <c r="A427" s="59"/>
      <c r="B427" s="63"/>
    </row>
    <row r="428" spans="1:2" ht="18" x14ac:dyDescent="0.35">
      <c r="A428" s="59"/>
      <c r="B428" s="63"/>
    </row>
    <row r="429" spans="1:2" ht="18" x14ac:dyDescent="0.35">
      <c r="A429" s="59"/>
      <c r="B429" s="63"/>
    </row>
    <row r="430" spans="1:2" ht="18" x14ac:dyDescent="0.35">
      <c r="A430" s="59"/>
      <c r="B430" s="63"/>
    </row>
    <row r="431" spans="1:2" ht="18" x14ac:dyDescent="0.35">
      <c r="A431" s="59"/>
      <c r="B431" s="63"/>
    </row>
    <row r="432" spans="1:2" ht="18" x14ac:dyDescent="0.35">
      <c r="A432" s="59"/>
      <c r="B432" s="63"/>
    </row>
    <row r="433" spans="1:2" ht="18" x14ac:dyDescent="0.35">
      <c r="A433" s="59"/>
      <c r="B433" s="63"/>
    </row>
    <row r="434" spans="1:2" ht="18" x14ac:dyDescent="0.35">
      <c r="A434" s="59"/>
      <c r="B434" s="63"/>
    </row>
    <row r="435" spans="1:2" ht="18" x14ac:dyDescent="0.35">
      <c r="A435" s="59"/>
      <c r="B435" s="63"/>
    </row>
    <row r="436" spans="1:2" ht="18" x14ac:dyDescent="0.35">
      <c r="A436" s="59"/>
      <c r="B436" s="63"/>
    </row>
    <row r="437" spans="1:2" ht="18" x14ac:dyDescent="0.35">
      <c r="A437" s="59"/>
      <c r="B437" s="63"/>
    </row>
    <row r="438" spans="1:2" ht="18" x14ac:dyDescent="0.35">
      <c r="A438" s="59"/>
      <c r="B438" s="63"/>
    </row>
    <row r="439" spans="1:2" ht="18" x14ac:dyDescent="0.35">
      <c r="A439" s="59"/>
      <c r="B439" s="63"/>
    </row>
    <row r="440" spans="1:2" ht="18" x14ac:dyDescent="0.35">
      <c r="A440" s="59"/>
      <c r="B440" s="63"/>
    </row>
    <row r="441" spans="1:2" ht="18" x14ac:dyDescent="0.35">
      <c r="A441" s="59"/>
      <c r="B441" s="63"/>
    </row>
    <row r="442" spans="1:2" ht="18" x14ac:dyDescent="0.35">
      <c r="A442" s="59"/>
      <c r="B442" s="63"/>
    </row>
    <row r="443" spans="1:2" ht="18" x14ac:dyDescent="0.35">
      <c r="A443" s="59"/>
      <c r="B443" s="63"/>
    </row>
    <row r="444" spans="1:2" ht="18" x14ac:dyDescent="0.35">
      <c r="A444" s="59"/>
      <c r="B444" s="63"/>
    </row>
    <row r="445" spans="1:2" ht="18" x14ac:dyDescent="0.35">
      <c r="A445" s="59"/>
      <c r="B445" s="63"/>
    </row>
    <row r="446" spans="1:2" ht="18" x14ac:dyDescent="0.35">
      <c r="A446" s="59"/>
      <c r="B446" s="63"/>
    </row>
    <row r="447" spans="1:2" ht="18" x14ac:dyDescent="0.35">
      <c r="A447" s="59"/>
      <c r="B447" s="63"/>
    </row>
    <row r="448" spans="1:2" ht="18" x14ac:dyDescent="0.35">
      <c r="A448" s="59"/>
      <c r="B448" s="63"/>
    </row>
    <row r="449" spans="1:2" ht="18" x14ac:dyDescent="0.35">
      <c r="A449" s="59"/>
      <c r="B449" s="63"/>
    </row>
    <row r="450" spans="1:2" ht="18" x14ac:dyDescent="0.35">
      <c r="A450" s="59"/>
      <c r="B450" s="63"/>
    </row>
    <row r="451" spans="1:2" ht="18" x14ac:dyDescent="0.35">
      <c r="A451" s="59"/>
      <c r="B451" s="63"/>
    </row>
    <row r="452" spans="1:2" ht="18" x14ac:dyDescent="0.35">
      <c r="A452" s="59"/>
      <c r="B452" s="63"/>
    </row>
    <row r="453" spans="1:2" ht="18" x14ac:dyDescent="0.35">
      <c r="A453" s="59"/>
      <c r="B453" s="63"/>
    </row>
    <row r="454" spans="1:2" ht="18" x14ac:dyDescent="0.35">
      <c r="A454" s="59"/>
      <c r="B454" s="63"/>
    </row>
    <row r="455" spans="1:2" ht="18" x14ac:dyDescent="0.35">
      <c r="A455" s="59"/>
      <c r="B455" s="63"/>
    </row>
    <row r="456" spans="1:2" ht="18" x14ac:dyDescent="0.35">
      <c r="A456" s="59"/>
      <c r="B456" s="63"/>
    </row>
    <row r="457" spans="1:2" ht="18" x14ac:dyDescent="0.35">
      <c r="A457" s="59"/>
      <c r="B457" s="63"/>
    </row>
    <row r="458" spans="1:2" ht="18" x14ac:dyDescent="0.35">
      <c r="A458" s="59"/>
      <c r="B458" s="63"/>
    </row>
    <row r="459" spans="1:2" ht="18" x14ac:dyDescent="0.35">
      <c r="A459" s="59"/>
      <c r="B459" s="63"/>
    </row>
    <row r="460" spans="1:2" ht="18" x14ac:dyDescent="0.35">
      <c r="A460" s="59"/>
      <c r="B460" s="63"/>
    </row>
    <row r="461" spans="1:2" ht="18" x14ac:dyDescent="0.35">
      <c r="A461" s="59"/>
      <c r="B461" s="63"/>
    </row>
    <row r="462" spans="1:2" ht="18" x14ac:dyDescent="0.35">
      <c r="A462" s="59"/>
      <c r="B462" s="63"/>
    </row>
    <row r="463" spans="1:2" ht="18" x14ac:dyDescent="0.35">
      <c r="A463" s="59"/>
      <c r="B463" s="63"/>
    </row>
    <row r="464" spans="1:2" ht="18" x14ac:dyDescent="0.35">
      <c r="A464" s="59"/>
      <c r="B464" s="63"/>
    </row>
    <row r="465" spans="1:2" ht="18" x14ac:dyDescent="0.35">
      <c r="A465" s="59"/>
      <c r="B465" s="63"/>
    </row>
    <row r="466" spans="1:2" ht="18" x14ac:dyDescent="0.35">
      <c r="A466" s="59"/>
      <c r="B466" s="63"/>
    </row>
    <row r="467" spans="1:2" ht="18" x14ac:dyDescent="0.35">
      <c r="A467" s="59"/>
      <c r="B467" s="63"/>
    </row>
    <row r="468" spans="1:2" ht="18" x14ac:dyDescent="0.35">
      <c r="A468" s="59"/>
      <c r="B468" s="63"/>
    </row>
    <row r="469" spans="1:2" ht="18" x14ac:dyDescent="0.35">
      <c r="A469" s="59"/>
      <c r="B469" s="63"/>
    </row>
    <row r="470" spans="1:2" ht="18" x14ac:dyDescent="0.35">
      <c r="A470" s="59"/>
      <c r="B470" s="63"/>
    </row>
    <row r="471" spans="1:2" ht="18" x14ac:dyDescent="0.35">
      <c r="A471" s="59"/>
      <c r="B471" s="63"/>
    </row>
    <row r="472" spans="1:2" ht="18" x14ac:dyDescent="0.35">
      <c r="A472" s="59"/>
      <c r="B472" s="63"/>
    </row>
    <row r="473" spans="1:2" ht="18" x14ac:dyDescent="0.35">
      <c r="A473" s="59"/>
      <c r="B473" s="63"/>
    </row>
    <row r="474" spans="1:2" ht="18" x14ac:dyDescent="0.35">
      <c r="A474" s="59"/>
      <c r="B474" s="63"/>
    </row>
    <row r="475" spans="1:2" ht="18" x14ac:dyDescent="0.35">
      <c r="A475" s="59"/>
      <c r="B475" s="63"/>
    </row>
    <row r="476" spans="1:2" ht="18" x14ac:dyDescent="0.35">
      <c r="A476" s="59"/>
      <c r="B476" s="63"/>
    </row>
    <row r="477" spans="1:2" ht="18" x14ac:dyDescent="0.35">
      <c r="A477" s="59"/>
      <c r="B477" s="63"/>
    </row>
    <row r="478" spans="1:2" ht="18" x14ac:dyDescent="0.35">
      <c r="A478" s="59"/>
      <c r="B478" s="63"/>
    </row>
    <row r="479" spans="1:2" ht="18" x14ac:dyDescent="0.35">
      <c r="A479" s="59"/>
      <c r="B479" s="63"/>
    </row>
    <row r="480" spans="1:2" ht="18" x14ac:dyDescent="0.35">
      <c r="A480" s="59"/>
      <c r="B480" s="63"/>
    </row>
    <row r="481" spans="1:2" ht="18" x14ac:dyDescent="0.35">
      <c r="A481" s="59"/>
      <c r="B481" s="63"/>
    </row>
    <row r="482" spans="1:2" ht="18" x14ac:dyDescent="0.35">
      <c r="A482" s="59"/>
      <c r="B482" s="63"/>
    </row>
    <row r="483" spans="1:2" ht="18" x14ac:dyDescent="0.35">
      <c r="A483" s="59"/>
      <c r="B483" s="63"/>
    </row>
    <row r="484" spans="1:2" ht="18" x14ac:dyDescent="0.35">
      <c r="A484" s="59"/>
      <c r="B484" s="63"/>
    </row>
    <row r="485" spans="1:2" ht="18" x14ac:dyDescent="0.35">
      <c r="A485" s="59"/>
      <c r="B485" s="63"/>
    </row>
    <row r="486" spans="1:2" ht="18" x14ac:dyDescent="0.35">
      <c r="A486" s="59"/>
      <c r="B486" s="63"/>
    </row>
    <row r="487" spans="1:2" ht="18" x14ac:dyDescent="0.35">
      <c r="A487" s="59"/>
      <c r="B487" s="63"/>
    </row>
    <row r="488" spans="1:2" ht="18" x14ac:dyDescent="0.35">
      <c r="A488" s="59"/>
      <c r="B488" s="63"/>
    </row>
    <row r="489" spans="1:2" ht="18" x14ac:dyDescent="0.35">
      <c r="A489" s="59"/>
      <c r="B489" s="63"/>
    </row>
    <row r="490" spans="1:2" ht="18" x14ac:dyDescent="0.35">
      <c r="A490" s="59"/>
      <c r="B490" s="63"/>
    </row>
    <row r="491" spans="1:2" ht="18" x14ac:dyDescent="0.35">
      <c r="A491" s="59"/>
      <c r="B491" s="63"/>
    </row>
    <row r="492" spans="1:2" ht="18" x14ac:dyDescent="0.35">
      <c r="A492" s="59"/>
      <c r="B492" s="63"/>
    </row>
    <row r="493" spans="1:2" ht="18" x14ac:dyDescent="0.35">
      <c r="A493" s="59"/>
      <c r="B493" s="63"/>
    </row>
    <row r="494" spans="1:2" ht="18" x14ac:dyDescent="0.35">
      <c r="A494" s="59"/>
      <c r="B494" s="63"/>
    </row>
    <row r="495" spans="1:2" ht="18" x14ac:dyDescent="0.35">
      <c r="A495" s="59"/>
      <c r="B495" s="63"/>
    </row>
    <row r="496" spans="1:2" ht="18" x14ac:dyDescent="0.35">
      <c r="A496" s="59"/>
      <c r="B496" s="63"/>
    </row>
    <row r="497" spans="1:2" ht="18" x14ac:dyDescent="0.35">
      <c r="A497" s="59"/>
      <c r="B497" s="63"/>
    </row>
    <row r="498" spans="1:2" ht="18" x14ac:dyDescent="0.35">
      <c r="A498" s="59"/>
      <c r="B498" s="63"/>
    </row>
    <row r="499" spans="1:2" ht="18" x14ac:dyDescent="0.35">
      <c r="A499" s="59"/>
      <c r="B499" s="63"/>
    </row>
    <row r="500" spans="1:2" ht="18" x14ac:dyDescent="0.35">
      <c r="A500" s="59"/>
      <c r="B500" s="63"/>
    </row>
    <row r="501" spans="1:2" ht="18" x14ac:dyDescent="0.35">
      <c r="A501" s="59"/>
      <c r="B501" s="63"/>
    </row>
    <row r="502" spans="1:2" ht="18" x14ac:dyDescent="0.35">
      <c r="A502" s="59"/>
      <c r="B502" s="63"/>
    </row>
    <row r="503" spans="1:2" ht="18" x14ac:dyDescent="0.35">
      <c r="A503" s="59"/>
      <c r="B503" s="63"/>
    </row>
    <row r="504" spans="1:2" ht="18" x14ac:dyDescent="0.35">
      <c r="A504" s="59"/>
      <c r="B504" s="63"/>
    </row>
    <row r="505" spans="1:2" ht="18" x14ac:dyDescent="0.35">
      <c r="A505" s="59"/>
      <c r="B505" s="63"/>
    </row>
    <row r="506" spans="1:2" ht="18" x14ac:dyDescent="0.35">
      <c r="A506" s="59"/>
      <c r="B506" s="63"/>
    </row>
    <row r="507" spans="1:2" ht="18" x14ac:dyDescent="0.35">
      <c r="A507" s="59"/>
      <c r="B507" s="63"/>
    </row>
    <row r="508" spans="1:2" ht="18" x14ac:dyDescent="0.35">
      <c r="A508" s="59"/>
      <c r="B508" s="63"/>
    </row>
    <row r="509" spans="1:2" ht="18" x14ac:dyDescent="0.35">
      <c r="A509" s="59"/>
      <c r="B509" s="63"/>
    </row>
    <row r="510" spans="1:2" ht="18" x14ac:dyDescent="0.35">
      <c r="A510" s="59"/>
      <c r="B510" s="63"/>
    </row>
    <row r="511" spans="1:2" ht="18" x14ac:dyDescent="0.35">
      <c r="A511" s="59"/>
      <c r="B511" s="63"/>
    </row>
    <row r="512" spans="1:2" ht="18" x14ac:dyDescent="0.35">
      <c r="A512" s="59"/>
      <c r="B512" s="63"/>
    </row>
    <row r="513" spans="1:2" ht="18" x14ac:dyDescent="0.35">
      <c r="A513" s="59"/>
      <c r="B513" s="63"/>
    </row>
    <row r="514" spans="1:2" ht="18" x14ac:dyDescent="0.35">
      <c r="A514" s="59"/>
      <c r="B514" s="63"/>
    </row>
    <row r="515" spans="1:2" ht="18" x14ac:dyDescent="0.35">
      <c r="A515" s="59"/>
      <c r="B515" s="63"/>
    </row>
    <row r="516" spans="1:2" ht="18" x14ac:dyDescent="0.35">
      <c r="A516" s="59"/>
      <c r="B516" s="63"/>
    </row>
    <row r="517" spans="1:2" ht="18" x14ac:dyDescent="0.35">
      <c r="A517" s="59"/>
      <c r="B517" s="63"/>
    </row>
    <row r="518" spans="1:2" ht="18" x14ac:dyDescent="0.35">
      <c r="A518" s="59"/>
      <c r="B518" s="63"/>
    </row>
    <row r="519" spans="1:2" ht="18" x14ac:dyDescent="0.35">
      <c r="A519" s="59"/>
      <c r="B519" s="63"/>
    </row>
    <row r="520" spans="1:2" ht="18" x14ac:dyDescent="0.35">
      <c r="A520" s="59"/>
      <c r="B520" s="63"/>
    </row>
    <row r="521" spans="1:2" ht="18" x14ac:dyDescent="0.35">
      <c r="A521" s="59"/>
      <c r="B521" s="63"/>
    </row>
    <row r="522" spans="1:2" ht="18" x14ac:dyDescent="0.35">
      <c r="A522" s="59"/>
      <c r="B522" s="63"/>
    </row>
    <row r="523" spans="1:2" ht="18" x14ac:dyDescent="0.35">
      <c r="A523" s="59"/>
      <c r="B523" s="63"/>
    </row>
    <row r="524" spans="1:2" ht="18" x14ac:dyDescent="0.35">
      <c r="A524" s="59"/>
      <c r="B524" s="63"/>
    </row>
    <row r="525" spans="1:2" ht="18" x14ac:dyDescent="0.35">
      <c r="A525" s="59"/>
      <c r="B525" s="63"/>
    </row>
    <row r="526" spans="1:2" ht="18" x14ac:dyDescent="0.35">
      <c r="A526" s="59"/>
      <c r="B526" s="63"/>
    </row>
    <row r="527" spans="1:2" ht="18" x14ac:dyDescent="0.35">
      <c r="A527" s="59"/>
      <c r="B527" s="63"/>
    </row>
    <row r="528" spans="1:2" ht="18" x14ac:dyDescent="0.35">
      <c r="A528" s="59"/>
      <c r="B528" s="63"/>
    </row>
    <row r="529" spans="1:2" ht="18" x14ac:dyDescent="0.35">
      <c r="A529" s="59"/>
      <c r="B529" s="63"/>
    </row>
    <row r="530" spans="1:2" ht="18" x14ac:dyDescent="0.35">
      <c r="A530" s="59"/>
      <c r="B530" s="63"/>
    </row>
    <row r="531" spans="1:2" ht="18" x14ac:dyDescent="0.35">
      <c r="A531" s="59"/>
      <c r="B531" s="63"/>
    </row>
    <row r="532" spans="1:2" ht="18" x14ac:dyDescent="0.35">
      <c r="A532" s="59"/>
      <c r="B532" s="63"/>
    </row>
    <row r="533" spans="1:2" ht="18" x14ac:dyDescent="0.35">
      <c r="A533" s="59"/>
      <c r="B533" s="63"/>
    </row>
    <row r="534" spans="1:2" ht="18" x14ac:dyDescent="0.35">
      <c r="A534" s="59"/>
      <c r="B534" s="63"/>
    </row>
    <row r="535" spans="1:2" ht="18" x14ac:dyDescent="0.35">
      <c r="A535" s="59"/>
      <c r="B535" s="63"/>
    </row>
    <row r="536" spans="1:2" ht="18" x14ac:dyDescent="0.35">
      <c r="A536" s="59"/>
      <c r="B536" s="63"/>
    </row>
    <row r="537" spans="1:2" ht="18" x14ac:dyDescent="0.35">
      <c r="A537" s="59"/>
      <c r="B537" s="63"/>
    </row>
    <row r="538" spans="1:2" ht="18" x14ac:dyDescent="0.35">
      <c r="A538" s="59"/>
      <c r="B538" s="63"/>
    </row>
    <row r="539" spans="1:2" ht="18" x14ac:dyDescent="0.35">
      <c r="A539" s="59"/>
      <c r="B539" s="63"/>
    </row>
    <row r="540" spans="1:2" ht="18" x14ac:dyDescent="0.35">
      <c r="A540" s="59"/>
      <c r="B540" s="63"/>
    </row>
    <row r="541" spans="1:2" ht="18" x14ac:dyDescent="0.35">
      <c r="A541" s="59"/>
      <c r="B541" s="63"/>
    </row>
    <row r="542" spans="1:2" ht="18" x14ac:dyDescent="0.35">
      <c r="A542" s="59"/>
      <c r="B542" s="63"/>
    </row>
    <row r="543" spans="1:2" ht="18" x14ac:dyDescent="0.35">
      <c r="A543" s="59"/>
      <c r="B543" s="63"/>
    </row>
    <row r="544" spans="1:2" ht="18" x14ac:dyDescent="0.35">
      <c r="A544" s="59"/>
      <c r="B544" s="63"/>
    </row>
    <row r="545" spans="1:2" ht="18" x14ac:dyDescent="0.35">
      <c r="A545" s="59"/>
      <c r="B545" s="63"/>
    </row>
    <row r="546" spans="1:2" ht="18" x14ac:dyDescent="0.35">
      <c r="A546" s="59"/>
      <c r="B546" s="63"/>
    </row>
    <row r="547" spans="1:2" ht="18" x14ac:dyDescent="0.35">
      <c r="A547" s="59"/>
      <c r="B547" s="63"/>
    </row>
    <row r="548" spans="1:2" ht="18" x14ac:dyDescent="0.35">
      <c r="A548" s="59"/>
      <c r="B548" s="63"/>
    </row>
    <row r="549" spans="1:2" ht="18" x14ac:dyDescent="0.35">
      <c r="A549" s="59"/>
      <c r="B549" s="63"/>
    </row>
    <row r="550" spans="1:2" ht="18" x14ac:dyDescent="0.35">
      <c r="A550" s="59"/>
      <c r="B550" s="63"/>
    </row>
    <row r="551" spans="1:2" ht="18" x14ac:dyDescent="0.35">
      <c r="A551" s="59"/>
      <c r="B551" s="63"/>
    </row>
    <row r="552" spans="1:2" ht="18" x14ac:dyDescent="0.35">
      <c r="A552" s="59"/>
      <c r="B552" s="63"/>
    </row>
    <row r="553" spans="1:2" ht="18" x14ac:dyDescent="0.35">
      <c r="A553" s="59"/>
      <c r="B553" s="63"/>
    </row>
    <row r="554" spans="1:2" ht="18" x14ac:dyDescent="0.35">
      <c r="A554" s="59"/>
      <c r="B554" s="63"/>
    </row>
    <row r="555" spans="1:2" ht="18" x14ac:dyDescent="0.35">
      <c r="A555" s="59"/>
      <c r="B555" s="63"/>
    </row>
    <row r="556" spans="1:2" ht="18" x14ac:dyDescent="0.35">
      <c r="A556" s="59"/>
      <c r="B556" s="63"/>
    </row>
    <row r="557" spans="1:2" ht="18" x14ac:dyDescent="0.35">
      <c r="A557" s="59"/>
      <c r="B557" s="63"/>
    </row>
    <row r="558" spans="1:2" ht="18" x14ac:dyDescent="0.35">
      <c r="A558" s="59"/>
      <c r="B558" s="63"/>
    </row>
    <row r="559" spans="1:2" ht="18" x14ac:dyDescent="0.35">
      <c r="A559" s="59"/>
      <c r="B559" s="63"/>
    </row>
    <row r="560" spans="1:2" ht="18" x14ac:dyDescent="0.35">
      <c r="A560" s="59"/>
      <c r="B560" s="63"/>
    </row>
    <row r="561" spans="1:2" ht="18" x14ac:dyDescent="0.35">
      <c r="A561" s="59"/>
      <c r="B561" s="63"/>
    </row>
    <row r="562" spans="1:2" ht="18" x14ac:dyDescent="0.35">
      <c r="A562" s="59"/>
      <c r="B562" s="63"/>
    </row>
    <row r="563" spans="1:2" ht="18" x14ac:dyDescent="0.35">
      <c r="A563" s="59"/>
      <c r="B563" s="63"/>
    </row>
    <row r="564" spans="1:2" ht="18" x14ac:dyDescent="0.35">
      <c r="A564" s="59"/>
      <c r="B564" s="63"/>
    </row>
    <row r="565" spans="1:2" ht="18" x14ac:dyDescent="0.35">
      <c r="A565" s="59"/>
      <c r="B565" s="63"/>
    </row>
    <row r="566" spans="1:2" ht="18" x14ac:dyDescent="0.35">
      <c r="A566" s="59"/>
      <c r="B566" s="63"/>
    </row>
    <row r="567" spans="1:2" ht="18" x14ac:dyDescent="0.35">
      <c r="A567" s="59"/>
      <c r="B567" s="63"/>
    </row>
    <row r="568" spans="1:2" ht="18" x14ac:dyDescent="0.35">
      <c r="A568" s="59"/>
      <c r="B568" s="63"/>
    </row>
    <row r="569" spans="1:2" ht="18" x14ac:dyDescent="0.35">
      <c r="A569" s="59"/>
      <c r="B569" s="63"/>
    </row>
    <row r="570" spans="1:2" ht="18" x14ac:dyDescent="0.35">
      <c r="A570" s="59"/>
      <c r="B570" s="63"/>
    </row>
    <row r="571" spans="1:2" ht="18" x14ac:dyDescent="0.35">
      <c r="A571" s="59"/>
      <c r="B571" s="63"/>
    </row>
    <row r="572" spans="1:2" ht="18" x14ac:dyDescent="0.35">
      <c r="A572" s="59"/>
      <c r="B572" s="63"/>
    </row>
    <row r="573" spans="1:2" ht="18" x14ac:dyDescent="0.35">
      <c r="A573" s="59"/>
      <c r="B573" s="63"/>
    </row>
    <row r="574" spans="1:2" ht="18" x14ac:dyDescent="0.35">
      <c r="A574" s="59"/>
      <c r="B574" s="63"/>
    </row>
    <row r="575" spans="1:2" ht="18" x14ac:dyDescent="0.35">
      <c r="A575" s="59"/>
      <c r="B575" s="63"/>
    </row>
    <row r="576" spans="1:2" ht="18" x14ac:dyDescent="0.35">
      <c r="A576" s="59"/>
      <c r="B576" s="63"/>
    </row>
    <row r="577" spans="1:2" ht="18" x14ac:dyDescent="0.35">
      <c r="A577" s="59"/>
      <c r="B577" s="63"/>
    </row>
    <row r="578" spans="1:2" ht="18" x14ac:dyDescent="0.35">
      <c r="A578" s="59"/>
      <c r="B578" s="63"/>
    </row>
    <row r="579" spans="1:2" ht="18" x14ac:dyDescent="0.35">
      <c r="A579" s="59"/>
      <c r="B579" s="63"/>
    </row>
    <row r="580" spans="1:2" ht="18" x14ac:dyDescent="0.35">
      <c r="A580" s="59"/>
      <c r="B580" s="63"/>
    </row>
    <row r="581" spans="1:2" ht="18" x14ac:dyDescent="0.35">
      <c r="A581" s="59"/>
      <c r="B581" s="63"/>
    </row>
    <row r="582" spans="1:2" ht="18" x14ac:dyDescent="0.35">
      <c r="A582" s="59"/>
      <c r="B582" s="63"/>
    </row>
    <row r="583" spans="1:2" ht="18" x14ac:dyDescent="0.35">
      <c r="A583" s="59"/>
      <c r="B583" s="63"/>
    </row>
    <row r="584" spans="1:2" ht="18" x14ac:dyDescent="0.35">
      <c r="A584" s="59"/>
      <c r="B584" s="63"/>
    </row>
    <row r="585" spans="1:2" ht="18" x14ac:dyDescent="0.35">
      <c r="A585" s="59"/>
      <c r="B585" s="63"/>
    </row>
    <row r="586" spans="1:2" ht="18" x14ac:dyDescent="0.35">
      <c r="A586" s="59"/>
      <c r="B586" s="63"/>
    </row>
    <row r="587" spans="1:2" ht="18" x14ac:dyDescent="0.35">
      <c r="A587" s="59"/>
      <c r="B587" s="63"/>
    </row>
    <row r="588" spans="1:2" ht="18" x14ac:dyDescent="0.35">
      <c r="A588" s="59"/>
      <c r="B588" s="63"/>
    </row>
    <row r="589" spans="1:2" ht="18" x14ac:dyDescent="0.35">
      <c r="A589" s="59"/>
      <c r="B589" s="63"/>
    </row>
    <row r="590" spans="1:2" ht="18" x14ac:dyDescent="0.35">
      <c r="A590" s="59"/>
      <c r="B590" s="63"/>
    </row>
    <row r="591" spans="1:2" ht="18" x14ac:dyDescent="0.35">
      <c r="A591" s="59"/>
      <c r="B591" s="63"/>
    </row>
    <row r="592" spans="1:2" ht="18" x14ac:dyDescent="0.35">
      <c r="A592" s="59"/>
      <c r="B592" s="63"/>
    </row>
    <row r="593" spans="1:2" ht="18" x14ac:dyDescent="0.35">
      <c r="A593" s="59"/>
      <c r="B593" s="63"/>
    </row>
    <row r="594" spans="1:2" ht="18" x14ac:dyDescent="0.35">
      <c r="A594" s="59"/>
      <c r="B594" s="63"/>
    </row>
    <row r="595" spans="1:2" ht="18" x14ac:dyDescent="0.35">
      <c r="A595" s="59"/>
      <c r="B595" s="63"/>
    </row>
    <row r="596" spans="1:2" ht="18" x14ac:dyDescent="0.35">
      <c r="A596" s="59"/>
      <c r="B596" s="63"/>
    </row>
    <row r="597" spans="1:2" ht="18" x14ac:dyDescent="0.35">
      <c r="A597" s="59"/>
      <c r="B597" s="63"/>
    </row>
    <row r="598" spans="1:2" ht="18" x14ac:dyDescent="0.35">
      <c r="A598" s="59"/>
      <c r="B598" s="63"/>
    </row>
    <row r="599" spans="1:2" ht="18" x14ac:dyDescent="0.35">
      <c r="A599" s="59"/>
      <c r="B599" s="63"/>
    </row>
    <row r="600" spans="1:2" ht="18" x14ac:dyDescent="0.35">
      <c r="A600" s="59"/>
      <c r="B600" s="63"/>
    </row>
    <row r="601" spans="1:2" ht="18" x14ac:dyDescent="0.35">
      <c r="A601" s="59"/>
      <c r="B601" s="63"/>
    </row>
    <row r="602" spans="1:2" ht="18" x14ac:dyDescent="0.35">
      <c r="A602" s="59"/>
      <c r="B602" s="63"/>
    </row>
    <row r="603" spans="1:2" ht="18" x14ac:dyDescent="0.35">
      <c r="A603" s="59"/>
      <c r="B603" s="63"/>
    </row>
    <row r="604" spans="1:2" ht="18" x14ac:dyDescent="0.35">
      <c r="A604" s="59"/>
      <c r="B604" s="63"/>
    </row>
    <row r="605" spans="1:2" ht="18" x14ac:dyDescent="0.35">
      <c r="A605" s="59"/>
      <c r="B605" s="63"/>
    </row>
    <row r="606" spans="1:2" ht="18" x14ac:dyDescent="0.35">
      <c r="A606" s="59"/>
      <c r="B606" s="63"/>
    </row>
    <row r="607" spans="1:2" ht="18" x14ac:dyDescent="0.35">
      <c r="A607" s="59"/>
      <c r="B607" s="63"/>
    </row>
    <row r="608" spans="1:2" ht="18" x14ac:dyDescent="0.35">
      <c r="A608" s="59"/>
      <c r="B608" s="63"/>
    </row>
    <row r="609" spans="1:2" ht="18" x14ac:dyDescent="0.35">
      <c r="A609" s="59"/>
      <c r="B609" s="63"/>
    </row>
    <row r="610" spans="1:2" ht="18" x14ac:dyDescent="0.35">
      <c r="A610" s="59"/>
      <c r="B610" s="63"/>
    </row>
    <row r="611" spans="1:2" ht="18" x14ac:dyDescent="0.35">
      <c r="A611" s="59"/>
      <c r="B611" s="63"/>
    </row>
    <row r="612" spans="1:2" ht="18" x14ac:dyDescent="0.35">
      <c r="A612" s="59"/>
      <c r="B612" s="63"/>
    </row>
    <row r="613" spans="1:2" ht="18" x14ac:dyDescent="0.35">
      <c r="A613" s="59"/>
      <c r="B613" s="63"/>
    </row>
    <row r="614" spans="1:2" ht="18" x14ac:dyDescent="0.35">
      <c r="A614" s="59"/>
      <c r="B614" s="63"/>
    </row>
    <row r="615" spans="1:2" ht="18" x14ac:dyDescent="0.35">
      <c r="A615" s="59"/>
      <c r="B615" s="63"/>
    </row>
    <row r="616" spans="1:2" ht="18" x14ac:dyDescent="0.35">
      <c r="A616" s="59"/>
      <c r="B616" s="63"/>
    </row>
    <row r="617" spans="1:2" ht="18" x14ac:dyDescent="0.35">
      <c r="A617" s="59"/>
      <c r="B617" s="63"/>
    </row>
    <row r="618" spans="1:2" ht="18" x14ac:dyDescent="0.35">
      <c r="A618" s="59"/>
      <c r="B618" s="63"/>
    </row>
    <row r="619" spans="1:2" ht="18" x14ac:dyDescent="0.35">
      <c r="A619" s="59"/>
      <c r="B619" s="63"/>
    </row>
    <row r="620" spans="1:2" ht="18" x14ac:dyDescent="0.35">
      <c r="A620" s="59"/>
      <c r="B620" s="63"/>
    </row>
    <row r="621" spans="1:2" ht="18" x14ac:dyDescent="0.35">
      <c r="A621" s="59"/>
      <c r="B621" s="63"/>
    </row>
    <row r="622" spans="1:2" ht="18" x14ac:dyDescent="0.35">
      <c r="A622" s="59"/>
      <c r="B622" s="63"/>
    </row>
    <row r="623" spans="1:2" ht="18" x14ac:dyDescent="0.35">
      <c r="A623" s="59"/>
      <c r="B623" s="63"/>
    </row>
    <row r="624" spans="1:2" ht="18" x14ac:dyDescent="0.35">
      <c r="A624" s="59"/>
      <c r="B624" s="63"/>
    </row>
    <row r="625" spans="1:2" ht="18" x14ac:dyDescent="0.35">
      <c r="A625" s="59"/>
      <c r="B625" s="63"/>
    </row>
    <row r="626" spans="1:2" ht="18" x14ac:dyDescent="0.35">
      <c r="A626" s="59"/>
      <c r="B626" s="63"/>
    </row>
    <row r="627" spans="1:2" ht="18" x14ac:dyDescent="0.35">
      <c r="A627" s="59"/>
      <c r="B627" s="63"/>
    </row>
    <row r="628" spans="1:2" ht="18" x14ac:dyDescent="0.35">
      <c r="A628" s="59"/>
      <c r="B628" s="63"/>
    </row>
    <row r="629" spans="1:2" ht="18" x14ac:dyDescent="0.35">
      <c r="A629" s="59"/>
      <c r="B629" s="63"/>
    </row>
    <row r="630" spans="1:2" ht="18" x14ac:dyDescent="0.35">
      <c r="A630" s="59"/>
      <c r="B630" s="63"/>
    </row>
    <row r="631" spans="1:2" ht="18" x14ac:dyDescent="0.35">
      <c r="A631" s="59"/>
      <c r="B631" s="63"/>
    </row>
    <row r="632" spans="1:2" ht="18" x14ac:dyDescent="0.35">
      <c r="A632" s="59"/>
      <c r="B632" s="63"/>
    </row>
    <row r="633" spans="1:2" ht="18" x14ac:dyDescent="0.35">
      <c r="A633" s="59"/>
      <c r="B633" s="63"/>
    </row>
    <row r="634" spans="1:2" ht="18" x14ac:dyDescent="0.35">
      <c r="A634" s="59"/>
      <c r="B634" s="63"/>
    </row>
    <row r="635" spans="1:2" ht="18" x14ac:dyDescent="0.35">
      <c r="A635" s="59"/>
      <c r="B635" s="63"/>
    </row>
    <row r="636" spans="1:2" ht="18" x14ac:dyDescent="0.35">
      <c r="A636" s="59"/>
      <c r="B636" s="63"/>
    </row>
    <row r="637" spans="1:2" ht="18" x14ac:dyDescent="0.35">
      <c r="A637" s="59"/>
      <c r="B637" s="63"/>
    </row>
    <row r="638" spans="1:2" ht="18" x14ac:dyDescent="0.35">
      <c r="A638" s="59"/>
      <c r="B638" s="63"/>
    </row>
    <row r="639" spans="1:2" ht="18" x14ac:dyDescent="0.35">
      <c r="A639" s="59"/>
      <c r="B639" s="63"/>
    </row>
    <row r="640" spans="1:2" ht="18" x14ac:dyDescent="0.35">
      <c r="A640" s="59"/>
      <c r="B640" s="63"/>
    </row>
    <row r="641" spans="1:2" ht="18" x14ac:dyDescent="0.35">
      <c r="A641" s="59"/>
      <c r="B641" s="63"/>
    </row>
    <row r="642" spans="1:2" ht="18" x14ac:dyDescent="0.35">
      <c r="A642" s="59"/>
      <c r="B642" s="63"/>
    </row>
    <row r="643" spans="1:2" ht="18" x14ac:dyDescent="0.35">
      <c r="A643" s="59"/>
      <c r="B643" s="63"/>
    </row>
    <row r="644" spans="1:2" ht="18" x14ac:dyDescent="0.35">
      <c r="A644" s="59"/>
      <c r="B644" s="63"/>
    </row>
    <row r="645" spans="1:2" ht="18" x14ac:dyDescent="0.35">
      <c r="A645" s="59"/>
      <c r="B645" s="63"/>
    </row>
    <row r="646" spans="1:2" ht="18" x14ac:dyDescent="0.35">
      <c r="A646" s="59"/>
      <c r="B646" s="63"/>
    </row>
    <row r="647" spans="1:2" ht="18" x14ac:dyDescent="0.35">
      <c r="A647" s="59"/>
      <c r="B647" s="63"/>
    </row>
    <row r="648" spans="1:2" ht="18" x14ac:dyDescent="0.35">
      <c r="A648" s="59"/>
      <c r="B648" s="63"/>
    </row>
    <row r="649" spans="1:2" ht="18" x14ac:dyDescent="0.35">
      <c r="A649" s="59"/>
      <c r="B649" s="63"/>
    </row>
    <row r="650" spans="1:2" ht="18" x14ac:dyDescent="0.35">
      <c r="A650" s="59"/>
      <c r="B650" s="63"/>
    </row>
    <row r="651" spans="1:2" ht="18" x14ac:dyDescent="0.35">
      <c r="A651" s="59"/>
      <c r="B651" s="63"/>
    </row>
    <row r="652" spans="1:2" ht="18" x14ac:dyDescent="0.35">
      <c r="A652" s="59"/>
      <c r="B652" s="63"/>
    </row>
    <row r="653" spans="1:2" ht="18" x14ac:dyDescent="0.35">
      <c r="A653" s="59"/>
      <c r="B653" s="63"/>
    </row>
    <row r="654" spans="1:2" ht="18" x14ac:dyDescent="0.35">
      <c r="A654" s="59"/>
      <c r="B654" s="63"/>
    </row>
    <row r="655" spans="1:2" ht="18" x14ac:dyDescent="0.35">
      <c r="A655" s="59"/>
      <c r="B655" s="63"/>
    </row>
    <row r="656" spans="1:2" ht="18" x14ac:dyDescent="0.35">
      <c r="A656" s="59"/>
      <c r="B656" s="63"/>
    </row>
    <row r="657" spans="1:2" ht="18" x14ac:dyDescent="0.35">
      <c r="A657" s="59"/>
      <c r="B657" s="63"/>
    </row>
    <row r="658" spans="1:2" ht="18" x14ac:dyDescent="0.35">
      <c r="A658" s="59"/>
      <c r="B658" s="63"/>
    </row>
    <row r="659" spans="1:2" ht="18" x14ac:dyDescent="0.35">
      <c r="A659" s="59"/>
      <c r="B659" s="63"/>
    </row>
    <row r="660" spans="1:2" ht="18" x14ac:dyDescent="0.35">
      <c r="A660" s="59"/>
      <c r="B660" s="63"/>
    </row>
    <row r="661" spans="1:2" ht="18" x14ac:dyDescent="0.35">
      <c r="A661" s="59"/>
      <c r="B661" s="63"/>
    </row>
    <row r="662" spans="1:2" ht="18" x14ac:dyDescent="0.35">
      <c r="A662" s="59"/>
      <c r="B662" s="63"/>
    </row>
    <row r="663" spans="1:2" ht="18" x14ac:dyDescent="0.35">
      <c r="A663" s="59"/>
      <c r="B663" s="63"/>
    </row>
    <row r="664" spans="1:2" ht="18" x14ac:dyDescent="0.35">
      <c r="A664" s="59"/>
      <c r="B664" s="63"/>
    </row>
    <row r="665" spans="1:2" ht="18" x14ac:dyDescent="0.35">
      <c r="A665" s="59"/>
      <c r="B665" s="63"/>
    </row>
    <row r="666" spans="1:2" ht="18" x14ac:dyDescent="0.35">
      <c r="A666" s="59"/>
      <c r="B666" s="63"/>
    </row>
    <row r="667" spans="1:2" ht="18" x14ac:dyDescent="0.35">
      <c r="A667" s="59"/>
      <c r="B667" s="63"/>
    </row>
    <row r="668" spans="1:2" ht="18" x14ac:dyDescent="0.35">
      <c r="A668" s="59"/>
      <c r="B668" s="63"/>
    </row>
    <row r="669" spans="1:2" ht="18" x14ac:dyDescent="0.35">
      <c r="A669" s="59"/>
      <c r="B669" s="63"/>
    </row>
    <row r="670" spans="1:2" ht="18" x14ac:dyDescent="0.35">
      <c r="A670" s="59"/>
      <c r="B670" s="63"/>
    </row>
    <row r="671" spans="1:2" ht="18" x14ac:dyDescent="0.35">
      <c r="A671" s="59"/>
      <c r="B671" s="63"/>
    </row>
    <row r="672" spans="1:2" ht="18" x14ac:dyDescent="0.35">
      <c r="A672" s="59"/>
      <c r="B672" s="63"/>
    </row>
    <row r="673" spans="1:2" ht="18" x14ac:dyDescent="0.35">
      <c r="A673" s="59"/>
      <c r="B673" s="63"/>
    </row>
    <row r="674" spans="1:2" ht="18" x14ac:dyDescent="0.35">
      <c r="A674" s="59"/>
      <c r="B674" s="63"/>
    </row>
    <row r="675" spans="1:2" ht="18" x14ac:dyDescent="0.35">
      <c r="A675" s="59"/>
      <c r="B675" s="63"/>
    </row>
    <row r="676" spans="1:2" ht="18" x14ac:dyDescent="0.35">
      <c r="A676" s="59"/>
      <c r="B676" s="63"/>
    </row>
    <row r="677" spans="1:2" ht="18" x14ac:dyDescent="0.35">
      <c r="A677" s="59"/>
      <c r="B677" s="63"/>
    </row>
    <row r="678" spans="1:2" ht="18" x14ac:dyDescent="0.35">
      <c r="A678" s="59"/>
      <c r="B678" s="63"/>
    </row>
    <row r="679" spans="1:2" ht="18" x14ac:dyDescent="0.35">
      <c r="A679" s="59"/>
      <c r="B679" s="63"/>
    </row>
    <row r="680" spans="1:2" ht="18" x14ac:dyDescent="0.35">
      <c r="A680" s="59"/>
      <c r="B680" s="63"/>
    </row>
    <row r="681" spans="1:2" ht="18" x14ac:dyDescent="0.35">
      <c r="A681" s="59"/>
      <c r="B681" s="63"/>
    </row>
    <row r="682" spans="1:2" ht="18" x14ac:dyDescent="0.35">
      <c r="A682" s="59"/>
      <c r="B682" s="63"/>
    </row>
    <row r="683" spans="1:2" ht="18" x14ac:dyDescent="0.35">
      <c r="A683" s="59"/>
      <c r="B683" s="63"/>
    </row>
    <row r="684" spans="1:2" ht="18" x14ac:dyDescent="0.35">
      <c r="A684" s="59"/>
      <c r="B684" s="63"/>
    </row>
    <row r="685" spans="1:2" ht="18" x14ac:dyDescent="0.35">
      <c r="A685" s="59"/>
      <c r="B685" s="63"/>
    </row>
    <row r="686" spans="1:2" ht="18" x14ac:dyDescent="0.35">
      <c r="A686" s="59"/>
      <c r="B686" s="63"/>
    </row>
    <row r="687" spans="1:2" ht="18" x14ac:dyDescent="0.35">
      <c r="A687" s="59"/>
      <c r="B687" s="63"/>
    </row>
    <row r="688" spans="1:2" ht="18" x14ac:dyDescent="0.35">
      <c r="A688" s="59"/>
      <c r="B688" s="63"/>
    </row>
    <row r="689" spans="1:2" ht="18" x14ac:dyDescent="0.35">
      <c r="A689" s="59"/>
      <c r="B689" s="63"/>
    </row>
    <row r="690" spans="1:2" ht="18" x14ac:dyDescent="0.35">
      <c r="A690" s="59"/>
      <c r="B690" s="63"/>
    </row>
    <row r="691" spans="1:2" ht="18" x14ac:dyDescent="0.35">
      <c r="A691" s="59"/>
      <c r="B691" s="63"/>
    </row>
    <row r="692" spans="1:2" ht="18" x14ac:dyDescent="0.35">
      <c r="A692" s="59"/>
      <c r="B692" s="63"/>
    </row>
    <row r="693" spans="1:2" ht="18" x14ac:dyDescent="0.35">
      <c r="A693" s="59"/>
      <c r="B693" s="63"/>
    </row>
    <row r="694" spans="1:2" ht="18" x14ac:dyDescent="0.35">
      <c r="A694" s="59"/>
      <c r="B694" s="63"/>
    </row>
    <row r="695" spans="1:2" ht="18" x14ac:dyDescent="0.35">
      <c r="A695" s="59"/>
      <c r="B695" s="63"/>
    </row>
    <row r="696" spans="1:2" ht="18" x14ac:dyDescent="0.35">
      <c r="A696" s="59"/>
      <c r="B696" s="63"/>
    </row>
    <row r="697" spans="1:2" ht="18" x14ac:dyDescent="0.35">
      <c r="A697" s="59"/>
      <c r="B697" s="63"/>
    </row>
    <row r="698" spans="1:2" ht="18" x14ac:dyDescent="0.35">
      <c r="A698" s="59"/>
      <c r="B698" s="63"/>
    </row>
    <row r="699" spans="1:2" ht="18" x14ac:dyDescent="0.35">
      <c r="A699" s="59"/>
      <c r="B699" s="63"/>
    </row>
    <row r="700" spans="1:2" ht="18" x14ac:dyDescent="0.35">
      <c r="A700" s="59"/>
      <c r="B700" s="63"/>
    </row>
    <row r="701" spans="1:2" ht="18" x14ac:dyDescent="0.35">
      <c r="A701" s="59"/>
      <c r="B701" s="63"/>
    </row>
    <row r="702" spans="1:2" ht="18" x14ac:dyDescent="0.35">
      <c r="A702" s="59"/>
      <c r="B702" s="63"/>
    </row>
    <row r="703" spans="1:2" ht="18" x14ac:dyDescent="0.35">
      <c r="A703" s="59"/>
      <c r="B703" s="63"/>
    </row>
    <row r="704" spans="1:2" ht="18" x14ac:dyDescent="0.35">
      <c r="A704" s="59"/>
      <c r="B704" s="63"/>
    </row>
    <row r="705" spans="1:2" ht="18" x14ac:dyDescent="0.35">
      <c r="A705" s="59"/>
      <c r="B705" s="63"/>
    </row>
    <row r="706" spans="1:2" ht="18" x14ac:dyDescent="0.35">
      <c r="A706" s="59"/>
      <c r="B706" s="63"/>
    </row>
    <row r="707" spans="1:2" ht="18" x14ac:dyDescent="0.35">
      <c r="A707" s="59"/>
      <c r="B707" s="63"/>
    </row>
    <row r="708" spans="1:2" ht="18" x14ac:dyDescent="0.35">
      <c r="A708" s="59"/>
      <c r="B708" s="63"/>
    </row>
    <row r="709" spans="1:2" ht="18" x14ac:dyDescent="0.35">
      <c r="A709" s="59"/>
      <c r="B709" s="63"/>
    </row>
    <row r="710" spans="1:2" ht="18" x14ac:dyDescent="0.35">
      <c r="A710" s="59"/>
      <c r="B710" s="63"/>
    </row>
    <row r="711" spans="1:2" ht="18" x14ac:dyDescent="0.35">
      <c r="A711" s="59"/>
      <c r="B711" s="63"/>
    </row>
    <row r="712" spans="1:2" ht="18" x14ac:dyDescent="0.35">
      <c r="A712" s="59"/>
      <c r="B712" s="63"/>
    </row>
    <row r="713" spans="1:2" ht="18" x14ac:dyDescent="0.35">
      <c r="A713" s="59"/>
      <c r="B713" s="63"/>
    </row>
    <row r="714" spans="1:2" ht="18" x14ac:dyDescent="0.35">
      <c r="A714" s="59"/>
      <c r="B714" s="63"/>
    </row>
    <row r="715" spans="1:2" ht="18" x14ac:dyDescent="0.35">
      <c r="A715" s="59"/>
      <c r="B715" s="63"/>
    </row>
    <row r="716" spans="1:2" ht="18" x14ac:dyDescent="0.35">
      <c r="A716" s="59"/>
      <c r="B716" s="63"/>
    </row>
    <row r="717" spans="1:2" ht="18" x14ac:dyDescent="0.35">
      <c r="A717" s="59"/>
      <c r="B717" s="63"/>
    </row>
    <row r="718" spans="1:2" ht="18" x14ac:dyDescent="0.35">
      <c r="A718" s="59"/>
      <c r="B718" s="63"/>
    </row>
    <row r="719" spans="1:2" ht="18" x14ac:dyDescent="0.35">
      <c r="A719" s="59"/>
      <c r="B719" s="63"/>
    </row>
    <row r="720" spans="1:2" ht="18" x14ac:dyDescent="0.35">
      <c r="A720" s="59"/>
      <c r="B720" s="63"/>
    </row>
    <row r="721" spans="1:2" ht="18" x14ac:dyDescent="0.35">
      <c r="A721" s="59"/>
      <c r="B721" s="63"/>
    </row>
    <row r="722" spans="1:2" ht="18" x14ac:dyDescent="0.35">
      <c r="A722" s="59"/>
      <c r="B722" s="63"/>
    </row>
    <row r="723" spans="1:2" ht="18" x14ac:dyDescent="0.35">
      <c r="A723" s="59"/>
      <c r="B723" s="63"/>
    </row>
    <row r="724" spans="1:2" ht="18" x14ac:dyDescent="0.35">
      <c r="A724" s="59"/>
      <c r="B724" s="63"/>
    </row>
    <row r="725" spans="1:2" ht="18" x14ac:dyDescent="0.35">
      <c r="A725" s="59"/>
      <c r="B725" s="63"/>
    </row>
    <row r="726" spans="1:2" ht="18" x14ac:dyDescent="0.35">
      <c r="A726" s="59"/>
      <c r="B726" s="63"/>
    </row>
    <row r="727" spans="1:2" ht="18" x14ac:dyDescent="0.35">
      <c r="A727" s="59"/>
      <c r="B727" s="63"/>
    </row>
    <row r="728" spans="1:2" ht="18" x14ac:dyDescent="0.35">
      <c r="A728" s="59"/>
      <c r="B728" s="63"/>
    </row>
    <row r="729" spans="1:2" ht="18" x14ac:dyDescent="0.35">
      <c r="A729" s="59"/>
      <c r="B729" s="63"/>
    </row>
    <row r="730" spans="1:2" ht="18" x14ac:dyDescent="0.35">
      <c r="A730" s="59"/>
      <c r="B730" s="63"/>
    </row>
    <row r="731" spans="1:2" ht="18" x14ac:dyDescent="0.35">
      <c r="A731" s="59"/>
      <c r="B731" s="63"/>
    </row>
    <row r="732" spans="1:2" ht="18" x14ac:dyDescent="0.35">
      <c r="A732" s="59"/>
      <c r="B732" s="63"/>
    </row>
    <row r="733" spans="1:2" ht="18" x14ac:dyDescent="0.35">
      <c r="A733" s="59"/>
      <c r="B733" s="63"/>
    </row>
    <row r="734" spans="1:2" ht="18" x14ac:dyDescent="0.35">
      <c r="A734" s="59"/>
      <c r="B734" s="63"/>
    </row>
    <row r="735" spans="1:2" ht="18" x14ac:dyDescent="0.35">
      <c r="A735" s="59"/>
      <c r="B735" s="63"/>
    </row>
    <row r="736" spans="1:2" ht="18" x14ac:dyDescent="0.35">
      <c r="A736" s="59"/>
      <c r="B736" s="63"/>
    </row>
    <row r="737" spans="1:2" ht="18" x14ac:dyDescent="0.35">
      <c r="A737" s="59"/>
      <c r="B737" s="63"/>
    </row>
    <row r="738" spans="1:2" ht="18" x14ac:dyDescent="0.35">
      <c r="A738" s="59"/>
      <c r="B738" s="63"/>
    </row>
    <row r="739" spans="1:2" ht="18" x14ac:dyDescent="0.35">
      <c r="A739" s="59"/>
      <c r="B739" s="63"/>
    </row>
    <row r="740" spans="1:2" ht="18" x14ac:dyDescent="0.35">
      <c r="A740" s="59"/>
      <c r="B740" s="63"/>
    </row>
    <row r="741" spans="1:2" ht="18" x14ac:dyDescent="0.35">
      <c r="A741" s="59"/>
      <c r="B741" s="63"/>
    </row>
    <row r="742" spans="1:2" ht="18" x14ac:dyDescent="0.35">
      <c r="A742" s="59"/>
      <c r="B742" s="63"/>
    </row>
    <row r="743" spans="1:2" ht="18" x14ac:dyDescent="0.35">
      <c r="A743" s="59"/>
      <c r="B743" s="63"/>
    </row>
    <row r="744" spans="1:2" ht="18" x14ac:dyDescent="0.35">
      <c r="A744" s="59"/>
      <c r="B744" s="63"/>
    </row>
    <row r="745" spans="1:2" ht="18" x14ac:dyDescent="0.35">
      <c r="A745" s="59"/>
      <c r="B745" s="63"/>
    </row>
    <row r="746" spans="1:2" ht="18" x14ac:dyDescent="0.35">
      <c r="A746" s="59"/>
      <c r="B746" s="63"/>
    </row>
    <row r="747" spans="1:2" ht="18" x14ac:dyDescent="0.35">
      <c r="A747" s="59"/>
      <c r="B747" s="63"/>
    </row>
    <row r="748" spans="1:2" ht="18" x14ac:dyDescent="0.35">
      <c r="A748" s="59"/>
      <c r="B748" s="63"/>
    </row>
    <row r="749" spans="1:2" ht="18" x14ac:dyDescent="0.35">
      <c r="A749" s="59"/>
      <c r="B749" s="63"/>
    </row>
    <row r="750" spans="1:2" ht="18" x14ac:dyDescent="0.35">
      <c r="A750" s="59"/>
      <c r="B750" s="63"/>
    </row>
    <row r="751" spans="1:2" ht="18" x14ac:dyDescent="0.35">
      <c r="A751" s="59"/>
      <c r="B751" s="63"/>
    </row>
    <row r="752" spans="1:2" ht="18" x14ac:dyDescent="0.35">
      <c r="A752" s="59"/>
      <c r="B752" s="63"/>
    </row>
    <row r="753" spans="1:2" ht="18" x14ac:dyDescent="0.35">
      <c r="A753" s="59"/>
      <c r="B753" s="63"/>
    </row>
    <row r="754" spans="1:2" ht="18" x14ac:dyDescent="0.35">
      <c r="A754" s="59"/>
      <c r="B754" s="63"/>
    </row>
    <row r="755" spans="1:2" ht="18" x14ac:dyDescent="0.35">
      <c r="A755" s="59"/>
      <c r="B755" s="63"/>
    </row>
    <row r="756" spans="1:2" ht="18" x14ac:dyDescent="0.35">
      <c r="A756" s="59"/>
      <c r="B756" s="63"/>
    </row>
    <row r="757" spans="1:2" ht="18" x14ac:dyDescent="0.35">
      <c r="A757" s="59"/>
      <c r="B757" s="63"/>
    </row>
    <row r="758" spans="1:2" ht="18" x14ac:dyDescent="0.35">
      <c r="A758" s="59"/>
      <c r="B758" s="63"/>
    </row>
    <row r="759" spans="1:2" ht="18" x14ac:dyDescent="0.35">
      <c r="A759" s="59"/>
      <c r="B759" s="63"/>
    </row>
    <row r="760" spans="1:2" ht="18" x14ac:dyDescent="0.35">
      <c r="A760" s="59"/>
      <c r="B760" s="63"/>
    </row>
    <row r="761" spans="1:2" ht="18" x14ac:dyDescent="0.35">
      <c r="A761" s="59"/>
      <c r="B761" s="63"/>
    </row>
    <row r="762" spans="1:2" ht="18" x14ac:dyDescent="0.35">
      <c r="A762" s="59"/>
      <c r="B762" s="63"/>
    </row>
    <row r="763" spans="1:2" ht="18" x14ac:dyDescent="0.35">
      <c r="A763" s="59"/>
      <c r="B763" s="63"/>
    </row>
    <row r="764" spans="1:2" ht="18" x14ac:dyDescent="0.35">
      <c r="A764" s="59"/>
      <c r="B764" s="63"/>
    </row>
    <row r="765" spans="1:2" ht="18" x14ac:dyDescent="0.35">
      <c r="A765" s="59"/>
      <c r="B765" s="63"/>
    </row>
    <row r="766" spans="1:2" ht="18" x14ac:dyDescent="0.35">
      <c r="A766" s="59"/>
      <c r="B766" s="63"/>
    </row>
    <row r="767" spans="1:2" ht="18" x14ac:dyDescent="0.35">
      <c r="A767" s="59"/>
      <c r="B767" s="63"/>
    </row>
    <row r="768" spans="1:2" ht="18" x14ac:dyDescent="0.35">
      <c r="A768" s="59"/>
      <c r="B768" s="63"/>
    </row>
    <row r="769" spans="1:2" ht="18" x14ac:dyDescent="0.35">
      <c r="A769" s="59"/>
      <c r="B769" s="63"/>
    </row>
    <row r="770" spans="1:2" ht="18" x14ac:dyDescent="0.35">
      <c r="A770" s="59"/>
      <c r="B770" s="63"/>
    </row>
    <row r="771" spans="1:2" ht="18" x14ac:dyDescent="0.35">
      <c r="A771" s="59"/>
      <c r="B771" s="63"/>
    </row>
    <row r="772" spans="1:2" ht="18" x14ac:dyDescent="0.35">
      <c r="A772" s="59"/>
      <c r="B772" s="63"/>
    </row>
    <row r="773" spans="1:2" ht="18" x14ac:dyDescent="0.35">
      <c r="A773" s="59"/>
      <c r="B773" s="63"/>
    </row>
    <row r="774" spans="1:2" ht="18" x14ac:dyDescent="0.35">
      <c r="A774" s="59"/>
      <c r="B774" s="63"/>
    </row>
    <row r="775" spans="1:2" ht="18" x14ac:dyDescent="0.35">
      <c r="A775" s="59"/>
      <c r="B775" s="63"/>
    </row>
    <row r="776" spans="1:2" ht="18" x14ac:dyDescent="0.35">
      <c r="A776" s="59"/>
      <c r="B776" s="63"/>
    </row>
    <row r="777" spans="1:2" ht="18" x14ac:dyDescent="0.35">
      <c r="A777" s="59"/>
      <c r="B777" s="63"/>
    </row>
    <row r="778" spans="1:2" ht="18" x14ac:dyDescent="0.35">
      <c r="A778" s="59"/>
      <c r="B778" s="63"/>
    </row>
    <row r="779" spans="1:2" ht="18" x14ac:dyDescent="0.35">
      <c r="A779" s="59"/>
      <c r="B779" s="63"/>
    </row>
    <row r="780" spans="1:2" ht="18" x14ac:dyDescent="0.35">
      <c r="A780" s="59"/>
      <c r="B780" s="63"/>
    </row>
    <row r="781" spans="1:2" ht="18" x14ac:dyDescent="0.35">
      <c r="A781" s="59"/>
      <c r="B781" s="63"/>
    </row>
    <row r="782" spans="1:2" ht="18" x14ac:dyDescent="0.35">
      <c r="A782" s="59"/>
      <c r="B782" s="63"/>
    </row>
    <row r="783" spans="1:2" ht="18" x14ac:dyDescent="0.35">
      <c r="A783" s="59"/>
      <c r="B783" s="63"/>
    </row>
    <row r="784" spans="1:2" ht="18" x14ac:dyDescent="0.35">
      <c r="A784" s="59"/>
      <c r="B784" s="63"/>
    </row>
    <row r="785" spans="1:2" ht="18" x14ac:dyDescent="0.35">
      <c r="A785" s="59"/>
      <c r="B785" s="63"/>
    </row>
    <row r="786" spans="1:2" ht="18" x14ac:dyDescent="0.35">
      <c r="A786" s="59"/>
      <c r="B786" s="63"/>
    </row>
    <row r="787" spans="1:2" ht="18" x14ac:dyDescent="0.35">
      <c r="A787" s="59"/>
      <c r="B787" s="63"/>
    </row>
    <row r="788" spans="1:2" ht="18" x14ac:dyDescent="0.35">
      <c r="A788" s="59"/>
      <c r="B788" s="63"/>
    </row>
    <row r="789" spans="1:2" ht="18" x14ac:dyDescent="0.35">
      <c r="A789" s="59"/>
      <c r="B789" s="63"/>
    </row>
    <row r="790" spans="1:2" ht="18" x14ac:dyDescent="0.35">
      <c r="A790" s="59"/>
      <c r="B790" s="63"/>
    </row>
    <row r="791" spans="1:2" ht="18" x14ac:dyDescent="0.35">
      <c r="A791" s="59"/>
      <c r="B791" s="63"/>
    </row>
    <row r="792" spans="1:2" ht="18" x14ac:dyDescent="0.35">
      <c r="A792" s="59"/>
      <c r="B792" s="63"/>
    </row>
    <row r="793" spans="1:2" ht="18" x14ac:dyDescent="0.35">
      <c r="A793" s="59"/>
      <c r="B793" s="63"/>
    </row>
    <row r="794" spans="1:2" ht="18" x14ac:dyDescent="0.35">
      <c r="A794" s="59"/>
      <c r="B794" s="63"/>
    </row>
    <row r="795" spans="1:2" ht="18" x14ac:dyDescent="0.35">
      <c r="A795" s="59"/>
      <c r="B795" s="63"/>
    </row>
    <row r="796" spans="1:2" ht="18" x14ac:dyDescent="0.35">
      <c r="A796" s="59"/>
      <c r="B796" s="63"/>
    </row>
    <row r="797" spans="1:2" ht="18" x14ac:dyDescent="0.35">
      <c r="A797" s="59"/>
      <c r="B797" s="63"/>
    </row>
    <row r="798" spans="1:2" ht="18" x14ac:dyDescent="0.35">
      <c r="A798" s="59"/>
      <c r="B798" s="63"/>
    </row>
    <row r="799" spans="1:2" ht="18" x14ac:dyDescent="0.35">
      <c r="A799" s="59"/>
      <c r="B799" s="63"/>
    </row>
    <row r="800" spans="1:2" ht="18" x14ac:dyDescent="0.35">
      <c r="A800" s="59"/>
      <c r="B800" s="63"/>
    </row>
    <row r="801" spans="1:2" ht="18" x14ac:dyDescent="0.35">
      <c r="A801" s="59"/>
      <c r="B801" s="63"/>
    </row>
    <row r="802" spans="1:2" ht="18" x14ac:dyDescent="0.35">
      <c r="A802" s="59"/>
      <c r="B802" s="63"/>
    </row>
    <row r="803" spans="1:2" ht="18" x14ac:dyDescent="0.35">
      <c r="A803" s="59"/>
      <c r="B803" s="63"/>
    </row>
    <row r="804" spans="1:2" ht="18" x14ac:dyDescent="0.35">
      <c r="A804" s="59"/>
      <c r="B804" s="63"/>
    </row>
    <row r="805" spans="1:2" ht="18" x14ac:dyDescent="0.35">
      <c r="A805" s="59"/>
      <c r="B805" s="63"/>
    </row>
    <row r="806" spans="1:2" ht="18" x14ac:dyDescent="0.35">
      <c r="A806" s="59"/>
      <c r="B806" s="63"/>
    </row>
    <row r="807" spans="1:2" ht="18" x14ac:dyDescent="0.35">
      <c r="A807" s="59"/>
      <c r="B807" s="63"/>
    </row>
    <row r="808" spans="1:2" ht="18" x14ac:dyDescent="0.35">
      <c r="A808" s="59"/>
      <c r="B808" s="63"/>
    </row>
    <row r="809" spans="1:2" ht="18" x14ac:dyDescent="0.35">
      <c r="A809" s="59"/>
      <c r="B809" s="63"/>
    </row>
    <row r="810" spans="1:2" ht="18" x14ac:dyDescent="0.35">
      <c r="A810" s="59"/>
      <c r="B810" s="63"/>
    </row>
    <row r="811" spans="1:2" ht="18" x14ac:dyDescent="0.35">
      <c r="A811" s="59"/>
      <c r="B811" s="63"/>
    </row>
    <row r="812" spans="1:2" ht="18" x14ac:dyDescent="0.35">
      <c r="A812" s="59"/>
      <c r="B812" s="63"/>
    </row>
    <row r="813" spans="1:2" ht="18" x14ac:dyDescent="0.35">
      <c r="A813" s="59"/>
      <c r="B813" s="63"/>
    </row>
    <row r="814" spans="1:2" ht="18" x14ac:dyDescent="0.35">
      <c r="A814" s="59"/>
      <c r="B814" s="63"/>
    </row>
    <row r="815" spans="1:2" ht="18" x14ac:dyDescent="0.35">
      <c r="A815" s="59"/>
      <c r="B815" s="63"/>
    </row>
    <row r="816" spans="1:2" ht="18" x14ac:dyDescent="0.35">
      <c r="A816" s="59"/>
      <c r="B816" s="63"/>
    </row>
    <row r="817" spans="1:2" ht="18" x14ac:dyDescent="0.35">
      <c r="A817" s="59"/>
      <c r="B817" s="63"/>
    </row>
    <row r="818" spans="1:2" ht="18" x14ac:dyDescent="0.35">
      <c r="A818" s="59"/>
      <c r="B818" s="63"/>
    </row>
    <row r="819" spans="1:2" ht="18" x14ac:dyDescent="0.35">
      <c r="A819" s="59"/>
      <c r="B819" s="63"/>
    </row>
    <row r="820" spans="1:2" ht="18" x14ac:dyDescent="0.35">
      <c r="A820" s="59"/>
      <c r="B820" s="63"/>
    </row>
    <row r="821" spans="1:2" ht="18" x14ac:dyDescent="0.35">
      <c r="A821" s="59"/>
      <c r="B821" s="63"/>
    </row>
    <row r="822" spans="1:2" ht="18" x14ac:dyDescent="0.35">
      <c r="A822" s="59"/>
      <c r="B822" s="63"/>
    </row>
    <row r="823" spans="1:2" ht="18" x14ac:dyDescent="0.35">
      <c r="A823" s="59"/>
      <c r="B823" s="63"/>
    </row>
    <row r="824" spans="1:2" ht="18" x14ac:dyDescent="0.35">
      <c r="A824" s="59"/>
      <c r="B824" s="63"/>
    </row>
    <row r="825" spans="1:2" ht="18" x14ac:dyDescent="0.35">
      <c r="A825" s="59"/>
      <c r="B825" s="63"/>
    </row>
    <row r="826" spans="1:2" ht="18" x14ac:dyDescent="0.35">
      <c r="A826" s="59"/>
      <c r="B826" s="63"/>
    </row>
    <row r="827" spans="1:2" ht="18" x14ac:dyDescent="0.35">
      <c r="A827" s="59"/>
      <c r="B827" s="63"/>
    </row>
    <row r="828" spans="1:2" ht="18" x14ac:dyDescent="0.35">
      <c r="A828" s="59"/>
      <c r="B828" s="63"/>
    </row>
    <row r="829" spans="1:2" ht="18" x14ac:dyDescent="0.35">
      <c r="A829" s="59"/>
      <c r="B829" s="63"/>
    </row>
    <row r="830" spans="1:2" ht="18" x14ac:dyDescent="0.35">
      <c r="A830" s="59"/>
      <c r="B830" s="63"/>
    </row>
    <row r="831" spans="1:2" ht="18" x14ac:dyDescent="0.35">
      <c r="A831" s="59"/>
      <c r="B831" s="63"/>
    </row>
    <row r="832" spans="1:2" ht="18" x14ac:dyDescent="0.35">
      <c r="A832" s="59"/>
      <c r="B832" s="63"/>
    </row>
    <row r="833" spans="1:2" ht="18" x14ac:dyDescent="0.35">
      <c r="A833" s="59"/>
      <c r="B833" s="63"/>
    </row>
    <row r="834" spans="1:2" ht="18" x14ac:dyDescent="0.35">
      <c r="A834" s="59"/>
      <c r="B834" s="63"/>
    </row>
    <row r="835" spans="1:2" ht="18" x14ac:dyDescent="0.35">
      <c r="A835" s="59"/>
      <c r="B835" s="63"/>
    </row>
    <row r="836" spans="1:2" ht="18" x14ac:dyDescent="0.35">
      <c r="A836" s="59"/>
      <c r="B836" s="63"/>
    </row>
    <row r="837" spans="1:2" ht="18" x14ac:dyDescent="0.35">
      <c r="A837" s="59"/>
      <c r="B837" s="63"/>
    </row>
    <row r="838" spans="1:2" ht="18" x14ac:dyDescent="0.35">
      <c r="A838" s="59"/>
      <c r="B838" s="63"/>
    </row>
    <row r="839" spans="1:2" ht="18" x14ac:dyDescent="0.35">
      <c r="A839" s="59"/>
      <c r="B839" s="63"/>
    </row>
    <row r="840" spans="1:2" ht="18" x14ac:dyDescent="0.35">
      <c r="A840" s="59"/>
      <c r="B840" s="63"/>
    </row>
    <row r="841" spans="1:2" ht="18" x14ac:dyDescent="0.35">
      <c r="A841" s="59"/>
      <c r="B841" s="63"/>
    </row>
    <row r="842" spans="1:2" ht="18" x14ac:dyDescent="0.35">
      <c r="A842" s="59"/>
      <c r="B842" s="63"/>
    </row>
    <row r="843" spans="1:2" ht="18" x14ac:dyDescent="0.35">
      <c r="A843" s="59"/>
      <c r="B843" s="63"/>
    </row>
    <row r="844" spans="1:2" ht="18" x14ac:dyDescent="0.35">
      <c r="A844" s="59"/>
      <c r="B844" s="63"/>
    </row>
    <row r="845" spans="1:2" ht="18" x14ac:dyDescent="0.35">
      <c r="A845" s="59"/>
      <c r="B845" s="63"/>
    </row>
    <row r="846" spans="1:2" ht="18" x14ac:dyDescent="0.35">
      <c r="A846" s="59"/>
      <c r="B846" s="63"/>
    </row>
    <row r="847" spans="1:2" ht="18" x14ac:dyDescent="0.35">
      <c r="A847" s="59"/>
      <c r="B847" s="63"/>
    </row>
    <row r="848" spans="1:2" ht="18" x14ac:dyDescent="0.35">
      <c r="A848" s="59"/>
      <c r="B848" s="63"/>
    </row>
    <row r="849" spans="1:2" ht="18" x14ac:dyDescent="0.35">
      <c r="A849" s="59"/>
      <c r="B849" s="63"/>
    </row>
    <row r="850" spans="1:2" ht="18" x14ac:dyDescent="0.35">
      <c r="A850" s="59"/>
      <c r="B850" s="63"/>
    </row>
    <row r="851" spans="1:2" ht="18" x14ac:dyDescent="0.35">
      <c r="A851" s="59"/>
      <c r="B851" s="63"/>
    </row>
    <row r="852" spans="1:2" ht="18" x14ac:dyDescent="0.35">
      <c r="A852" s="59"/>
      <c r="B852" s="63"/>
    </row>
    <row r="853" spans="1:2" ht="18" x14ac:dyDescent="0.35">
      <c r="A853" s="59"/>
      <c r="B853" s="63"/>
    </row>
    <row r="854" spans="1:2" ht="18" x14ac:dyDescent="0.35">
      <c r="A854" s="59"/>
      <c r="B854" s="63"/>
    </row>
    <row r="855" spans="1:2" ht="18" x14ac:dyDescent="0.35">
      <c r="A855" s="59"/>
      <c r="B855" s="63"/>
    </row>
    <row r="856" spans="1:2" ht="18" x14ac:dyDescent="0.35">
      <c r="A856" s="59"/>
      <c r="B856" s="63"/>
    </row>
    <row r="857" spans="1:2" ht="18" x14ac:dyDescent="0.35">
      <c r="A857" s="59"/>
      <c r="B857" s="63"/>
    </row>
    <row r="858" spans="1:2" ht="18" x14ac:dyDescent="0.35">
      <c r="A858" s="59"/>
      <c r="B858" s="63"/>
    </row>
    <row r="859" spans="1:2" ht="18" x14ac:dyDescent="0.35">
      <c r="A859" s="59"/>
      <c r="B859" s="63"/>
    </row>
    <row r="860" spans="1:2" ht="18" x14ac:dyDescent="0.35">
      <c r="A860" s="59"/>
      <c r="B860" s="63"/>
    </row>
    <row r="861" spans="1:2" ht="18" x14ac:dyDescent="0.35">
      <c r="A861" s="59"/>
      <c r="B861" s="63"/>
    </row>
    <row r="862" spans="1:2" ht="18" x14ac:dyDescent="0.35">
      <c r="A862" s="59"/>
      <c r="B862" s="63"/>
    </row>
    <row r="863" spans="1:2" ht="18" x14ac:dyDescent="0.35">
      <c r="A863" s="59"/>
      <c r="B863" s="63"/>
    </row>
    <row r="864" spans="1:2" ht="18" x14ac:dyDescent="0.35">
      <c r="A864" s="59"/>
      <c r="B864" s="63"/>
    </row>
    <row r="865" spans="1:2" ht="18" x14ac:dyDescent="0.35">
      <c r="A865" s="59"/>
      <c r="B865" s="63"/>
    </row>
    <row r="866" spans="1:2" ht="18" x14ac:dyDescent="0.35">
      <c r="A866" s="59"/>
      <c r="B866" s="63"/>
    </row>
    <row r="867" spans="1:2" ht="18" x14ac:dyDescent="0.35">
      <c r="A867" s="59"/>
      <c r="B867" s="63"/>
    </row>
    <row r="868" spans="1:2" ht="18" x14ac:dyDescent="0.35">
      <c r="A868" s="59"/>
      <c r="B868" s="63"/>
    </row>
    <row r="869" spans="1:2" ht="18" x14ac:dyDescent="0.35">
      <c r="A869" s="59"/>
      <c r="B869" s="63"/>
    </row>
    <row r="870" spans="1:2" ht="18" x14ac:dyDescent="0.35">
      <c r="A870" s="59"/>
      <c r="B870" s="63"/>
    </row>
    <row r="871" spans="1:2" ht="18" x14ac:dyDescent="0.35">
      <c r="A871" s="59"/>
      <c r="B871" s="63"/>
    </row>
    <row r="872" spans="1:2" ht="18" x14ac:dyDescent="0.35">
      <c r="A872" s="59"/>
      <c r="B872" s="63"/>
    </row>
    <row r="873" spans="1:2" ht="18" x14ac:dyDescent="0.35">
      <c r="A873" s="59"/>
      <c r="B873" s="63"/>
    </row>
    <row r="874" spans="1:2" ht="18" x14ac:dyDescent="0.35">
      <c r="A874" s="59"/>
      <c r="B874" s="63"/>
    </row>
    <row r="875" spans="1:2" ht="18" x14ac:dyDescent="0.35">
      <c r="A875" s="59"/>
      <c r="B875" s="63"/>
    </row>
    <row r="876" spans="1:2" ht="18" x14ac:dyDescent="0.35">
      <c r="A876" s="59"/>
      <c r="B876" s="63"/>
    </row>
    <row r="877" spans="1:2" ht="18" x14ac:dyDescent="0.35">
      <c r="A877" s="59"/>
      <c r="B877" s="63"/>
    </row>
    <row r="878" spans="1:2" ht="18" x14ac:dyDescent="0.35">
      <c r="A878" s="59"/>
      <c r="B878" s="63"/>
    </row>
    <row r="879" spans="1:2" ht="18" x14ac:dyDescent="0.35">
      <c r="A879" s="59"/>
      <c r="B879" s="63"/>
    </row>
    <row r="880" spans="1:2" ht="18" x14ac:dyDescent="0.35">
      <c r="A880" s="59"/>
      <c r="B880" s="63"/>
    </row>
    <row r="881" spans="1:2" ht="18" x14ac:dyDescent="0.35">
      <c r="A881" s="59"/>
      <c r="B881" s="63"/>
    </row>
    <row r="882" spans="1:2" ht="18" x14ac:dyDescent="0.35">
      <c r="A882" s="59"/>
      <c r="B882" s="63"/>
    </row>
    <row r="883" spans="1:2" ht="18" x14ac:dyDescent="0.35">
      <c r="A883" s="59"/>
      <c r="B883" s="63"/>
    </row>
    <row r="884" spans="1:2" ht="18" x14ac:dyDescent="0.35">
      <c r="A884" s="59"/>
      <c r="B884" s="63"/>
    </row>
    <row r="885" spans="1:2" ht="18" x14ac:dyDescent="0.35">
      <c r="A885" s="59"/>
      <c r="B885" s="63"/>
    </row>
    <row r="886" spans="1:2" ht="18" x14ac:dyDescent="0.35">
      <c r="A886" s="59"/>
      <c r="B886" s="63"/>
    </row>
    <row r="887" spans="1:2" ht="18" x14ac:dyDescent="0.35">
      <c r="A887" s="59"/>
      <c r="B887" s="63"/>
    </row>
    <row r="888" spans="1:2" ht="18" x14ac:dyDescent="0.35">
      <c r="A888" s="59"/>
      <c r="B888" s="63"/>
    </row>
    <row r="889" spans="1:2" ht="18" x14ac:dyDescent="0.35">
      <c r="A889" s="59"/>
      <c r="B889" s="63"/>
    </row>
    <row r="890" spans="1:2" ht="18" x14ac:dyDescent="0.35">
      <c r="A890" s="59"/>
      <c r="B890" s="63"/>
    </row>
    <row r="891" spans="1:2" ht="18" x14ac:dyDescent="0.35">
      <c r="A891" s="59"/>
      <c r="B891" s="63"/>
    </row>
    <row r="892" spans="1:2" ht="18" x14ac:dyDescent="0.35">
      <c r="A892" s="59"/>
      <c r="B892" s="63"/>
    </row>
    <row r="893" spans="1:2" ht="18" x14ac:dyDescent="0.35">
      <c r="A893" s="59"/>
      <c r="B893" s="63"/>
    </row>
    <row r="894" spans="1:2" ht="18" x14ac:dyDescent="0.35">
      <c r="A894" s="59"/>
      <c r="B894" s="63"/>
    </row>
    <row r="895" spans="1:2" ht="18" x14ac:dyDescent="0.35">
      <c r="A895" s="59"/>
      <c r="B895" s="63"/>
    </row>
    <row r="896" spans="1:2" ht="18" x14ac:dyDescent="0.35">
      <c r="A896" s="59"/>
      <c r="B896" s="63"/>
    </row>
    <row r="897" spans="1:2" ht="18" x14ac:dyDescent="0.35">
      <c r="A897" s="59"/>
      <c r="B897" s="63"/>
    </row>
    <row r="898" spans="1:2" ht="18" x14ac:dyDescent="0.35">
      <c r="A898" s="59"/>
      <c r="B898" s="63"/>
    </row>
    <row r="899" spans="1:2" ht="18" x14ac:dyDescent="0.35">
      <c r="A899" s="59"/>
      <c r="B899" s="63"/>
    </row>
    <row r="900" spans="1:2" ht="18" x14ac:dyDescent="0.35">
      <c r="A900" s="59"/>
      <c r="B900" s="63"/>
    </row>
    <row r="901" spans="1:2" ht="18" x14ac:dyDescent="0.35">
      <c r="A901" s="59"/>
      <c r="B901" s="63"/>
    </row>
    <row r="902" spans="1:2" ht="18" x14ac:dyDescent="0.35">
      <c r="A902" s="59"/>
      <c r="B902" s="63"/>
    </row>
    <row r="903" spans="1:2" ht="18" x14ac:dyDescent="0.35">
      <c r="A903" s="59"/>
      <c r="B903" s="63"/>
    </row>
    <row r="904" spans="1:2" ht="18" x14ac:dyDescent="0.35">
      <c r="A904" s="59"/>
      <c r="B904" s="63"/>
    </row>
    <row r="905" spans="1:2" ht="18" x14ac:dyDescent="0.35">
      <c r="A905" s="59"/>
      <c r="B905" s="63"/>
    </row>
    <row r="906" spans="1:2" ht="18" x14ac:dyDescent="0.35">
      <c r="A906" s="59"/>
      <c r="B906" s="63"/>
    </row>
    <row r="907" spans="1:2" ht="18" x14ac:dyDescent="0.35">
      <c r="A907" s="59"/>
      <c r="B907" s="63"/>
    </row>
    <row r="908" spans="1:2" ht="18" x14ac:dyDescent="0.35">
      <c r="A908" s="59"/>
      <c r="B908" s="63"/>
    </row>
    <row r="909" spans="1:2" ht="18" x14ac:dyDescent="0.35">
      <c r="A909" s="59"/>
      <c r="B909" s="63"/>
    </row>
    <row r="910" spans="1:2" ht="18" x14ac:dyDescent="0.35">
      <c r="A910" s="59"/>
      <c r="B910" s="63"/>
    </row>
    <row r="911" spans="1:2" ht="18" x14ac:dyDescent="0.35">
      <c r="A911" s="59"/>
      <c r="B911" s="63"/>
    </row>
    <row r="912" spans="1:2" ht="18" x14ac:dyDescent="0.35">
      <c r="A912" s="59"/>
      <c r="B912" s="63"/>
    </row>
    <row r="913" spans="1:2" ht="18" x14ac:dyDescent="0.35">
      <c r="A913" s="59"/>
      <c r="B913" s="63"/>
    </row>
    <row r="914" spans="1:2" ht="18" x14ac:dyDescent="0.35">
      <c r="A914" s="59"/>
      <c r="B914" s="63"/>
    </row>
    <row r="915" spans="1:2" ht="18" x14ac:dyDescent="0.35">
      <c r="A915" s="59"/>
      <c r="B915" s="63"/>
    </row>
    <row r="916" spans="1:2" ht="18" x14ac:dyDescent="0.35">
      <c r="A916" s="59"/>
      <c r="B916" s="63"/>
    </row>
    <row r="917" spans="1:2" ht="18" x14ac:dyDescent="0.35">
      <c r="A917" s="59"/>
      <c r="B917" s="63"/>
    </row>
    <row r="918" spans="1:2" ht="18" x14ac:dyDescent="0.35">
      <c r="A918" s="59"/>
      <c r="B918" s="63"/>
    </row>
    <row r="919" spans="1:2" ht="18" x14ac:dyDescent="0.35">
      <c r="A919" s="59"/>
      <c r="B919" s="63"/>
    </row>
    <row r="920" spans="1:2" ht="18" x14ac:dyDescent="0.35">
      <c r="A920" s="59"/>
      <c r="B920" s="63"/>
    </row>
    <row r="921" spans="1:2" ht="18" x14ac:dyDescent="0.35">
      <c r="A921" s="59"/>
      <c r="B921" s="63"/>
    </row>
    <row r="922" spans="1:2" ht="18" x14ac:dyDescent="0.35">
      <c r="A922" s="59"/>
      <c r="B922" s="63"/>
    </row>
    <row r="923" spans="1:2" ht="18" x14ac:dyDescent="0.35">
      <c r="A923" s="59"/>
      <c r="B923" s="63"/>
    </row>
    <row r="924" spans="1:2" ht="18" x14ac:dyDescent="0.35">
      <c r="A924" s="59"/>
      <c r="B924" s="63"/>
    </row>
    <row r="925" spans="1:2" ht="18" x14ac:dyDescent="0.35">
      <c r="A925" s="59"/>
      <c r="B925" s="63"/>
    </row>
    <row r="926" spans="1:2" ht="18" x14ac:dyDescent="0.35">
      <c r="A926" s="59"/>
      <c r="B926" s="63"/>
    </row>
    <row r="927" spans="1:2" ht="18" x14ac:dyDescent="0.35">
      <c r="A927" s="59"/>
      <c r="B927" s="63"/>
    </row>
    <row r="928" spans="1:2" ht="18" x14ac:dyDescent="0.35">
      <c r="A928" s="59"/>
      <c r="B928" s="63"/>
    </row>
    <row r="929" spans="1:2" ht="18" x14ac:dyDescent="0.35">
      <c r="A929" s="59"/>
      <c r="B929" s="63"/>
    </row>
    <row r="930" spans="1:2" ht="18" x14ac:dyDescent="0.35">
      <c r="A930" s="59"/>
      <c r="B930" s="63"/>
    </row>
    <row r="931" spans="1:2" ht="18" x14ac:dyDescent="0.35">
      <c r="A931" s="59"/>
      <c r="B931" s="63"/>
    </row>
    <row r="932" spans="1:2" ht="18" x14ac:dyDescent="0.35">
      <c r="A932" s="59"/>
      <c r="B932" s="63"/>
    </row>
    <row r="933" spans="1:2" ht="18" x14ac:dyDescent="0.35">
      <c r="A933" s="59"/>
      <c r="B933" s="63"/>
    </row>
    <row r="934" spans="1:2" ht="18" x14ac:dyDescent="0.35">
      <c r="A934" s="59"/>
      <c r="B934" s="63"/>
    </row>
    <row r="935" spans="1:2" ht="18" x14ac:dyDescent="0.35">
      <c r="A935" s="59"/>
      <c r="B935" s="63"/>
    </row>
    <row r="936" spans="1:2" ht="18" x14ac:dyDescent="0.35">
      <c r="A936" s="59"/>
      <c r="B936" s="63"/>
    </row>
    <row r="937" spans="1:2" ht="18" x14ac:dyDescent="0.35">
      <c r="A937" s="59"/>
      <c r="B937" s="63"/>
    </row>
    <row r="938" spans="1:2" ht="18" x14ac:dyDescent="0.35">
      <c r="A938" s="59"/>
      <c r="B938" s="63"/>
    </row>
    <row r="939" spans="1:2" ht="18" x14ac:dyDescent="0.35">
      <c r="A939" s="59"/>
      <c r="B939" s="63"/>
    </row>
    <row r="940" spans="1:2" ht="18" x14ac:dyDescent="0.35">
      <c r="A940" s="59"/>
      <c r="B940" s="63"/>
    </row>
    <row r="941" spans="1:2" ht="18" x14ac:dyDescent="0.35">
      <c r="A941" s="59"/>
      <c r="B941" s="63"/>
    </row>
    <row r="942" spans="1:2" ht="18" x14ac:dyDescent="0.35">
      <c r="A942" s="59"/>
      <c r="B942" s="63"/>
    </row>
    <row r="943" spans="1:2" ht="18" x14ac:dyDescent="0.35">
      <c r="A943" s="59"/>
      <c r="B943" s="63"/>
    </row>
    <row r="944" spans="1:2" ht="18" x14ac:dyDescent="0.35">
      <c r="A944" s="59"/>
      <c r="B944" s="63"/>
    </row>
    <row r="945" spans="1:2" ht="18" x14ac:dyDescent="0.35">
      <c r="A945" s="59"/>
      <c r="B945" s="63"/>
    </row>
    <row r="946" spans="1:2" ht="18" x14ac:dyDescent="0.35">
      <c r="A946" s="59"/>
      <c r="B946" s="63"/>
    </row>
    <row r="947" spans="1:2" ht="18" x14ac:dyDescent="0.35">
      <c r="A947" s="59"/>
      <c r="B947" s="63"/>
    </row>
    <row r="948" spans="1:2" ht="18" x14ac:dyDescent="0.35">
      <c r="A948" s="59"/>
      <c r="B948" s="63"/>
    </row>
    <row r="949" spans="1:2" ht="18" x14ac:dyDescent="0.35">
      <c r="A949" s="59"/>
      <c r="B949" s="63"/>
    </row>
    <row r="950" spans="1:2" ht="18" x14ac:dyDescent="0.35">
      <c r="A950" s="59"/>
      <c r="B950" s="63"/>
    </row>
    <row r="951" spans="1:2" ht="18" x14ac:dyDescent="0.35">
      <c r="A951" s="59"/>
      <c r="B951" s="63"/>
    </row>
    <row r="952" spans="1:2" ht="18" x14ac:dyDescent="0.35">
      <c r="A952" s="59"/>
      <c r="B952" s="63"/>
    </row>
    <row r="953" spans="1:2" ht="18" x14ac:dyDescent="0.35">
      <c r="A953" s="59"/>
      <c r="B953" s="63"/>
    </row>
    <row r="954" spans="1:2" ht="18" x14ac:dyDescent="0.35">
      <c r="A954" s="59"/>
      <c r="B954" s="63"/>
    </row>
    <row r="955" spans="1:2" ht="18" x14ac:dyDescent="0.35">
      <c r="A955" s="59"/>
      <c r="B955" s="63"/>
    </row>
    <row r="956" spans="1:2" ht="18" x14ac:dyDescent="0.35">
      <c r="A956" s="59"/>
      <c r="B956" s="63"/>
    </row>
    <row r="957" spans="1:2" ht="18" x14ac:dyDescent="0.35">
      <c r="A957" s="59"/>
      <c r="B957" s="63"/>
    </row>
    <row r="958" spans="1:2" ht="18" x14ac:dyDescent="0.35">
      <c r="A958" s="59"/>
      <c r="B958" s="63"/>
    </row>
    <row r="959" spans="1:2" ht="18" x14ac:dyDescent="0.35">
      <c r="A959" s="59"/>
      <c r="B959" s="63"/>
    </row>
    <row r="960" spans="1:2" ht="18" x14ac:dyDescent="0.35">
      <c r="A960" s="59"/>
      <c r="B960" s="63"/>
    </row>
    <row r="961" spans="1:2" ht="18" x14ac:dyDescent="0.35">
      <c r="A961" s="59"/>
      <c r="B961" s="63"/>
    </row>
    <row r="962" spans="1:2" ht="18" x14ac:dyDescent="0.35">
      <c r="A962" s="59"/>
      <c r="B962" s="63"/>
    </row>
    <row r="963" spans="1:2" ht="18" x14ac:dyDescent="0.35">
      <c r="A963" s="59"/>
      <c r="B963" s="63"/>
    </row>
    <row r="964" spans="1:2" ht="18" x14ac:dyDescent="0.35">
      <c r="A964" s="59"/>
      <c r="B964" s="63"/>
    </row>
    <row r="965" spans="1:2" ht="18" x14ac:dyDescent="0.35">
      <c r="A965" s="59"/>
      <c r="B965" s="63"/>
    </row>
    <row r="966" spans="1:2" ht="18" x14ac:dyDescent="0.35">
      <c r="A966" s="59"/>
      <c r="B966" s="63"/>
    </row>
    <row r="967" spans="1:2" ht="18" x14ac:dyDescent="0.35">
      <c r="A967" s="59"/>
      <c r="B967" s="63"/>
    </row>
    <row r="968" spans="1:2" ht="18" x14ac:dyDescent="0.35">
      <c r="A968" s="59"/>
      <c r="B968" s="63"/>
    </row>
    <row r="969" spans="1:2" ht="18" x14ac:dyDescent="0.35">
      <c r="A969" s="59"/>
      <c r="B969" s="63"/>
    </row>
    <row r="970" spans="1:2" ht="18" x14ac:dyDescent="0.35">
      <c r="A970" s="59"/>
      <c r="B970" s="63"/>
    </row>
    <row r="971" spans="1:2" ht="18" x14ac:dyDescent="0.35">
      <c r="A971" s="59"/>
      <c r="B971" s="63"/>
    </row>
    <row r="972" spans="1:2" ht="18" x14ac:dyDescent="0.35">
      <c r="A972" s="59"/>
      <c r="B972" s="63"/>
    </row>
    <row r="973" spans="1:2" ht="18" x14ac:dyDescent="0.35">
      <c r="A973" s="59"/>
      <c r="B973" s="63"/>
    </row>
    <row r="974" spans="1:2" ht="18" x14ac:dyDescent="0.35">
      <c r="A974" s="59"/>
      <c r="B974" s="63"/>
    </row>
    <row r="975" spans="1:2" ht="18" x14ac:dyDescent="0.35">
      <c r="A975" s="59"/>
      <c r="B975" s="63"/>
    </row>
    <row r="976" spans="1:2" ht="18" x14ac:dyDescent="0.35">
      <c r="A976" s="59"/>
      <c r="B976" s="63"/>
    </row>
    <row r="977" spans="1:2" ht="18" x14ac:dyDescent="0.35">
      <c r="A977" s="59"/>
      <c r="B977" s="63"/>
    </row>
    <row r="978" spans="1:2" ht="18" x14ac:dyDescent="0.35">
      <c r="A978" s="59"/>
      <c r="B978" s="63"/>
    </row>
    <row r="979" spans="1:2" ht="18" x14ac:dyDescent="0.35">
      <c r="A979" s="59"/>
      <c r="B979" s="63"/>
    </row>
    <row r="980" spans="1:2" ht="18" x14ac:dyDescent="0.35">
      <c r="A980" s="59"/>
      <c r="B980" s="63"/>
    </row>
    <row r="981" spans="1:2" ht="18" x14ac:dyDescent="0.35">
      <c r="A981" s="59"/>
      <c r="B981" s="63"/>
    </row>
    <row r="982" spans="1:2" ht="18" x14ac:dyDescent="0.35">
      <c r="A982" s="59"/>
      <c r="B982" s="63"/>
    </row>
    <row r="983" spans="1:2" ht="18" x14ac:dyDescent="0.35">
      <c r="A983" s="59"/>
      <c r="B983" s="63"/>
    </row>
    <row r="984" spans="1:2" ht="18" x14ac:dyDescent="0.35">
      <c r="A984" s="59"/>
      <c r="B984" s="63"/>
    </row>
    <row r="985" spans="1:2" ht="18" x14ac:dyDescent="0.35">
      <c r="A985" s="59"/>
      <c r="B985" s="63"/>
    </row>
    <row r="986" spans="1:2" ht="18" x14ac:dyDescent="0.35">
      <c r="A986" s="59"/>
      <c r="B986" s="63"/>
    </row>
    <row r="987" spans="1:2" ht="18" x14ac:dyDescent="0.35">
      <c r="A987" s="59"/>
      <c r="B987" s="63"/>
    </row>
    <row r="988" spans="1:2" ht="18" x14ac:dyDescent="0.35">
      <c r="A988" s="59"/>
      <c r="B988" s="63"/>
    </row>
    <row r="989" spans="1:2" ht="18" x14ac:dyDescent="0.35">
      <c r="A989" s="59"/>
      <c r="B989" s="63"/>
    </row>
    <row r="990" spans="1:2" ht="18" x14ac:dyDescent="0.35">
      <c r="A990" s="59"/>
      <c r="B990" s="63"/>
    </row>
    <row r="991" spans="1:2" ht="18" x14ac:dyDescent="0.35">
      <c r="A991" s="59"/>
      <c r="B991" s="63"/>
    </row>
    <row r="992" spans="1:2" ht="18" x14ac:dyDescent="0.35">
      <c r="A992" s="59"/>
      <c r="B992" s="63"/>
    </row>
    <row r="993" spans="1:2" ht="18" x14ac:dyDescent="0.35">
      <c r="A993" s="59"/>
      <c r="B993" s="6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1000"/>
  <sheetViews>
    <sheetView workbookViewId="0"/>
  </sheetViews>
  <sheetFormatPr baseColWidth="10" defaultColWidth="14.44140625" defaultRowHeight="15" customHeight="1" x14ac:dyDescent="0.3"/>
  <cols>
    <col min="1" max="1" width="48.44140625" customWidth="1"/>
    <col min="2" max="2" width="21.5546875" customWidth="1"/>
  </cols>
  <sheetData>
    <row r="1" spans="1:2" x14ac:dyDescent="0.3">
      <c r="A1" s="64" t="s">
        <v>1374</v>
      </c>
      <c r="B1" s="64" t="s">
        <v>1375</v>
      </c>
    </row>
    <row r="2" spans="1:2" x14ac:dyDescent="0.3">
      <c r="A2" s="65" t="s">
        <v>1325</v>
      </c>
      <c r="B2" s="66">
        <v>45779.55533268518</v>
      </c>
    </row>
    <row r="3" spans="1:2" x14ac:dyDescent="0.3">
      <c r="A3" s="65" t="s">
        <v>1345</v>
      </c>
      <c r="B3" s="66">
        <v>45779.557230081016</v>
      </c>
    </row>
    <row r="4" spans="1:2" x14ac:dyDescent="0.3">
      <c r="A4" s="65" t="s">
        <v>1347</v>
      </c>
      <c r="B4" s="66">
        <v>45779.557463136574</v>
      </c>
    </row>
    <row r="5" spans="1:2" x14ac:dyDescent="0.3">
      <c r="A5" s="65" t="s">
        <v>1376</v>
      </c>
      <c r="B5" s="66">
        <v>45779.565404513887</v>
      </c>
    </row>
    <row r="6" spans="1:2" x14ac:dyDescent="0.3">
      <c r="A6" s="65" t="s">
        <v>1349</v>
      </c>
      <c r="B6" s="66">
        <v>45779.59906768518</v>
      </c>
    </row>
    <row r="7" spans="1:2" x14ac:dyDescent="0.3">
      <c r="A7" s="65" t="s">
        <v>1325</v>
      </c>
      <c r="B7" s="66">
        <v>45780.411204374999</v>
      </c>
    </row>
    <row r="8" spans="1:2" x14ac:dyDescent="0.3">
      <c r="A8" s="65" t="s">
        <v>1325</v>
      </c>
      <c r="B8" s="66">
        <v>45780.433250173606</v>
      </c>
    </row>
    <row r="9" spans="1:2" x14ac:dyDescent="0.3">
      <c r="A9" s="65" t="s">
        <v>1325</v>
      </c>
      <c r="B9" s="66">
        <v>45780.444683715279</v>
      </c>
    </row>
    <row r="10" spans="1:2" x14ac:dyDescent="0.3">
      <c r="A10" s="65" t="s">
        <v>1325</v>
      </c>
      <c r="B10" s="66">
        <v>45780.453056365739</v>
      </c>
    </row>
    <row r="11" spans="1:2" x14ac:dyDescent="0.3">
      <c r="A11" s="65" t="s">
        <v>1325</v>
      </c>
      <c r="B11" s="66">
        <v>45780.55289903935</v>
      </c>
    </row>
    <row r="12" spans="1:2" x14ac:dyDescent="0.3">
      <c r="A12" s="65" t="s">
        <v>1325</v>
      </c>
      <c r="B12" s="66">
        <v>45780.57947243056</v>
      </c>
    </row>
    <row r="13" spans="1:2" x14ac:dyDescent="0.3">
      <c r="A13" s="65" t="s">
        <v>1325</v>
      </c>
      <c r="B13" s="66">
        <v>45780.620941944449</v>
      </c>
    </row>
    <row r="14" spans="1:2" x14ac:dyDescent="0.3">
      <c r="A14" s="65" t="s">
        <v>1325</v>
      </c>
      <c r="B14" s="66">
        <v>45780.622571250002</v>
      </c>
    </row>
    <row r="15" spans="1:2" x14ac:dyDescent="0.3">
      <c r="A15" s="65" t="s">
        <v>1325</v>
      </c>
      <c r="B15" s="66">
        <v>45780.650848321762</v>
      </c>
    </row>
    <row r="16" spans="1:2" x14ac:dyDescent="0.3">
      <c r="A16" s="65" t="s">
        <v>1325</v>
      </c>
      <c r="B16" s="66">
        <v>45780.664432106481</v>
      </c>
    </row>
    <row r="17" spans="1:2" x14ac:dyDescent="0.3">
      <c r="A17" s="65" t="s">
        <v>1325</v>
      </c>
      <c r="B17" s="66">
        <v>45780.671537708331</v>
      </c>
    </row>
    <row r="18" spans="1:2" x14ac:dyDescent="0.3">
      <c r="A18" s="65" t="s">
        <v>1325</v>
      </c>
      <c r="B18" s="66">
        <v>45780.940061319445</v>
      </c>
    </row>
    <row r="19" spans="1:2" x14ac:dyDescent="0.3">
      <c r="A19" s="65" t="s">
        <v>1325</v>
      </c>
      <c r="B19" s="66">
        <v>45781.916604247686</v>
      </c>
    </row>
    <row r="20" spans="1:2" x14ac:dyDescent="0.3">
      <c r="A20" s="65" t="s">
        <v>1325</v>
      </c>
      <c r="B20" s="66">
        <v>45781.926393298607</v>
      </c>
    </row>
    <row r="21" spans="1:2" x14ac:dyDescent="0.3">
      <c r="A21" s="65" t="s">
        <v>1325</v>
      </c>
      <c r="B21" s="66">
        <v>45781.964822395836</v>
      </c>
    </row>
    <row r="22" spans="1:2" x14ac:dyDescent="0.3">
      <c r="A22" s="65" t="s">
        <v>1325</v>
      </c>
      <c r="B22" s="66">
        <v>45781.973055173614</v>
      </c>
    </row>
    <row r="23" spans="1:2" x14ac:dyDescent="0.3">
      <c r="A23" s="65" t="s">
        <v>1325</v>
      </c>
      <c r="B23" s="66">
        <v>45781.978748819442</v>
      </c>
    </row>
    <row r="24" spans="1:2" x14ac:dyDescent="0.3">
      <c r="A24" s="65" t="s">
        <v>1325</v>
      </c>
      <c r="B24" s="66">
        <v>45782.314494745369</v>
      </c>
    </row>
    <row r="25" spans="1:2" x14ac:dyDescent="0.3">
      <c r="A25" s="65" t="s">
        <v>1325</v>
      </c>
      <c r="B25" s="66">
        <v>45782.441592766205</v>
      </c>
    </row>
    <row r="26" spans="1:2" x14ac:dyDescent="0.3">
      <c r="A26" s="65" t="s">
        <v>1335</v>
      </c>
      <c r="B26" s="66">
        <v>45782.510978657403</v>
      </c>
    </row>
    <row r="27" spans="1:2" x14ac:dyDescent="0.3">
      <c r="A27" s="65" t="s">
        <v>1325</v>
      </c>
      <c r="B27" s="66">
        <v>45782.611291122681</v>
      </c>
    </row>
    <row r="28" spans="1:2" x14ac:dyDescent="0.3">
      <c r="A28" s="65" t="s">
        <v>1335</v>
      </c>
      <c r="B28" s="66">
        <v>45782.665598958338</v>
      </c>
    </row>
    <row r="29" spans="1:2" x14ac:dyDescent="0.3">
      <c r="A29" s="65" t="s">
        <v>1335</v>
      </c>
      <c r="B29" s="66">
        <v>45782.6656046875</v>
      </c>
    </row>
    <row r="30" spans="1:2" x14ac:dyDescent="0.3">
      <c r="A30" s="65" t="s">
        <v>1325</v>
      </c>
      <c r="B30" s="66">
        <v>45783.83969523148</v>
      </c>
    </row>
    <row r="31" spans="1:2" x14ac:dyDescent="0.3">
      <c r="A31" s="65" t="s">
        <v>1325</v>
      </c>
      <c r="B31" s="66">
        <v>45783.912498807869</v>
      </c>
    </row>
    <row r="32" spans="1:2" x14ac:dyDescent="0.3">
      <c r="A32" s="65" t="s">
        <v>1325</v>
      </c>
      <c r="B32" s="66">
        <v>45785.937583935185</v>
      </c>
    </row>
    <row r="33" spans="1:2" x14ac:dyDescent="0.3">
      <c r="A33" s="65" t="s">
        <v>1325</v>
      </c>
      <c r="B33" s="66">
        <v>45785.938703125001</v>
      </c>
    </row>
    <row r="34" spans="1:2" x14ac:dyDescent="0.3">
      <c r="A34" s="65" t="s">
        <v>1325</v>
      </c>
      <c r="B34" s="66">
        <v>45785.964195138891</v>
      </c>
    </row>
    <row r="35" spans="1:2" x14ac:dyDescent="0.3">
      <c r="A35" s="65" t="s">
        <v>1325</v>
      </c>
      <c r="B35" s="66">
        <v>45786.247826817125</v>
      </c>
    </row>
    <row r="36" spans="1:2" x14ac:dyDescent="0.3">
      <c r="A36" s="65" t="s">
        <v>1325</v>
      </c>
      <c r="B36" s="66">
        <v>45786.251087731478</v>
      </c>
    </row>
    <row r="37" spans="1:2" x14ac:dyDescent="0.3">
      <c r="A37" s="65" t="s">
        <v>1325</v>
      </c>
      <c r="B37" s="66">
        <v>45787.881544201387</v>
      </c>
    </row>
    <row r="38" spans="1:2" x14ac:dyDescent="0.3">
      <c r="A38" s="65" t="s">
        <v>1325</v>
      </c>
      <c r="B38" s="66">
        <v>45787.883911921293</v>
      </c>
    </row>
    <row r="39" spans="1:2" x14ac:dyDescent="0.3">
      <c r="A39" s="65" t="s">
        <v>1325</v>
      </c>
      <c r="B39" s="66">
        <v>45787.889754548611</v>
      </c>
    </row>
    <row r="40" spans="1:2" x14ac:dyDescent="0.3">
      <c r="A40" s="65" t="s">
        <v>1325</v>
      </c>
      <c r="B40" s="66">
        <v>45787.906567337966</v>
      </c>
    </row>
    <row r="41" spans="1:2" x14ac:dyDescent="0.3">
      <c r="A41" s="65" t="s">
        <v>1325</v>
      </c>
      <c r="B41" s="66">
        <v>45788.917221747688</v>
      </c>
    </row>
    <row r="42" spans="1:2" x14ac:dyDescent="0.3">
      <c r="A42" s="65" t="s">
        <v>1325</v>
      </c>
      <c r="B42" s="66">
        <v>45788.94294739583</v>
      </c>
    </row>
    <row r="43" spans="1:2" x14ac:dyDescent="0.3">
      <c r="A43" s="65" t="s">
        <v>1325</v>
      </c>
      <c r="B43" s="66">
        <v>45789.44785971065</v>
      </c>
    </row>
    <row r="44" spans="1:2" x14ac:dyDescent="0.3">
      <c r="A44" s="65" t="s">
        <v>1325</v>
      </c>
      <c r="B44" s="66">
        <v>45789.461812465277</v>
      </c>
    </row>
    <row r="45" spans="1:2" x14ac:dyDescent="0.3">
      <c r="A45" s="65" t="s">
        <v>1325</v>
      </c>
      <c r="B45" s="66">
        <v>45789.67205533565</v>
      </c>
    </row>
    <row r="46" spans="1:2" x14ac:dyDescent="0.3">
      <c r="A46" s="65" t="s">
        <v>1325</v>
      </c>
      <c r="B46" s="66">
        <v>45789.683488900468</v>
      </c>
    </row>
    <row r="47" spans="1:2" x14ac:dyDescent="0.3">
      <c r="A47" s="65" t="s">
        <v>1325</v>
      </c>
      <c r="B47" s="66">
        <v>45789.694366111115</v>
      </c>
    </row>
    <row r="48" spans="1:2" x14ac:dyDescent="0.3">
      <c r="A48" s="65" t="s">
        <v>1325</v>
      </c>
      <c r="B48" s="66">
        <v>45789.703275347223</v>
      </c>
    </row>
    <row r="49" spans="1:2" x14ac:dyDescent="0.3">
      <c r="A49" s="65" t="s">
        <v>1325</v>
      </c>
      <c r="B49" s="66">
        <v>45790.867083113422</v>
      </c>
    </row>
    <row r="50" spans="1:2" x14ac:dyDescent="0.3">
      <c r="A50" s="65" t="s">
        <v>1325</v>
      </c>
      <c r="B50" s="66">
        <v>45790.881372523145</v>
      </c>
    </row>
    <row r="51" spans="1:2" x14ac:dyDescent="0.3">
      <c r="A51" s="65" t="s">
        <v>1325</v>
      </c>
      <c r="B51" s="66">
        <v>45790.884696446759</v>
      </c>
    </row>
    <row r="52" spans="1:2" x14ac:dyDescent="0.3">
      <c r="A52" s="65" t="s">
        <v>1367</v>
      </c>
      <c r="B52" s="66">
        <v>45792.610471354172</v>
      </c>
    </row>
    <row r="53" spans="1:2" x14ac:dyDescent="0.3">
      <c r="A53" s="65" t="s">
        <v>1325</v>
      </c>
      <c r="B53" s="66">
        <v>45794.541786886577</v>
      </c>
    </row>
    <row r="54" spans="1:2" x14ac:dyDescent="0.3">
      <c r="A54" s="65" t="s">
        <v>1325</v>
      </c>
      <c r="B54" s="66">
        <v>45794.543758182874</v>
      </c>
    </row>
    <row r="55" spans="1:2" x14ac:dyDescent="0.3">
      <c r="A55" s="65" t="s">
        <v>1325</v>
      </c>
      <c r="B55" s="66">
        <v>45794.546554548608</v>
      </c>
    </row>
    <row r="56" spans="1:2" x14ac:dyDescent="0.3">
      <c r="A56" s="65" t="s">
        <v>1325</v>
      </c>
      <c r="B56" s="66">
        <v>45796.644209918981</v>
      </c>
    </row>
    <row r="57" spans="1:2" x14ac:dyDescent="0.3">
      <c r="A57" s="65" t="s">
        <v>1325</v>
      </c>
      <c r="B57" s="66">
        <v>45796.659987893523</v>
      </c>
    </row>
    <row r="58" spans="1:2" x14ac:dyDescent="0.3">
      <c r="A58" s="65" t="s">
        <v>1325</v>
      </c>
      <c r="B58" s="66">
        <v>45798.746787314813</v>
      </c>
    </row>
    <row r="59" spans="1:2" x14ac:dyDescent="0.3">
      <c r="A59" s="65" t="s">
        <v>1325</v>
      </c>
      <c r="B59" s="66">
        <v>45798.77049599537</v>
      </c>
    </row>
    <row r="60" spans="1:2" x14ac:dyDescent="0.3">
      <c r="A60" s="65" t="s">
        <v>1325</v>
      </c>
      <c r="B60" s="66">
        <v>45799.420255428238</v>
      </c>
    </row>
    <row r="61" spans="1:2" x14ac:dyDescent="0.3">
      <c r="A61" s="65" t="s">
        <v>1325</v>
      </c>
      <c r="B61" s="66">
        <v>45799.683931226857</v>
      </c>
    </row>
    <row r="62" spans="1:2" x14ac:dyDescent="0.3">
      <c r="A62" s="65" t="s">
        <v>1325</v>
      </c>
      <c r="B62" s="66">
        <v>45799.823781874999</v>
      </c>
    </row>
    <row r="63" spans="1:2" x14ac:dyDescent="0.3">
      <c r="A63" s="65" t="s">
        <v>1325</v>
      </c>
      <c r="B63" s="66">
        <v>45800.444815277777</v>
      </c>
    </row>
    <row r="64" spans="1:2" x14ac:dyDescent="0.3">
      <c r="A64" s="65" t="s">
        <v>1325</v>
      </c>
      <c r="B64" s="66">
        <v>45800.474430254631</v>
      </c>
    </row>
    <row r="65" spans="1:2" x14ac:dyDescent="0.3">
      <c r="A65" s="65" t="s">
        <v>1325</v>
      </c>
      <c r="B65" s="66">
        <v>45800.519619421291</v>
      </c>
    </row>
    <row r="66" spans="1:2" x14ac:dyDescent="0.3">
      <c r="A66" s="65" t="s">
        <v>1325</v>
      </c>
      <c r="B66" s="66">
        <v>45803.404824456018</v>
      </c>
    </row>
    <row r="67" spans="1:2" x14ac:dyDescent="0.3">
      <c r="A67" s="65" t="s">
        <v>1377</v>
      </c>
      <c r="B67" s="66">
        <v>45803.575748888892</v>
      </c>
    </row>
    <row r="68" spans="1:2" x14ac:dyDescent="0.3">
      <c r="A68" s="65" t="s">
        <v>1377</v>
      </c>
      <c r="B68" s="66">
        <v>45803.581368981482</v>
      </c>
    </row>
    <row r="69" spans="1:2" x14ac:dyDescent="0.3">
      <c r="A69" s="65" t="s">
        <v>1377</v>
      </c>
      <c r="B69" s="66">
        <v>45803.58489471065</v>
      </c>
    </row>
    <row r="70" spans="1:2" x14ac:dyDescent="0.3">
      <c r="A70" s="65" t="s">
        <v>1325</v>
      </c>
      <c r="B70" s="66">
        <v>45803.593658171296</v>
      </c>
    </row>
    <row r="71" spans="1:2" x14ac:dyDescent="0.3">
      <c r="A71" s="65" t="s">
        <v>1377</v>
      </c>
      <c r="B71" s="66">
        <v>45804.34642076389</v>
      </c>
    </row>
    <row r="72" spans="1:2" x14ac:dyDescent="0.3">
      <c r="A72" s="65" t="s">
        <v>1325</v>
      </c>
      <c r="B72" s="66">
        <v>45805.383487233797</v>
      </c>
    </row>
    <row r="73" spans="1:2" x14ac:dyDescent="0.3">
      <c r="A73" s="65" t="s">
        <v>1367</v>
      </c>
      <c r="B73" s="66">
        <v>45810.968815891203</v>
      </c>
    </row>
    <row r="74" spans="1:2" x14ac:dyDescent="0.3">
      <c r="A74" s="65" t="s">
        <v>1325</v>
      </c>
      <c r="B74" s="66">
        <v>45817.626099687499</v>
      </c>
    </row>
    <row r="75" spans="1:2" x14ac:dyDescent="0.3">
      <c r="A75" s="65" t="s">
        <v>1325</v>
      </c>
      <c r="B75" s="66">
        <v>45817.629871666664</v>
      </c>
    </row>
    <row r="76" spans="1:2" x14ac:dyDescent="0.3">
      <c r="A76" s="65" t="s">
        <v>1325</v>
      </c>
      <c r="B76" s="66">
        <v>45817.632292870374</v>
      </c>
    </row>
    <row r="77" spans="1:2" x14ac:dyDescent="0.3">
      <c r="A77" s="65" t="s">
        <v>1373</v>
      </c>
      <c r="B77" s="66">
        <v>45817.649059768519</v>
      </c>
    </row>
    <row r="78" spans="1:2" x14ac:dyDescent="0.3">
      <c r="A78" s="65" t="s">
        <v>1325</v>
      </c>
      <c r="B78" s="66">
        <v>45825.573257835647</v>
      </c>
    </row>
    <row r="79" spans="1:2" x14ac:dyDescent="0.3">
      <c r="A79" s="65" t="s">
        <v>1327</v>
      </c>
      <c r="B79" s="66">
        <v>45826.45130262732</v>
      </c>
    </row>
    <row r="80" spans="1:2" x14ac:dyDescent="0.3">
      <c r="A80" s="65" t="s">
        <v>1327</v>
      </c>
      <c r="B80" s="66">
        <v>45826.505607974541</v>
      </c>
    </row>
    <row r="81" spans="1:2" x14ac:dyDescent="0.3">
      <c r="A81" s="65" t="s">
        <v>1327</v>
      </c>
      <c r="B81" s="66">
        <v>45827.520026759259</v>
      </c>
    </row>
    <row r="82" spans="1:2" x14ac:dyDescent="0.3">
      <c r="A82" s="65" t="s">
        <v>1325</v>
      </c>
      <c r="B82" s="66">
        <v>45827.83144440972</v>
      </c>
    </row>
    <row r="83" spans="1:2" x14ac:dyDescent="0.3">
      <c r="A83" s="65" t="s">
        <v>1325</v>
      </c>
      <c r="B83" s="66">
        <v>45827.834559583338</v>
      </c>
    </row>
    <row r="84" spans="1:2" x14ac:dyDescent="0.3">
      <c r="A84" s="65" t="s">
        <v>1367</v>
      </c>
      <c r="B84" s="66">
        <v>45832.375163391203</v>
      </c>
    </row>
    <row r="85" spans="1:2" x14ac:dyDescent="0.3">
      <c r="A85" s="65" t="s">
        <v>1367</v>
      </c>
      <c r="B85" s="66">
        <v>45832.379989629626</v>
      </c>
    </row>
    <row r="86" spans="1:2" x14ac:dyDescent="0.3">
      <c r="A86" s="65" t="s">
        <v>1343</v>
      </c>
      <c r="B86" s="66">
        <v>45834.638151527775</v>
      </c>
    </row>
    <row r="87" spans="1:2" x14ac:dyDescent="0.3">
      <c r="A87" s="65" t="s">
        <v>1325</v>
      </c>
      <c r="B87" s="66">
        <v>45838.412658657406</v>
      </c>
    </row>
    <row r="88" spans="1:2" x14ac:dyDescent="0.3">
      <c r="A88" s="65" t="s">
        <v>1327</v>
      </c>
      <c r="B88" s="66">
        <v>45838.595353761571</v>
      </c>
    </row>
    <row r="89" spans="1:2" x14ac:dyDescent="0.3">
      <c r="A89" s="65" t="s">
        <v>1325</v>
      </c>
      <c r="B89" s="66">
        <v>45839.545951655091</v>
      </c>
    </row>
    <row r="90" spans="1:2" x14ac:dyDescent="0.3">
      <c r="A90" s="65" t="s">
        <v>1325</v>
      </c>
      <c r="B90" s="66">
        <v>45840.411407314816</v>
      </c>
    </row>
    <row r="91" spans="1:2" x14ac:dyDescent="0.3">
      <c r="A91" s="65" t="s">
        <v>1325</v>
      </c>
      <c r="B91" s="66">
        <v>45845.558835555552</v>
      </c>
    </row>
    <row r="92" spans="1:2" x14ac:dyDescent="0.3">
      <c r="A92" s="65" t="s">
        <v>1325</v>
      </c>
      <c r="B92" s="66">
        <v>45845.560252256946</v>
      </c>
    </row>
    <row r="93" spans="1:2" x14ac:dyDescent="0.3">
      <c r="A93" s="65" t="s">
        <v>1325</v>
      </c>
      <c r="B93" s="66">
        <v>45845.567517326388</v>
      </c>
    </row>
    <row r="94" spans="1:2" x14ac:dyDescent="0.3">
      <c r="A94" s="65" t="s">
        <v>1341</v>
      </c>
      <c r="B94" s="66">
        <v>45846.365887939814</v>
      </c>
    </row>
    <row r="95" spans="1:2" x14ac:dyDescent="0.3">
      <c r="A95" s="65" t="s">
        <v>1341</v>
      </c>
      <c r="B95" s="66">
        <v>45846.402333391205</v>
      </c>
    </row>
    <row r="96" spans="1:2" x14ac:dyDescent="0.3">
      <c r="A96" s="65" t="s">
        <v>1341</v>
      </c>
      <c r="B96" s="66">
        <v>45847.309146215281</v>
      </c>
    </row>
    <row r="97" spans="1:2" x14ac:dyDescent="0.3">
      <c r="A97" s="65" t="s">
        <v>1341</v>
      </c>
      <c r="B97" s="66">
        <v>45847.321383252318</v>
      </c>
    </row>
    <row r="98" spans="1:2" x14ac:dyDescent="0.3">
      <c r="A98" s="65" t="s">
        <v>1327</v>
      </c>
      <c r="B98" s="66">
        <v>45847.698139895831</v>
      </c>
    </row>
    <row r="99" spans="1:2" x14ac:dyDescent="0.3">
      <c r="A99" s="65" t="s">
        <v>1341</v>
      </c>
      <c r="B99" s="66">
        <v>45849.346468946758</v>
      </c>
    </row>
    <row r="100" spans="1:2" x14ac:dyDescent="0.3">
      <c r="A100" s="65" t="s">
        <v>1341</v>
      </c>
      <c r="B100" s="66">
        <v>45849.381395277778</v>
      </c>
    </row>
    <row r="101" spans="1:2" x14ac:dyDescent="0.3">
      <c r="A101" s="65" t="s">
        <v>1341</v>
      </c>
      <c r="B101" s="66">
        <v>45849.471831388888</v>
      </c>
    </row>
    <row r="102" spans="1:2" x14ac:dyDescent="0.3">
      <c r="A102" s="65" t="s">
        <v>1341</v>
      </c>
      <c r="B102" s="66">
        <v>45850.675041689814</v>
      </c>
    </row>
    <row r="103" spans="1:2" x14ac:dyDescent="0.3">
      <c r="A103" s="65" t="s">
        <v>1325</v>
      </c>
      <c r="B103" s="66">
        <v>45859.568506203708</v>
      </c>
    </row>
    <row r="104" spans="1:2" x14ac:dyDescent="0.3">
      <c r="A104" s="65" t="s">
        <v>1341</v>
      </c>
      <c r="B104" s="66">
        <v>45860.32743513889</v>
      </c>
    </row>
    <row r="105" spans="1:2" x14ac:dyDescent="0.3">
      <c r="A105" s="65" t="s">
        <v>1341</v>
      </c>
      <c r="B105" s="66">
        <v>45860.354956620373</v>
      </c>
    </row>
    <row r="106" spans="1:2" x14ac:dyDescent="0.3">
      <c r="A106" s="65" t="s">
        <v>1341</v>
      </c>
      <c r="B106" s="66">
        <v>45860.380537268516</v>
      </c>
    </row>
    <row r="107" spans="1:2" x14ac:dyDescent="0.3">
      <c r="A107" s="65" t="s">
        <v>1325</v>
      </c>
      <c r="B107" s="66">
        <v>45861.96338346065</v>
      </c>
    </row>
    <row r="108" spans="1:2" x14ac:dyDescent="0.3">
      <c r="A108" s="65" t="s">
        <v>1325</v>
      </c>
      <c r="B108" s="66">
        <v>45861.965515324075</v>
      </c>
    </row>
    <row r="109" spans="1:2" x14ac:dyDescent="0.3">
      <c r="A109" s="65" t="s">
        <v>1341</v>
      </c>
      <c r="B109" s="66">
        <v>45863.417583680552</v>
      </c>
    </row>
    <row r="110" spans="1:2" x14ac:dyDescent="0.3">
      <c r="A110" s="65" t="s">
        <v>1325</v>
      </c>
      <c r="B110" s="66">
        <v>45863.601633564816</v>
      </c>
    </row>
    <row r="111" spans="1:2" x14ac:dyDescent="0.3">
      <c r="A111" s="65" t="s">
        <v>1341</v>
      </c>
      <c r="B111" s="66">
        <v>45870.506737835647</v>
      </c>
    </row>
    <row r="112" spans="1:2" x14ac:dyDescent="0.3">
      <c r="A112" s="65" t="s">
        <v>1341</v>
      </c>
      <c r="B112" s="66">
        <v>45871.609527719906</v>
      </c>
    </row>
    <row r="113" spans="1:2" x14ac:dyDescent="0.3">
      <c r="A113" s="65" t="s">
        <v>1341</v>
      </c>
      <c r="B113" s="66">
        <v>45873.325170520839</v>
      </c>
    </row>
    <row r="114" spans="1:2" x14ac:dyDescent="0.3">
      <c r="A114" s="65" t="s">
        <v>1325</v>
      </c>
      <c r="B114" s="66">
        <v>45879.644796736116</v>
      </c>
    </row>
    <row r="115" spans="1:2" x14ac:dyDescent="0.3">
      <c r="A115" s="65" t="s">
        <v>1343</v>
      </c>
      <c r="B115" s="66">
        <v>45880.349150810187</v>
      </c>
    </row>
    <row r="116" spans="1:2" x14ac:dyDescent="0.3">
      <c r="A116" s="65" t="s">
        <v>1367</v>
      </c>
      <c r="B116" s="66">
        <v>45880.557151064815</v>
      </c>
    </row>
    <row r="117" spans="1:2" x14ac:dyDescent="0.3">
      <c r="A117" s="65" t="s">
        <v>1367</v>
      </c>
      <c r="B117" s="66">
        <v>45880.567650324076</v>
      </c>
    </row>
    <row r="118" spans="1:2" x14ac:dyDescent="0.3">
      <c r="A118" s="65" t="s">
        <v>1367</v>
      </c>
      <c r="B118" s="66">
        <v>45880.635209537038</v>
      </c>
    </row>
    <row r="119" spans="1:2" x14ac:dyDescent="0.3">
      <c r="A119" s="65" t="s">
        <v>1367</v>
      </c>
      <c r="B119" s="66">
        <v>45881.320466655088</v>
      </c>
    </row>
    <row r="120" spans="1:2" x14ac:dyDescent="0.3">
      <c r="A120" s="65" t="s">
        <v>1341</v>
      </c>
      <c r="B120" s="66">
        <v>45881.615271875002</v>
      </c>
    </row>
    <row r="121" spans="1:2" x14ac:dyDescent="0.3">
      <c r="A121" s="65" t="s">
        <v>1367</v>
      </c>
      <c r="B121" s="66">
        <v>45882.32715986111</v>
      </c>
    </row>
    <row r="122" spans="1:2" x14ac:dyDescent="0.3">
      <c r="A122" s="65" t="s">
        <v>1341</v>
      </c>
      <c r="B122" s="66">
        <v>45887.332094618054</v>
      </c>
    </row>
    <row r="123" spans="1:2" x14ac:dyDescent="0.3">
      <c r="A123" s="65" t="s">
        <v>1325</v>
      </c>
      <c r="B123" s="66">
        <v>45889.365985868055</v>
      </c>
    </row>
    <row r="124" spans="1:2" x14ac:dyDescent="0.3">
      <c r="A124" s="65" t="s">
        <v>1325</v>
      </c>
      <c r="B124" s="66">
        <v>45889.370011666666</v>
      </c>
    </row>
    <row r="125" spans="1:2" x14ac:dyDescent="0.3">
      <c r="A125" s="65" t="s">
        <v>1325</v>
      </c>
      <c r="B125" s="66">
        <v>45889.375255231484</v>
      </c>
    </row>
    <row r="126" spans="1:2" x14ac:dyDescent="0.3">
      <c r="A126" s="65" t="s">
        <v>1325</v>
      </c>
      <c r="B126" s="66">
        <v>45889.376214421296</v>
      </c>
    </row>
    <row r="127" spans="1:2" x14ac:dyDescent="0.3">
      <c r="A127" s="65" t="s">
        <v>1341</v>
      </c>
      <c r="B127" s="66">
        <v>45891.377699212964</v>
      </c>
    </row>
    <row r="128" spans="1:2" x14ac:dyDescent="0.3">
      <c r="A128" s="65" t="s">
        <v>1341</v>
      </c>
      <c r="B128" s="66">
        <v>45894.453604814815</v>
      </c>
    </row>
    <row r="129" spans="1:2" x14ac:dyDescent="0.3">
      <c r="A129" s="65" t="s">
        <v>1327</v>
      </c>
      <c r="B129" s="66">
        <v>45898.354956724535</v>
      </c>
    </row>
    <row r="130" spans="1:2" x14ac:dyDescent="0.3">
      <c r="A130" s="65" t="s">
        <v>1327</v>
      </c>
      <c r="B130" s="66">
        <v>45898.356230833335</v>
      </c>
    </row>
    <row r="131" spans="1:2" x14ac:dyDescent="0.3">
      <c r="A131" s="65" t="s">
        <v>1333</v>
      </c>
      <c r="B131" s="66">
        <v>45909.548644699069</v>
      </c>
    </row>
    <row r="132" spans="1:2" x14ac:dyDescent="0.3">
      <c r="A132" s="65" t="s">
        <v>1325</v>
      </c>
      <c r="B132" s="66">
        <v>45925.468359756946</v>
      </c>
    </row>
    <row r="133" spans="1:2" x14ac:dyDescent="0.3">
      <c r="A133" s="65" t="s">
        <v>1327</v>
      </c>
      <c r="B133" s="66">
        <v>45931.365777314815</v>
      </c>
    </row>
    <row r="134" spans="1:2" x14ac:dyDescent="0.3">
      <c r="A134" s="65" t="s">
        <v>1327</v>
      </c>
      <c r="B134" s="66">
        <v>45933.620775833333</v>
      </c>
    </row>
    <row r="135" spans="1:2" x14ac:dyDescent="0.3">
      <c r="A135" s="65" t="s">
        <v>1327</v>
      </c>
      <c r="B135" s="66">
        <v>45936.567361782407</v>
      </c>
    </row>
    <row r="136" spans="1:2" x14ac:dyDescent="0.3">
      <c r="A136" s="65" t="s">
        <v>1341</v>
      </c>
      <c r="B136" s="66">
        <v>45939.355745821755</v>
      </c>
    </row>
    <row r="137" spans="1:2" x14ac:dyDescent="0.3">
      <c r="A137" s="65" t="s">
        <v>1341</v>
      </c>
      <c r="B137" s="66">
        <v>45943.311184502316</v>
      </c>
    </row>
    <row r="138" spans="1:2" x14ac:dyDescent="0.3">
      <c r="A138" s="65" t="s">
        <v>1378</v>
      </c>
      <c r="B138" s="66">
        <v>45943.476231296299</v>
      </c>
    </row>
    <row r="139" spans="1:2" x14ac:dyDescent="0.3">
      <c r="A139" s="65" t="s">
        <v>1378</v>
      </c>
      <c r="B139" s="66">
        <v>45943.569806782412</v>
      </c>
    </row>
    <row r="140" spans="1:2" x14ac:dyDescent="0.3">
      <c r="A140" s="65" t="s">
        <v>1341</v>
      </c>
      <c r="B140" s="66">
        <v>45945.446669120371</v>
      </c>
    </row>
    <row r="141" spans="1:2" x14ac:dyDescent="0.3">
      <c r="A141" s="65" t="s">
        <v>1331</v>
      </c>
      <c r="B141" s="66">
        <v>45946.6094834838</v>
      </c>
    </row>
    <row r="142" spans="1:2" x14ac:dyDescent="0.3">
      <c r="A142" s="65" t="s">
        <v>1331</v>
      </c>
      <c r="B142" s="66">
        <v>45946.61470554398</v>
      </c>
    </row>
    <row r="143" spans="1:2" x14ac:dyDescent="0.3">
      <c r="A143" s="65" t="s">
        <v>1331</v>
      </c>
      <c r="B143" s="66">
        <v>45946.634174664352</v>
      </c>
    </row>
    <row r="144" spans="1:2" x14ac:dyDescent="0.3">
      <c r="A144" s="65" t="s">
        <v>1331</v>
      </c>
      <c r="B144" s="66">
        <v>45947.366312071761</v>
      </c>
    </row>
    <row r="145" spans="1:2" x14ac:dyDescent="0.3">
      <c r="A145" s="65" t="s">
        <v>1331</v>
      </c>
      <c r="B145" s="66">
        <v>45947.419255428242</v>
      </c>
    </row>
    <row r="146" spans="1:2" x14ac:dyDescent="0.3">
      <c r="A146" s="65" t="s">
        <v>1331</v>
      </c>
      <c r="B146" s="66">
        <v>45947.427097511572</v>
      </c>
    </row>
    <row r="147" spans="1:2" x14ac:dyDescent="0.3">
      <c r="A147" s="65" t="s">
        <v>1331</v>
      </c>
      <c r="B147" s="66">
        <v>45947.428883773144</v>
      </c>
    </row>
    <row r="148" spans="1:2" x14ac:dyDescent="0.3">
      <c r="A148" s="65" t="s">
        <v>1331</v>
      </c>
      <c r="B148" s="66">
        <v>45947.429107986114</v>
      </c>
    </row>
    <row r="149" spans="1:2" x14ac:dyDescent="0.3">
      <c r="A149" s="65" t="s">
        <v>1331</v>
      </c>
      <c r="B149" s="66">
        <v>45947.43143626157</v>
      </c>
    </row>
    <row r="150" spans="1:2" x14ac:dyDescent="0.3">
      <c r="A150" s="65" t="s">
        <v>1331</v>
      </c>
      <c r="B150" s="66">
        <v>45947.431699606481</v>
      </c>
    </row>
    <row r="151" spans="1:2" x14ac:dyDescent="0.3">
      <c r="A151" s="65" t="s">
        <v>1341</v>
      </c>
      <c r="B151" s="66">
        <v>45949.752090972223</v>
      </c>
    </row>
    <row r="152" spans="1:2" x14ac:dyDescent="0.3">
      <c r="A152" s="65" t="s">
        <v>1331</v>
      </c>
      <c r="B152" s="66">
        <v>45950.367631620371</v>
      </c>
    </row>
    <row r="153" spans="1:2" x14ac:dyDescent="0.3">
      <c r="A153" s="65" t="s">
        <v>1367</v>
      </c>
      <c r="B153" s="66">
        <v>45950.764663518523</v>
      </c>
    </row>
    <row r="154" spans="1:2" x14ac:dyDescent="0.3">
      <c r="A154" s="65" t="s">
        <v>1331</v>
      </c>
      <c r="B154" s="66">
        <v>45951.577179340282</v>
      </c>
    </row>
    <row r="155" spans="1:2" x14ac:dyDescent="0.3">
      <c r="A155" s="65" t="s">
        <v>1373</v>
      </c>
      <c r="B155" s="66">
        <v>45952.611786875001</v>
      </c>
    </row>
    <row r="156" spans="1:2" x14ac:dyDescent="0.3">
      <c r="A156" s="65" t="s">
        <v>1377</v>
      </c>
      <c r="B156" s="66">
        <v>45952.626540381942</v>
      </c>
    </row>
    <row r="157" spans="1:2" x14ac:dyDescent="0.3">
      <c r="A157" s="65" t="s">
        <v>1341</v>
      </c>
      <c r="B157" s="66">
        <v>45953.323994351857</v>
      </c>
    </row>
    <row r="158" spans="1:2" x14ac:dyDescent="0.3">
      <c r="A158" s="65" t="s">
        <v>1341</v>
      </c>
      <c r="B158" s="66">
        <v>45954.783257870367</v>
      </c>
    </row>
    <row r="159" spans="1:2" x14ac:dyDescent="0.3">
      <c r="A159" s="65" t="s">
        <v>1325</v>
      </c>
      <c r="B159" s="66">
        <v>45958.374953032406</v>
      </c>
    </row>
    <row r="160" spans="1:2" x14ac:dyDescent="0.3">
      <c r="A160" s="65" t="s">
        <v>1367</v>
      </c>
      <c r="B160" s="66">
        <v>45960.289179074069</v>
      </c>
    </row>
    <row r="161" spans="1:2" x14ac:dyDescent="0.3">
      <c r="A161" s="65" t="s">
        <v>1327</v>
      </c>
      <c r="B161" s="66">
        <v>45960.361503182867</v>
      </c>
    </row>
    <row r="162" spans="1:2" x14ac:dyDescent="0.3">
      <c r="A162" s="65" t="s">
        <v>1341</v>
      </c>
      <c r="B162" s="66">
        <v>45960.387656087958</v>
      </c>
    </row>
    <row r="163" spans="1:2" x14ac:dyDescent="0.3">
      <c r="A163" s="65" t="s">
        <v>1373</v>
      </c>
      <c r="B163" s="66">
        <v>45960.494559467596</v>
      </c>
    </row>
    <row r="164" spans="1:2" x14ac:dyDescent="0.3">
      <c r="A164" s="65" t="s">
        <v>1373</v>
      </c>
      <c r="B164" s="66">
        <v>45960.52790862268</v>
      </c>
    </row>
    <row r="165" spans="1:2" x14ac:dyDescent="0.3">
      <c r="A165" s="65" t="s">
        <v>1373</v>
      </c>
      <c r="B165" s="66">
        <v>45960.681261076388</v>
      </c>
    </row>
    <row r="166" spans="1:2" x14ac:dyDescent="0.3">
      <c r="A166" s="65" t="s">
        <v>1341</v>
      </c>
      <c r="B166" s="66">
        <v>45960.728114652782</v>
      </c>
    </row>
    <row r="167" spans="1:2" x14ac:dyDescent="0.3">
      <c r="A167" s="65" t="s">
        <v>1341</v>
      </c>
      <c r="B167" s="66">
        <v>45961.324509432874</v>
      </c>
    </row>
    <row r="168" spans="1:2" x14ac:dyDescent="0.3">
      <c r="A168" s="65" t="s">
        <v>1327</v>
      </c>
      <c r="B168" s="66">
        <v>45961.567936435182</v>
      </c>
    </row>
    <row r="169" spans="1:2" x14ac:dyDescent="0.3">
      <c r="A169" s="65" t="s">
        <v>1373</v>
      </c>
      <c r="B169" s="66">
        <v>45965.540482951386</v>
      </c>
    </row>
    <row r="170" spans="1:2" x14ac:dyDescent="0.3">
      <c r="A170" s="65" t="s">
        <v>1341</v>
      </c>
      <c r="B170" s="66">
        <v>45965.581397245369</v>
      </c>
    </row>
    <row r="171" spans="1:2" x14ac:dyDescent="0.3">
      <c r="A171" s="65" t="s">
        <v>1329</v>
      </c>
      <c r="B171" s="66">
        <v>45966.610030243057</v>
      </c>
    </row>
    <row r="172" spans="1:2" x14ac:dyDescent="0.3">
      <c r="A172" s="65" t="s">
        <v>1329</v>
      </c>
      <c r="B172" s="66">
        <v>45967.516947488424</v>
      </c>
    </row>
    <row r="173" spans="1:2" x14ac:dyDescent="0.3">
      <c r="A173" s="65" t="s">
        <v>1373</v>
      </c>
      <c r="B173" s="66">
        <v>45968.735919189814</v>
      </c>
    </row>
    <row r="174" spans="1:2" x14ac:dyDescent="0.3">
      <c r="A174" s="65" t="s">
        <v>1341</v>
      </c>
      <c r="B174" s="66">
        <v>45969.459807291671</v>
      </c>
    </row>
    <row r="175" spans="1:2" x14ac:dyDescent="0.3">
      <c r="A175" s="65" t="s">
        <v>1341</v>
      </c>
      <c r="B175" s="66">
        <v>45970.639802696758</v>
      </c>
    </row>
    <row r="176" spans="1:2" x14ac:dyDescent="0.3">
      <c r="A176" s="65" t="s">
        <v>1341</v>
      </c>
      <c r="B176" s="66">
        <v>45970.805319722218</v>
      </c>
    </row>
    <row r="177" spans="1:2" x14ac:dyDescent="0.3">
      <c r="A177" s="65" t="s">
        <v>1327</v>
      </c>
      <c r="B177" s="66">
        <v>45971.506413495372</v>
      </c>
    </row>
    <row r="178" spans="1:2" x14ac:dyDescent="0.3">
      <c r="A178" s="65" t="s">
        <v>1341</v>
      </c>
      <c r="B178" s="66">
        <v>45971.684672824078</v>
      </c>
    </row>
    <row r="179" spans="1:2" x14ac:dyDescent="0.3">
      <c r="A179" s="65" t="s">
        <v>1327</v>
      </c>
      <c r="B179" s="66">
        <v>45973.508896446758</v>
      </c>
    </row>
    <row r="180" spans="1:2" x14ac:dyDescent="0.3">
      <c r="A180" s="65" t="s">
        <v>1327</v>
      </c>
      <c r="B180" s="66">
        <v>45973.508901018518</v>
      </c>
    </row>
    <row r="181" spans="1:2" x14ac:dyDescent="0.3">
      <c r="A181" s="65" t="s">
        <v>1327</v>
      </c>
      <c r="B181" s="66">
        <v>45975.251309282408</v>
      </c>
    </row>
    <row r="182" spans="1:2" x14ac:dyDescent="0.3">
      <c r="A182" s="65" t="s">
        <v>1373</v>
      </c>
      <c r="B182" s="66">
        <v>45981.701574710649</v>
      </c>
    </row>
    <row r="183" spans="1:2" x14ac:dyDescent="0.3">
      <c r="A183" s="65" t="s">
        <v>1373</v>
      </c>
      <c r="B183" s="66">
        <v>45981.716823854164</v>
      </c>
    </row>
    <row r="184" spans="1:2" x14ac:dyDescent="0.3">
      <c r="A184" s="65" t="s">
        <v>1373</v>
      </c>
      <c r="B184" s="66">
        <v>45981.722119733793</v>
      </c>
    </row>
    <row r="185" spans="1:2" x14ac:dyDescent="0.3">
      <c r="A185" s="65" t="s">
        <v>1341</v>
      </c>
      <c r="B185" s="66">
        <v>45985.539062777782</v>
      </c>
    </row>
    <row r="186" spans="1:2" x14ac:dyDescent="0.3">
      <c r="A186" s="65" t="s">
        <v>1373</v>
      </c>
      <c r="B186" s="66">
        <v>45985.680147847219</v>
      </c>
    </row>
    <row r="187" spans="1:2" x14ac:dyDescent="0.3">
      <c r="A187" s="65"/>
      <c r="B187" s="65"/>
    </row>
    <row r="188" spans="1:2" x14ac:dyDescent="0.3">
      <c r="A188" s="65"/>
      <c r="B188" s="65"/>
    </row>
    <row r="189" spans="1:2" x14ac:dyDescent="0.3">
      <c r="A189" s="65"/>
      <c r="B189" s="65"/>
    </row>
    <row r="190" spans="1:2" x14ac:dyDescent="0.3">
      <c r="A190" s="65"/>
      <c r="B190" s="65"/>
    </row>
    <row r="191" spans="1:2" x14ac:dyDescent="0.3">
      <c r="A191" s="65"/>
      <c r="B191" s="65"/>
    </row>
    <row r="192" spans="1:2" x14ac:dyDescent="0.3">
      <c r="A192" s="65"/>
      <c r="B192" s="65"/>
    </row>
    <row r="193" spans="1:2" x14ac:dyDescent="0.3">
      <c r="A193" s="65"/>
      <c r="B193" s="65"/>
    </row>
    <row r="194" spans="1:2" x14ac:dyDescent="0.3">
      <c r="A194" s="65"/>
      <c r="B194" s="65"/>
    </row>
    <row r="195" spans="1:2" x14ac:dyDescent="0.3">
      <c r="A195" s="65"/>
      <c r="B195" s="65"/>
    </row>
    <row r="196" spans="1:2" x14ac:dyDescent="0.3">
      <c r="A196" s="65"/>
      <c r="B196" s="65"/>
    </row>
    <row r="197" spans="1:2" x14ac:dyDescent="0.3">
      <c r="A197" s="65"/>
      <c r="B197" s="65"/>
    </row>
    <row r="198" spans="1:2" x14ac:dyDescent="0.3">
      <c r="A198" s="65"/>
      <c r="B198" s="65"/>
    </row>
    <row r="199" spans="1:2" x14ac:dyDescent="0.3">
      <c r="A199" s="65"/>
      <c r="B199" s="65"/>
    </row>
    <row r="200" spans="1:2" x14ac:dyDescent="0.3">
      <c r="A200" s="65"/>
      <c r="B200" s="65"/>
    </row>
    <row r="201" spans="1:2" x14ac:dyDescent="0.3">
      <c r="A201" s="65"/>
      <c r="B201" s="65"/>
    </row>
    <row r="202" spans="1:2" x14ac:dyDescent="0.3">
      <c r="A202" s="65"/>
      <c r="B202" s="65"/>
    </row>
    <row r="203" spans="1:2" x14ac:dyDescent="0.3">
      <c r="A203" s="65"/>
      <c r="B203" s="65"/>
    </row>
    <row r="204" spans="1:2" x14ac:dyDescent="0.3">
      <c r="A204" s="65"/>
      <c r="B204" s="65"/>
    </row>
    <row r="205" spans="1:2" x14ac:dyDescent="0.3">
      <c r="A205" s="65"/>
      <c r="B205" s="65"/>
    </row>
    <row r="206" spans="1:2" x14ac:dyDescent="0.3">
      <c r="A206" s="65"/>
      <c r="B206" s="65"/>
    </row>
    <row r="207" spans="1:2" x14ac:dyDescent="0.3">
      <c r="A207" s="65"/>
      <c r="B207" s="65"/>
    </row>
    <row r="208" spans="1:2" x14ac:dyDescent="0.3">
      <c r="A208" s="65"/>
      <c r="B208" s="65"/>
    </row>
    <row r="209" spans="1:2" x14ac:dyDescent="0.3">
      <c r="A209" s="65"/>
      <c r="B209" s="65"/>
    </row>
    <row r="210" spans="1:2" x14ac:dyDescent="0.3">
      <c r="A210" s="65"/>
      <c r="B210" s="65"/>
    </row>
    <row r="211" spans="1:2" x14ac:dyDescent="0.3">
      <c r="A211" s="65"/>
      <c r="B211" s="65"/>
    </row>
    <row r="212" spans="1:2" x14ac:dyDescent="0.3">
      <c r="A212" s="65"/>
      <c r="B212" s="65"/>
    </row>
    <row r="213" spans="1:2" x14ac:dyDescent="0.3">
      <c r="A213" s="65"/>
      <c r="B213" s="65"/>
    </row>
    <row r="214" spans="1:2" x14ac:dyDescent="0.3">
      <c r="A214" s="65"/>
      <c r="B214" s="65"/>
    </row>
    <row r="215" spans="1:2" x14ac:dyDescent="0.3">
      <c r="A215" s="65"/>
      <c r="B215" s="65"/>
    </row>
    <row r="216" spans="1:2" x14ac:dyDescent="0.3">
      <c r="A216" s="65"/>
      <c r="B216" s="65"/>
    </row>
    <row r="217" spans="1:2" x14ac:dyDescent="0.3">
      <c r="A217" s="65"/>
      <c r="B217" s="65"/>
    </row>
    <row r="218" spans="1:2" x14ac:dyDescent="0.3">
      <c r="A218" s="65"/>
      <c r="B218" s="65"/>
    </row>
    <row r="219" spans="1:2" x14ac:dyDescent="0.3">
      <c r="A219" s="65"/>
      <c r="B219" s="65"/>
    </row>
    <row r="220" spans="1:2" x14ac:dyDescent="0.3">
      <c r="A220" s="65"/>
      <c r="B220" s="65"/>
    </row>
    <row r="221" spans="1:2" x14ac:dyDescent="0.3">
      <c r="A221" s="65"/>
      <c r="B221" s="65"/>
    </row>
    <row r="222" spans="1:2" x14ac:dyDescent="0.3">
      <c r="A222" s="65"/>
      <c r="B222" s="65"/>
    </row>
    <row r="223" spans="1:2" x14ac:dyDescent="0.3">
      <c r="A223" s="65"/>
      <c r="B223" s="65"/>
    </row>
    <row r="224" spans="1:2" x14ac:dyDescent="0.3">
      <c r="A224" s="65"/>
      <c r="B224" s="65"/>
    </row>
    <row r="225" spans="1:2" x14ac:dyDescent="0.3">
      <c r="A225" s="65"/>
      <c r="B225" s="65"/>
    </row>
    <row r="226" spans="1:2" x14ac:dyDescent="0.3">
      <c r="A226" s="65"/>
      <c r="B226" s="65"/>
    </row>
    <row r="227" spans="1:2" x14ac:dyDescent="0.3">
      <c r="A227" s="65"/>
      <c r="B227" s="65"/>
    </row>
    <row r="228" spans="1:2" x14ac:dyDescent="0.3">
      <c r="A228" s="65"/>
      <c r="B228" s="65"/>
    </row>
    <row r="229" spans="1:2" x14ac:dyDescent="0.3">
      <c r="A229" s="65"/>
      <c r="B229" s="65"/>
    </row>
    <row r="230" spans="1:2" x14ac:dyDescent="0.3">
      <c r="A230" s="65"/>
      <c r="B230" s="65"/>
    </row>
    <row r="231" spans="1:2" x14ac:dyDescent="0.3">
      <c r="A231" s="65"/>
      <c r="B231" s="65"/>
    </row>
    <row r="232" spans="1:2" x14ac:dyDescent="0.3">
      <c r="A232" s="65"/>
      <c r="B232" s="65"/>
    </row>
    <row r="233" spans="1:2" x14ac:dyDescent="0.3">
      <c r="A233" s="65"/>
      <c r="B233" s="65"/>
    </row>
    <row r="234" spans="1:2" x14ac:dyDescent="0.3">
      <c r="A234" s="65"/>
      <c r="B234" s="65"/>
    </row>
    <row r="235" spans="1:2" x14ac:dyDescent="0.3">
      <c r="A235" s="65"/>
      <c r="B235" s="65"/>
    </row>
    <row r="236" spans="1:2" x14ac:dyDescent="0.3">
      <c r="A236" s="65"/>
      <c r="B236" s="65"/>
    </row>
    <row r="237" spans="1:2" x14ac:dyDescent="0.3">
      <c r="A237" s="65"/>
      <c r="B237" s="65"/>
    </row>
    <row r="238" spans="1:2" x14ac:dyDescent="0.3">
      <c r="A238" s="65"/>
      <c r="B238" s="65"/>
    </row>
    <row r="239" spans="1:2" x14ac:dyDescent="0.3">
      <c r="A239" s="65"/>
      <c r="B239" s="65"/>
    </row>
    <row r="240" spans="1:2" x14ac:dyDescent="0.3">
      <c r="A240" s="65"/>
      <c r="B240" s="65"/>
    </row>
    <row r="241" spans="1:2" x14ac:dyDescent="0.3">
      <c r="A241" s="65"/>
      <c r="B241" s="65"/>
    </row>
    <row r="242" spans="1:2" x14ac:dyDescent="0.3">
      <c r="A242" s="65"/>
      <c r="B242" s="65"/>
    </row>
    <row r="243" spans="1:2" x14ac:dyDescent="0.3">
      <c r="A243" s="65"/>
      <c r="B243" s="65"/>
    </row>
    <row r="244" spans="1:2" x14ac:dyDescent="0.3">
      <c r="A244" s="65"/>
      <c r="B244" s="65"/>
    </row>
    <row r="245" spans="1:2" x14ac:dyDescent="0.3">
      <c r="A245" s="65"/>
      <c r="B245" s="65"/>
    </row>
    <row r="246" spans="1:2" x14ac:dyDescent="0.3">
      <c r="A246" s="65"/>
      <c r="B246" s="65"/>
    </row>
    <row r="247" spans="1:2" x14ac:dyDescent="0.3">
      <c r="A247" s="65"/>
      <c r="B247" s="65"/>
    </row>
    <row r="248" spans="1:2" x14ac:dyDescent="0.3">
      <c r="A248" s="65"/>
      <c r="B248" s="65"/>
    </row>
    <row r="249" spans="1:2" x14ac:dyDescent="0.3">
      <c r="A249" s="65"/>
      <c r="B249" s="65"/>
    </row>
    <row r="250" spans="1:2" x14ac:dyDescent="0.3">
      <c r="A250" s="65"/>
      <c r="B250" s="65"/>
    </row>
    <row r="251" spans="1:2" x14ac:dyDescent="0.3">
      <c r="A251" s="65"/>
      <c r="B251" s="65"/>
    </row>
    <row r="252" spans="1:2" x14ac:dyDescent="0.3">
      <c r="A252" s="65"/>
      <c r="B252" s="65"/>
    </row>
    <row r="253" spans="1:2" x14ac:dyDescent="0.3">
      <c r="A253" s="65"/>
      <c r="B253" s="65"/>
    </row>
    <row r="254" spans="1:2" x14ac:dyDescent="0.3">
      <c r="A254" s="65"/>
      <c r="B254" s="65"/>
    </row>
    <row r="255" spans="1:2" x14ac:dyDescent="0.3">
      <c r="A255" s="65"/>
      <c r="B255" s="65"/>
    </row>
    <row r="256" spans="1:2" x14ac:dyDescent="0.3">
      <c r="A256" s="65"/>
      <c r="B256" s="65"/>
    </row>
    <row r="257" spans="1:2" x14ac:dyDescent="0.3">
      <c r="A257" s="65"/>
      <c r="B257" s="65"/>
    </row>
    <row r="258" spans="1:2" x14ac:dyDescent="0.3">
      <c r="A258" s="65"/>
      <c r="B258" s="65"/>
    </row>
    <row r="259" spans="1:2" x14ac:dyDescent="0.3">
      <c r="A259" s="65"/>
      <c r="B259" s="65"/>
    </row>
    <row r="260" spans="1:2" x14ac:dyDescent="0.3">
      <c r="A260" s="65"/>
      <c r="B260" s="65"/>
    </row>
    <row r="261" spans="1:2" x14ac:dyDescent="0.3">
      <c r="A261" s="65"/>
      <c r="B261" s="65"/>
    </row>
    <row r="262" spans="1:2" x14ac:dyDescent="0.3">
      <c r="A262" s="65"/>
      <c r="B262" s="65"/>
    </row>
    <row r="263" spans="1:2" x14ac:dyDescent="0.3">
      <c r="A263" s="65"/>
      <c r="B263" s="65"/>
    </row>
    <row r="264" spans="1:2" x14ac:dyDescent="0.3">
      <c r="A264" s="65"/>
      <c r="B264" s="65"/>
    </row>
    <row r="265" spans="1:2" x14ac:dyDescent="0.3">
      <c r="A265" s="65"/>
      <c r="B265" s="65"/>
    </row>
    <row r="266" spans="1:2" x14ac:dyDescent="0.3">
      <c r="A266" s="65"/>
      <c r="B266" s="65"/>
    </row>
    <row r="267" spans="1:2" x14ac:dyDescent="0.3">
      <c r="A267" s="65"/>
      <c r="B267" s="65"/>
    </row>
    <row r="268" spans="1:2" x14ac:dyDescent="0.3">
      <c r="A268" s="65"/>
      <c r="B268" s="65"/>
    </row>
    <row r="269" spans="1:2" x14ac:dyDescent="0.3">
      <c r="A269" s="65"/>
      <c r="B269" s="65"/>
    </row>
    <row r="270" spans="1:2" x14ac:dyDescent="0.3">
      <c r="A270" s="65"/>
      <c r="B270" s="65"/>
    </row>
    <row r="271" spans="1:2" x14ac:dyDescent="0.3">
      <c r="A271" s="65"/>
      <c r="B271" s="65"/>
    </row>
    <row r="272" spans="1:2" x14ac:dyDescent="0.3">
      <c r="A272" s="65"/>
      <c r="B272" s="65"/>
    </row>
    <row r="273" spans="1:2" x14ac:dyDescent="0.3">
      <c r="A273" s="65"/>
      <c r="B273" s="65"/>
    </row>
    <row r="274" spans="1:2" x14ac:dyDescent="0.3">
      <c r="A274" s="65"/>
      <c r="B274" s="65"/>
    </row>
    <row r="275" spans="1:2" x14ac:dyDescent="0.3">
      <c r="A275" s="65"/>
      <c r="B275" s="65"/>
    </row>
    <row r="276" spans="1:2" x14ac:dyDescent="0.3">
      <c r="A276" s="65"/>
      <c r="B276" s="65"/>
    </row>
    <row r="277" spans="1:2" x14ac:dyDescent="0.3">
      <c r="A277" s="65"/>
      <c r="B277" s="65"/>
    </row>
    <row r="278" spans="1:2" x14ac:dyDescent="0.3">
      <c r="A278" s="65"/>
      <c r="B278" s="65"/>
    </row>
    <row r="279" spans="1:2" x14ac:dyDescent="0.3">
      <c r="A279" s="65"/>
      <c r="B279" s="65"/>
    </row>
    <row r="280" spans="1:2" x14ac:dyDescent="0.3">
      <c r="A280" s="65"/>
      <c r="B280" s="65"/>
    </row>
    <row r="281" spans="1:2" x14ac:dyDescent="0.3">
      <c r="A281" s="65"/>
      <c r="B281" s="65"/>
    </row>
    <row r="282" spans="1:2" x14ac:dyDescent="0.3">
      <c r="A282" s="65"/>
      <c r="B282" s="65"/>
    </row>
    <row r="283" spans="1:2" x14ac:dyDescent="0.3">
      <c r="A283" s="65"/>
      <c r="B283" s="65"/>
    </row>
    <row r="284" spans="1:2" x14ac:dyDescent="0.3">
      <c r="A284" s="65"/>
      <c r="B284" s="65"/>
    </row>
    <row r="285" spans="1:2" x14ac:dyDescent="0.3">
      <c r="A285" s="65"/>
      <c r="B285" s="65"/>
    </row>
    <row r="286" spans="1:2" x14ac:dyDescent="0.3">
      <c r="A286" s="65"/>
      <c r="B286" s="65"/>
    </row>
    <row r="287" spans="1:2" x14ac:dyDescent="0.3">
      <c r="A287" s="65"/>
      <c r="B287" s="65"/>
    </row>
    <row r="288" spans="1:2" x14ac:dyDescent="0.3">
      <c r="A288" s="65"/>
      <c r="B288" s="65"/>
    </row>
    <row r="289" spans="1:2" x14ac:dyDescent="0.3">
      <c r="A289" s="65"/>
      <c r="B289" s="65"/>
    </row>
    <row r="290" spans="1:2" x14ac:dyDescent="0.3">
      <c r="A290" s="65"/>
      <c r="B290" s="65"/>
    </row>
    <row r="291" spans="1:2" x14ac:dyDescent="0.3">
      <c r="A291" s="65"/>
      <c r="B291" s="65"/>
    </row>
    <row r="292" spans="1:2" x14ac:dyDescent="0.3">
      <c r="A292" s="65"/>
      <c r="B292" s="65"/>
    </row>
    <row r="293" spans="1:2" x14ac:dyDescent="0.3">
      <c r="A293" s="65"/>
      <c r="B293" s="65"/>
    </row>
    <row r="294" spans="1:2" x14ac:dyDescent="0.3">
      <c r="A294" s="65"/>
      <c r="B294" s="65"/>
    </row>
    <row r="295" spans="1:2" x14ac:dyDescent="0.3">
      <c r="A295" s="65"/>
      <c r="B295" s="65"/>
    </row>
    <row r="296" spans="1:2" x14ac:dyDescent="0.3">
      <c r="A296" s="65"/>
      <c r="B296" s="65"/>
    </row>
    <row r="297" spans="1:2" x14ac:dyDescent="0.3">
      <c r="A297" s="65"/>
      <c r="B297" s="65"/>
    </row>
    <row r="298" spans="1:2" x14ac:dyDescent="0.3">
      <c r="A298" s="65"/>
      <c r="B298" s="65"/>
    </row>
    <row r="299" spans="1:2" x14ac:dyDescent="0.3">
      <c r="A299" s="65"/>
      <c r="B299" s="65"/>
    </row>
    <row r="300" spans="1:2" x14ac:dyDescent="0.3">
      <c r="A300" s="65"/>
      <c r="B300" s="65"/>
    </row>
    <row r="301" spans="1:2" x14ac:dyDescent="0.3">
      <c r="A301" s="65"/>
      <c r="B301" s="65"/>
    </row>
    <row r="302" spans="1:2" x14ac:dyDescent="0.3">
      <c r="A302" s="65"/>
      <c r="B302" s="65"/>
    </row>
    <row r="303" spans="1:2" x14ac:dyDescent="0.3">
      <c r="A303" s="65"/>
      <c r="B303" s="65"/>
    </row>
    <row r="304" spans="1:2" x14ac:dyDescent="0.3">
      <c r="A304" s="65"/>
      <c r="B304" s="65"/>
    </row>
    <row r="305" spans="1:2" x14ac:dyDescent="0.3">
      <c r="A305" s="65"/>
      <c r="B305" s="65"/>
    </row>
    <row r="306" spans="1:2" x14ac:dyDescent="0.3">
      <c r="A306" s="65"/>
      <c r="B306" s="65"/>
    </row>
    <row r="307" spans="1:2" x14ac:dyDescent="0.3">
      <c r="A307" s="65"/>
      <c r="B307" s="65"/>
    </row>
    <row r="308" spans="1:2" x14ac:dyDescent="0.3">
      <c r="A308" s="65"/>
      <c r="B308" s="65"/>
    </row>
    <row r="309" spans="1:2" x14ac:dyDescent="0.3">
      <c r="A309" s="65"/>
      <c r="B309" s="65"/>
    </row>
    <row r="310" spans="1:2" x14ac:dyDescent="0.3">
      <c r="A310" s="65"/>
      <c r="B310" s="65"/>
    </row>
    <row r="311" spans="1:2" x14ac:dyDescent="0.3">
      <c r="A311" s="65"/>
      <c r="B311" s="65"/>
    </row>
    <row r="312" spans="1:2" x14ac:dyDescent="0.3">
      <c r="A312" s="65"/>
      <c r="B312" s="65"/>
    </row>
    <row r="313" spans="1:2" x14ac:dyDescent="0.3">
      <c r="A313" s="65"/>
      <c r="B313" s="65"/>
    </row>
    <row r="314" spans="1:2" x14ac:dyDescent="0.3">
      <c r="A314" s="65"/>
      <c r="B314" s="65"/>
    </row>
    <row r="315" spans="1:2" x14ac:dyDescent="0.3">
      <c r="A315" s="65"/>
      <c r="B315" s="65"/>
    </row>
    <row r="316" spans="1:2" x14ac:dyDescent="0.3">
      <c r="A316" s="65"/>
      <c r="B316" s="65"/>
    </row>
    <row r="317" spans="1:2" x14ac:dyDescent="0.3">
      <c r="A317" s="65"/>
      <c r="B317" s="65"/>
    </row>
    <row r="318" spans="1:2" x14ac:dyDescent="0.3">
      <c r="A318" s="65"/>
      <c r="B318" s="65"/>
    </row>
    <row r="319" spans="1:2" x14ac:dyDescent="0.3">
      <c r="A319" s="65"/>
      <c r="B319" s="65"/>
    </row>
    <row r="320" spans="1:2" x14ac:dyDescent="0.3">
      <c r="A320" s="65"/>
      <c r="B320" s="65"/>
    </row>
    <row r="321" spans="1:2" x14ac:dyDescent="0.3">
      <c r="A321" s="65"/>
      <c r="B321" s="65"/>
    </row>
    <row r="322" spans="1:2" x14ac:dyDescent="0.3">
      <c r="A322" s="65"/>
      <c r="B322" s="65"/>
    </row>
    <row r="323" spans="1:2" x14ac:dyDescent="0.3">
      <c r="A323" s="65"/>
      <c r="B323" s="65"/>
    </row>
    <row r="324" spans="1:2" x14ac:dyDescent="0.3">
      <c r="A324" s="65"/>
      <c r="B324" s="65"/>
    </row>
    <row r="325" spans="1:2" x14ac:dyDescent="0.3">
      <c r="A325" s="65"/>
      <c r="B325" s="65"/>
    </row>
    <row r="326" spans="1:2" x14ac:dyDescent="0.3">
      <c r="A326" s="65"/>
      <c r="B326" s="65"/>
    </row>
    <row r="327" spans="1:2" x14ac:dyDescent="0.3">
      <c r="A327" s="65"/>
      <c r="B327" s="65"/>
    </row>
    <row r="328" spans="1:2" x14ac:dyDescent="0.3">
      <c r="A328" s="65"/>
      <c r="B328" s="65"/>
    </row>
    <row r="329" spans="1:2" x14ac:dyDescent="0.3">
      <c r="A329" s="65"/>
      <c r="B329" s="65"/>
    </row>
    <row r="330" spans="1:2" x14ac:dyDescent="0.3">
      <c r="A330" s="65"/>
      <c r="B330" s="65"/>
    </row>
    <row r="331" spans="1:2" x14ac:dyDescent="0.3">
      <c r="A331" s="65"/>
      <c r="B331" s="65"/>
    </row>
    <row r="332" spans="1:2" x14ac:dyDescent="0.3">
      <c r="A332" s="65"/>
      <c r="B332" s="65"/>
    </row>
    <row r="333" spans="1:2" x14ac:dyDescent="0.3">
      <c r="A333" s="65"/>
      <c r="B333" s="65"/>
    </row>
    <row r="334" spans="1:2" x14ac:dyDescent="0.3">
      <c r="A334" s="65"/>
      <c r="B334" s="65"/>
    </row>
    <row r="335" spans="1:2" x14ac:dyDescent="0.3">
      <c r="A335" s="65"/>
      <c r="B335" s="65"/>
    </row>
    <row r="336" spans="1:2" x14ac:dyDescent="0.3">
      <c r="A336" s="65"/>
      <c r="B336" s="65"/>
    </row>
    <row r="337" spans="1:2" x14ac:dyDescent="0.3">
      <c r="A337" s="65"/>
      <c r="B337" s="65"/>
    </row>
    <row r="338" spans="1:2" x14ac:dyDescent="0.3">
      <c r="A338" s="65"/>
      <c r="B338" s="65"/>
    </row>
    <row r="339" spans="1:2" x14ac:dyDescent="0.3">
      <c r="A339" s="65"/>
      <c r="B339" s="65"/>
    </row>
    <row r="340" spans="1:2" x14ac:dyDescent="0.3">
      <c r="A340" s="65"/>
      <c r="B340" s="65"/>
    </row>
    <row r="341" spans="1:2" x14ac:dyDescent="0.3">
      <c r="A341" s="65"/>
      <c r="B341" s="65"/>
    </row>
    <row r="342" spans="1:2" x14ac:dyDescent="0.3">
      <c r="A342" s="65"/>
      <c r="B342" s="65"/>
    </row>
    <row r="343" spans="1:2" x14ac:dyDescent="0.3">
      <c r="A343" s="65"/>
      <c r="B343" s="65"/>
    </row>
    <row r="344" spans="1:2" x14ac:dyDescent="0.3">
      <c r="A344" s="65"/>
      <c r="B344" s="65"/>
    </row>
    <row r="345" spans="1:2" x14ac:dyDescent="0.3">
      <c r="A345" s="65"/>
      <c r="B345" s="65"/>
    </row>
    <row r="346" spans="1:2" x14ac:dyDescent="0.3">
      <c r="A346" s="65"/>
      <c r="B346" s="65"/>
    </row>
    <row r="347" spans="1:2" x14ac:dyDescent="0.3">
      <c r="A347" s="65"/>
      <c r="B347" s="65"/>
    </row>
    <row r="348" spans="1:2" x14ac:dyDescent="0.3">
      <c r="A348" s="65"/>
      <c r="B348" s="65"/>
    </row>
    <row r="349" spans="1:2" x14ac:dyDescent="0.3">
      <c r="A349" s="65"/>
      <c r="B349" s="65"/>
    </row>
    <row r="350" spans="1:2" x14ac:dyDescent="0.3">
      <c r="A350" s="65"/>
      <c r="B350" s="65"/>
    </row>
    <row r="351" spans="1:2" x14ac:dyDescent="0.3">
      <c r="A351" s="65"/>
      <c r="B351" s="65"/>
    </row>
    <row r="352" spans="1:2" x14ac:dyDescent="0.3">
      <c r="A352" s="65"/>
      <c r="B352" s="65"/>
    </row>
    <row r="353" spans="1:2" x14ac:dyDescent="0.3">
      <c r="A353" s="65"/>
      <c r="B353" s="65"/>
    </row>
    <row r="354" spans="1:2" x14ac:dyDescent="0.3">
      <c r="A354" s="65"/>
      <c r="B354" s="65"/>
    </row>
    <row r="355" spans="1:2" x14ac:dyDescent="0.3">
      <c r="A355" s="65"/>
      <c r="B355" s="65"/>
    </row>
    <row r="356" spans="1:2" x14ac:dyDescent="0.3">
      <c r="A356" s="65"/>
      <c r="B356" s="65"/>
    </row>
    <row r="357" spans="1:2" x14ac:dyDescent="0.3">
      <c r="A357" s="65"/>
      <c r="B357" s="65"/>
    </row>
    <row r="358" spans="1:2" x14ac:dyDescent="0.3">
      <c r="A358" s="65"/>
      <c r="B358" s="65"/>
    </row>
    <row r="359" spans="1:2" x14ac:dyDescent="0.3">
      <c r="A359" s="65"/>
      <c r="B359" s="65"/>
    </row>
    <row r="360" spans="1:2" x14ac:dyDescent="0.3">
      <c r="A360" s="65"/>
      <c r="B360" s="65"/>
    </row>
    <row r="361" spans="1:2" x14ac:dyDescent="0.3">
      <c r="A361" s="65"/>
      <c r="B361" s="65"/>
    </row>
    <row r="362" spans="1:2" x14ac:dyDescent="0.3">
      <c r="A362" s="65"/>
      <c r="B362" s="65"/>
    </row>
    <row r="363" spans="1:2" x14ac:dyDescent="0.3">
      <c r="A363" s="65"/>
      <c r="B363" s="65"/>
    </row>
    <row r="364" spans="1:2" x14ac:dyDescent="0.3">
      <c r="A364" s="65"/>
      <c r="B364" s="65"/>
    </row>
    <row r="365" spans="1:2" x14ac:dyDescent="0.3">
      <c r="A365" s="65"/>
      <c r="B365" s="65"/>
    </row>
    <row r="366" spans="1:2" x14ac:dyDescent="0.3">
      <c r="A366" s="65"/>
      <c r="B366" s="65"/>
    </row>
    <row r="367" spans="1:2" x14ac:dyDescent="0.3">
      <c r="A367" s="65"/>
      <c r="B367" s="65"/>
    </row>
    <row r="368" spans="1:2" x14ac:dyDescent="0.3">
      <c r="A368" s="65"/>
      <c r="B368" s="65"/>
    </row>
    <row r="369" spans="1:2" x14ac:dyDescent="0.3">
      <c r="A369" s="65"/>
      <c r="B369" s="65"/>
    </row>
    <row r="370" spans="1:2" x14ac:dyDescent="0.3">
      <c r="A370" s="65"/>
      <c r="B370" s="65"/>
    </row>
    <row r="371" spans="1:2" x14ac:dyDescent="0.3">
      <c r="A371" s="65"/>
      <c r="B371" s="65"/>
    </row>
    <row r="372" spans="1:2" x14ac:dyDescent="0.3">
      <c r="A372" s="65"/>
      <c r="B372" s="65"/>
    </row>
    <row r="373" spans="1:2" x14ac:dyDescent="0.3">
      <c r="A373" s="65"/>
      <c r="B373" s="65"/>
    </row>
    <row r="374" spans="1:2" x14ac:dyDescent="0.3">
      <c r="A374" s="65"/>
      <c r="B374" s="65"/>
    </row>
    <row r="375" spans="1:2" x14ac:dyDescent="0.3">
      <c r="A375" s="65"/>
      <c r="B375" s="65"/>
    </row>
    <row r="376" spans="1:2" x14ac:dyDescent="0.3">
      <c r="A376" s="65"/>
      <c r="B376" s="65"/>
    </row>
    <row r="377" spans="1:2" x14ac:dyDescent="0.3">
      <c r="A377" s="65"/>
      <c r="B377" s="65"/>
    </row>
    <row r="378" spans="1:2" x14ac:dyDescent="0.3">
      <c r="A378" s="65"/>
      <c r="B378" s="65"/>
    </row>
    <row r="379" spans="1:2" x14ac:dyDescent="0.3">
      <c r="A379" s="65"/>
      <c r="B379" s="65"/>
    </row>
    <row r="380" spans="1:2" x14ac:dyDescent="0.3">
      <c r="A380" s="65"/>
      <c r="B380" s="65"/>
    </row>
    <row r="381" spans="1:2" x14ac:dyDescent="0.3">
      <c r="A381" s="65"/>
      <c r="B381" s="65"/>
    </row>
    <row r="382" spans="1:2" x14ac:dyDescent="0.3">
      <c r="A382" s="65"/>
      <c r="B382" s="65"/>
    </row>
    <row r="383" spans="1:2" x14ac:dyDescent="0.3">
      <c r="A383" s="65"/>
      <c r="B383" s="65"/>
    </row>
    <row r="384" spans="1:2" x14ac:dyDescent="0.3">
      <c r="A384" s="65"/>
      <c r="B384" s="65"/>
    </row>
    <row r="385" spans="1:2" x14ac:dyDescent="0.3">
      <c r="A385" s="65"/>
      <c r="B385" s="65"/>
    </row>
    <row r="386" spans="1:2" x14ac:dyDescent="0.3">
      <c r="A386" s="65"/>
      <c r="B386" s="65"/>
    </row>
    <row r="387" spans="1:2" x14ac:dyDescent="0.3">
      <c r="A387" s="65"/>
      <c r="B387" s="65"/>
    </row>
    <row r="388" spans="1:2" x14ac:dyDescent="0.3">
      <c r="A388" s="65"/>
      <c r="B388" s="65"/>
    </row>
    <row r="389" spans="1:2" x14ac:dyDescent="0.3">
      <c r="A389" s="65"/>
      <c r="B389" s="65"/>
    </row>
    <row r="390" spans="1:2" x14ac:dyDescent="0.3">
      <c r="A390" s="65"/>
      <c r="B390" s="65"/>
    </row>
    <row r="391" spans="1:2" x14ac:dyDescent="0.3">
      <c r="A391" s="65"/>
      <c r="B391" s="65"/>
    </row>
    <row r="392" spans="1:2" x14ac:dyDescent="0.3">
      <c r="A392" s="65"/>
      <c r="B392" s="65"/>
    </row>
    <row r="393" spans="1:2" x14ac:dyDescent="0.3">
      <c r="A393" s="65"/>
      <c r="B393" s="65"/>
    </row>
    <row r="394" spans="1:2" x14ac:dyDescent="0.3">
      <c r="A394" s="65"/>
      <c r="B394" s="65"/>
    </row>
    <row r="395" spans="1:2" x14ac:dyDescent="0.3">
      <c r="A395" s="65"/>
      <c r="B395" s="65"/>
    </row>
    <row r="396" spans="1:2" x14ac:dyDescent="0.3">
      <c r="A396" s="65"/>
      <c r="B396" s="65"/>
    </row>
    <row r="397" spans="1:2" x14ac:dyDescent="0.3">
      <c r="A397" s="65"/>
      <c r="B397" s="65"/>
    </row>
    <row r="398" spans="1:2" x14ac:dyDescent="0.3">
      <c r="A398" s="65"/>
      <c r="B398" s="65"/>
    </row>
    <row r="399" spans="1:2" x14ac:dyDescent="0.3">
      <c r="A399" s="65"/>
      <c r="B399" s="65"/>
    </row>
    <row r="400" spans="1:2" x14ac:dyDescent="0.3">
      <c r="A400" s="65"/>
      <c r="B400" s="65"/>
    </row>
    <row r="401" spans="1:2" x14ac:dyDescent="0.3">
      <c r="A401" s="65"/>
      <c r="B401" s="65"/>
    </row>
    <row r="402" spans="1:2" x14ac:dyDescent="0.3">
      <c r="A402" s="65"/>
      <c r="B402" s="65"/>
    </row>
    <row r="403" spans="1:2" x14ac:dyDescent="0.3">
      <c r="A403" s="65"/>
      <c r="B403" s="65"/>
    </row>
    <row r="404" spans="1:2" x14ac:dyDescent="0.3">
      <c r="A404" s="65"/>
      <c r="B404" s="65"/>
    </row>
    <row r="405" spans="1:2" x14ac:dyDescent="0.3">
      <c r="A405" s="65"/>
      <c r="B405" s="65"/>
    </row>
    <row r="406" spans="1:2" x14ac:dyDescent="0.3">
      <c r="A406" s="65"/>
      <c r="B406" s="65"/>
    </row>
    <row r="407" spans="1:2" x14ac:dyDescent="0.3">
      <c r="A407" s="65"/>
      <c r="B407" s="65"/>
    </row>
    <row r="408" spans="1:2" x14ac:dyDescent="0.3">
      <c r="A408" s="65"/>
      <c r="B408" s="65"/>
    </row>
    <row r="409" spans="1:2" x14ac:dyDescent="0.3">
      <c r="A409" s="65"/>
      <c r="B409" s="65"/>
    </row>
    <row r="410" spans="1:2" x14ac:dyDescent="0.3">
      <c r="A410" s="65"/>
      <c r="B410" s="65"/>
    </row>
    <row r="411" spans="1:2" x14ac:dyDescent="0.3">
      <c r="A411" s="65"/>
      <c r="B411" s="65"/>
    </row>
    <row r="412" spans="1:2" x14ac:dyDescent="0.3">
      <c r="A412" s="65"/>
      <c r="B412" s="65"/>
    </row>
    <row r="413" spans="1:2" x14ac:dyDescent="0.3">
      <c r="A413" s="65"/>
      <c r="B413" s="65"/>
    </row>
    <row r="414" spans="1:2" x14ac:dyDescent="0.3">
      <c r="A414" s="65"/>
      <c r="B414" s="65"/>
    </row>
    <row r="415" spans="1:2" x14ac:dyDescent="0.3">
      <c r="A415" s="65"/>
      <c r="B415" s="65"/>
    </row>
    <row r="416" spans="1:2" x14ac:dyDescent="0.3">
      <c r="A416" s="65"/>
      <c r="B416" s="65"/>
    </row>
    <row r="417" spans="1:2" x14ac:dyDescent="0.3">
      <c r="A417" s="65"/>
      <c r="B417" s="65"/>
    </row>
    <row r="418" spans="1:2" x14ac:dyDescent="0.3">
      <c r="A418" s="65"/>
      <c r="B418" s="65"/>
    </row>
    <row r="419" spans="1:2" x14ac:dyDescent="0.3">
      <c r="A419" s="65"/>
      <c r="B419" s="65"/>
    </row>
    <row r="420" spans="1:2" x14ac:dyDescent="0.3">
      <c r="A420" s="65"/>
      <c r="B420" s="65"/>
    </row>
    <row r="421" spans="1:2" x14ac:dyDescent="0.3">
      <c r="A421" s="65"/>
      <c r="B421" s="65"/>
    </row>
    <row r="422" spans="1:2" x14ac:dyDescent="0.3">
      <c r="A422" s="65"/>
      <c r="B422" s="65"/>
    </row>
    <row r="423" spans="1:2" x14ac:dyDescent="0.3">
      <c r="A423" s="65"/>
      <c r="B423" s="65"/>
    </row>
    <row r="424" spans="1:2" x14ac:dyDescent="0.3">
      <c r="A424" s="65"/>
      <c r="B424" s="65"/>
    </row>
    <row r="425" spans="1:2" x14ac:dyDescent="0.3">
      <c r="A425" s="65"/>
      <c r="B425" s="65"/>
    </row>
    <row r="426" spans="1:2" x14ac:dyDescent="0.3">
      <c r="A426" s="65"/>
      <c r="B426" s="65"/>
    </row>
    <row r="427" spans="1:2" x14ac:dyDescent="0.3">
      <c r="A427" s="65"/>
      <c r="B427" s="65"/>
    </row>
    <row r="428" spans="1:2" x14ac:dyDescent="0.3">
      <c r="A428" s="65"/>
      <c r="B428" s="65"/>
    </row>
    <row r="429" spans="1:2" x14ac:dyDescent="0.3">
      <c r="A429" s="65"/>
      <c r="B429" s="65"/>
    </row>
    <row r="430" spans="1:2" x14ac:dyDescent="0.3">
      <c r="A430" s="65"/>
      <c r="B430" s="65"/>
    </row>
    <row r="431" spans="1:2" x14ac:dyDescent="0.3">
      <c r="A431" s="65"/>
      <c r="B431" s="65"/>
    </row>
    <row r="432" spans="1:2" x14ac:dyDescent="0.3">
      <c r="A432" s="65"/>
      <c r="B432" s="65"/>
    </row>
    <row r="433" spans="1:2" x14ac:dyDescent="0.3">
      <c r="A433" s="65"/>
      <c r="B433" s="65"/>
    </row>
    <row r="434" spans="1:2" x14ac:dyDescent="0.3">
      <c r="A434" s="65"/>
      <c r="B434" s="65"/>
    </row>
    <row r="435" spans="1:2" x14ac:dyDescent="0.3">
      <c r="A435" s="65"/>
      <c r="B435" s="65"/>
    </row>
    <row r="436" spans="1:2" x14ac:dyDescent="0.3">
      <c r="A436" s="65"/>
      <c r="B436" s="65"/>
    </row>
    <row r="437" spans="1:2" x14ac:dyDescent="0.3">
      <c r="A437" s="65"/>
      <c r="B437" s="65"/>
    </row>
    <row r="438" spans="1:2" x14ac:dyDescent="0.3">
      <c r="A438" s="65"/>
      <c r="B438" s="65"/>
    </row>
    <row r="439" spans="1:2" x14ac:dyDescent="0.3">
      <c r="A439" s="65"/>
      <c r="B439" s="65"/>
    </row>
    <row r="440" spans="1:2" x14ac:dyDescent="0.3">
      <c r="A440" s="65"/>
      <c r="B440" s="65"/>
    </row>
    <row r="441" spans="1:2" x14ac:dyDescent="0.3">
      <c r="A441" s="65"/>
      <c r="B441" s="65"/>
    </row>
    <row r="442" spans="1:2" x14ac:dyDescent="0.3">
      <c r="A442" s="65"/>
      <c r="B442" s="65"/>
    </row>
    <row r="443" spans="1:2" x14ac:dyDescent="0.3">
      <c r="A443" s="65"/>
      <c r="B443" s="65"/>
    </row>
    <row r="444" spans="1:2" x14ac:dyDescent="0.3">
      <c r="A444" s="65"/>
      <c r="B444" s="65"/>
    </row>
    <row r="445" spans="1:2" x14ac:dyDescent="0.3">
      <c r="A445" s="65"/>
      <c r="B445" s="65"/>
    </row>
    <row r="446" spans="1:2" x14ac:dyDescent="0.3">
      <c r="A446" s="65"/>
      <c r="B446" s="65"/>
    </row>
    <row r="447" spans="1:2" x14ac:dyDescent="0.3">
      <c r="A447" s="65"/>
      <c r="B447" s="65"/>
    </row>
    <row r="448" spans="1:2" x14ac:dyDescent="0.3">
      <c r="A448" s="65"/>
      <c r="B448" s="65"/>
    </row>
    <row r="449" spans="1:2" x14ac:dyDescent="0.3">
      <c r="A449" s="65"/>
      <c r="B449" s="65"/>
    </row>
    <row r="450" spans="1:2" x14ac:dyDescent="0.3">
      <c r="A450" s="65"/>
      <c r="B450" s="65"/>
    </row>
    <row r="451" spans="1:2" x14ac:dyDescent="0.3">
      <c r="A451" s="65"/>
      <c r="B451" s="65"/>
    </row>
    <row r="452" spans="1:2" x14ac:dyDescent="0.3">
      <c r="A452" s="65"/>
      <c r="B452" s="65"/>
    </row>
    <row r="453" spans="1:2" x14ac:dyDescent="0.3">
      <c r="A453" s="65"/>
      <c r="B453" s="65"/>
    </row>
    <row r="454" spans="1:2" x14ac:dyDescent="0.3">
      <c r="A454" s="65"/>
      <c r="B454" s="65"/>
    </row>
    <row r="455" spans="1:2" x14ac:dyDescent="0.3">
      <c r="A455" s="65"/>
      <c r="B455" s="65"/>
    </row>
    <row r="456" spans="1:2" x14ac:dyDescent="0.3">
      <c r="A456" s="65"/>
      <c r="B456" s="65"/>
    </row>
    <row r="457" spans="1:2" x14ac:dyDescent="0.3">
      <c r="A457" s="65"/>
      <c r="B457" s="65"/>
    </row>
    <row r="458" spans="1:2" x14ac:dyDescent="0.3">
      <c r="A458" s="65"/>
      <c r="B458" s="65"/>
    </row>
    <row r="459" spans="1:2" x14ac:dyDescent="0.3">
      <c r="A459" s="65"/>
      <c r="B459" s="65"/>
    </row>
    <row r="460" spans="1:2" x14ac:dyDescent="0.3">
      <c r="A460" s="65"/>
      <c r="B460" s="65"/>
    </row>
    <row r="461" spans="1:2" x14ac:dyDescent="0.3">
      <c r="A461" s="65"/>
      <c r="B461" s="65"/>
    </row>
    <row r="462" spans="1:2" x14ac:dyDescent="0.3">
      <c r="A462" s="65"/>
      <c r="B462" s="65"/>
    </row>
    <row r="463" spans="1:2" x14ac:dyDescent="0.3">
      <c r="A463" s="65"/>
      <c r="B463" s="65"/>
    </row>
    <row r="464" spans="1:2" x14ac:dyDescent="0.3">
      <c r="A464" s="65"/>
      <c r="B464" s="65"/>
    </row>
    <row r="465" spans="1:2" x14ac:dyDescent="0.3">
      <c r="A465" s="65"/>
      <c r="B465" s="65"/>
    </row>
    <row r="466" spans="1:2" x14ac:dyDescent="0.3">
      <c r="A466" s="65"/>
      <c r="B466" s="65"/>
    </row>
    <row r="467" spans="1:2" x14ac:dyDescent="0.3">
      <c r="A467" s="65"/>
      <c r="B467" s="65"/>
    </row>
    <row r="468" spans="1:2" x14ac:dyDescent="0.3">
      <c r="A468" s="65"/>
      <c r="B468" s="65"/>
    </row>
    <row r="469" spans="1:2" x14ac:dyDescent="0.3">
      <c r="A469" s="65"/>
      <c r="B469" s="65"/>
    </row>
    <row r="470" spans="1:2" x14ac:dyDescent="0.3">
      <c r="A470" s="65"/>
      <c r="B470" s="65"/>
    </row>
    <row r="471" spans="1:2" x14ac:dyDescent="0.3">
      <c r="A471" s="65"/>
      <c r="B471" s="65"/>
    </row>
    <row r="472" spans="1:2" x14ac:dyDescent="0.3">
      <c r="A472" s="65"/>
      <c r="B472" s="65"/>
    </row>
    <row r="473" spans="1:2" x14ac:dyDescent="0.3">
      <c r="A473" s="65"/>
      <c r="B473" s="65"/>
    </row>
    <row r="474" spans="1:2" x14ac:dyDescent="0.3">
      <c r="A474" s="65"/>
      <c r="B474" s="65"/>
    </row>
    <row r="475" spans="1:2" x14ac:dyDescent="0.3">
      <c r="A475" s="65"/>
      <c r="B475" s="65"/>
    </row>
    <row r="476" spans="1:2" x14ac:dyDescent="0.3">
      <c r="A476" s="65"/>
      <c r="B476" s="65"/>
    </row>
    <row r="477" spans="1:2" x14ac:dyDescent="0.3">
      <c r="A477" s="65"/>
      <c r="B477" s="65"/>
    </row>
    <row r="478" spans="1:2" x14ac:dyDescent="0.3">
      <c r="A478" s="65"/>
      <c r="B478" s="65"/>
    </row>
    <row r="479" spans="1:2" x14ac:dyDescent="0.3">
      <c r="A479" s="65"/>
      <c r="B479" s="65"/>
    </row>
    <row r="480" spans="1:2" x14ac:dyDescent="0.3">
      <c r="A480" s="65"/>
      <c r="B480" s="65"/>
    </row>
    <row r="481" spans="1:2" x14ac:dyDescent="0.3">
      <c r="A481" s="65"/>
      <c r="B481" s="65"/>
    </row>
    <row r="482" spans="1:2" x14ac:dyDescent="0.3">
      <c r="A482" s="65"/>
      <c r="B482" s="65"/>
    </row>
    <row r="483" spans="1:2" x14ac:dyDescent="0.3">
      <c r="A483" s="65"/>
      <c r="B483" s="65"/>
    </row>
    <row r="484" spans="1:2" x14ac:dyDescent="0.3">
      <c r="A484" s="65"/>
      <c r="B484" s="65"/>
    </row>
    <row r="485" spans="1:2" x14ac:dyDescent="0.3">
      <c r="A485" s="65"/>
      <c r="B485" s="65"/>
    </row>
    <row r="486" spans="1:2" x14ac:dyDescent="0.3">
      <c r="A486" s="65"/>
      <c r="B486" s="65"/>
    </row>
    <row r="487" spans="1:2" x14ac:dyDescent="0.3">
      <c r="A487" s="65"/>
      <c r="B487" s="65"/>
    </row>
    <row r="488" spans="1:2" x14ac:dyDescent="0.3">
      <c r="A488" s="65"/>
      <c r="B488" s="65"/>
    </row>
    <row r="489" spans="1:2" x14ac:dyDescent="0.3">
      <c r="A489" s="65"/>
      <c r="B489" s="65"/>
    </row>
    <row r="490" spans="1:2" x14ac:dyDescent="0.3">
      <c r="A490" s="65"/>
      <c r="B490" s="65"/>
    </row>
    <row r="491" spans="1:2" x14ac:dyDescent="0.3">
      <c r="A491" s="65"/>
      <c r="B491" s="65"/>
    </row>
    <row r="492" spans="1:2" x14ac:dyDescent="0.3">
      <c r="A492" s="65"/>
      <c r="B492" s="65"/>
    </row>
    <row r="493" spans="1:2" x14ac:dyDescent="0.3">
      <c r="A493" s="65"/>
      <c r="B493" s="65"/>
    </row>
    <row r="494" spans="1:2" x14ac:dyDescent="0.3">
      <c r="A494" s="65"/>
      <c r="B494" s="65"/>
    </row>
    <row r="495" spans="1:2" x14ac:dyDescent="0.3">
      <c r="A495" s="65"/>
      <c r="B495" s="65"/>
    </row>
    <row r="496" spans="1:2" x14ac:dyDescent="0.3">
      <c r="A496" s="65"/>
      <c r="B496" s="65"/>
    </row>
    <row r="497" spans="1:2" x14ac:dyDescent="0.3">
      <c r="A497" s="65"/>
      <c r="B497" s="65"/>
    </row>
    <row r="498" spans="1:2" x14ac:dyDescent="0.3">
      <c r="A498" s="65"/>
      <c r="B498" s="65"/>
    </row>
    <row r="499" spans="1:2" x14ac:dyDescent="0.3">
      <c r="A499" s="65"/>
      <c r="B499" s="65"/>
    </row>
    <row r="500" spans="1:2" x14ac:dyDescent="0.3">
      <c r="A500" s="65"/>
      <c r="B500" s="65"/>
    </row>
    <row r="501" spans="1:2" x14ac:dyDescent="0.3">
      <c r="A501" s="65"/>
      <c r="B501" s="65"/>
    </row>
    <row r="502" spans="1:2" x14ac:dyDescent="0.3">
      <c r="A502" s="65"/>
      <c r="B502" s="65"/>
    </row>
    <row r="503" spans="1:2" x14ac:dyDescent="0.3">
      <c r="A503" s="65"/>
      <c r="B503" s="65"/>
    </row>
    <row r="504" spans="1:2" x14ac:dyDescent="0.3">
      <c r="A504" s="65"/>
      <c r="B504" s="65"/>
    </row>
    <row r="505" spans="1:2" x14ac:dyDescent="0.3">
      <c r="A505" s="65"/>
      <c r="B505" s="65"/>
    </row>
    <row r="506" spans="1:2" x14ac:dyDescent="0.3">
      <c r="A506" s="65"/>
      <c r="B506" s="65"/>
    </row>
    <row r="507" spans="1:2" x14ac:dyDescent="0.3">
      <c r="A507" s="65"/>
      <c r="B507" s="65"/>
    </row>
    <row r="508" spans="1:2" x14ac:dyDescent="0.3">
      <c r="A508" s="65"/>
      <c r="B508" s="65"/>
    </row>
    <row r="509" spans="1:2" x14ac:dyDescent="0.3">
      <c r="A509" s="65"/>
      <c r="B509" s="65"/>
    </row>
    <row r="510" spans="1:2" x14ac:dyDescent="0.3">
      <c r="A510" s="65"/>
      <c r="B510" s="65"/>
    </row>
    <row r="511" spans="1:2" x14ac:dyDescent="0.3">
      <c r="A511" s="65"/>
      <c r="B511" s="65"/>
    </row>
    <row r="512" spans="1:2" x14ac:dyDescent="0.3">
      <c r="A512" s="65"/>
      <c r="B512" s="65"/>
    </row>
    <row r="513" spans="1:2" x14ac:dyDescent="0.3">
      <c r="A513" s="65"/>
      <c r="B513" s="65"/>
    </row>
    <row r="514" spans="1:2" x14ac:dyDescent="0.3">
      <c r="A514" s="65"/>
      <c r="B514" s="65"/>
    </row>
    <row r="515" spans="1:2" x14ac:dyDescent="0.3">
      <c r="A515" s="65"/>
      <c r="B515" s="65"/>
    </row>
    <row r="516" spans="1:2" x14ac:dyDescent="0.3">
      <c r="A516" s="65"/>
      <c r="B516" s="65"/>
    </row>
    <row r="517" spans="1:2" x14ac:dyDescent="0.3">
      <c r="A517" s="65"/>
      <c r="B517" s="65"/>
    </row>
    <row r="518" spans="1:2" x14ac:dyDescent="0.3">
      <c r="A518" s="65"/>
      <c r="B518" s="65"/>
    </row>
    <row r="519" spans="1:2" x14ac:dyDescent="0.3">
      <c r="A519" s="65"/>
      <c r="B519" s="65"/>
    </row>
    <row r="520" spans="1:2" x14ac:dyDescent="0.3">
      <c r="A520" s="65"/>
      <c r="B520" s="65"/>
    </row>
    <row r="521" spans="1:2" x14ac:dyDescent="0.3">
      <c r="A521" s="65"/>
      <c r="B521" s="65"/>
    </row>
    <row r="522" spans="1:2" x14ac:dyDescent="0.3">
      <c r="A522" s="65"/>
      <c r="B522" s="65"/>
    </row>
    <row r="523" spans="1:2" x14ac:dyDescent="0.3">
      <c r="A523" s="65"/>
      <c r="B523" s="65"/>
    </row>
    <row r="524" spans="1:2" x14ac:dyDescent="0.3">
      <c r="A524" s="65"/>
      <c r="B524" s="65"/>
    </row>
    <row r="525" spans="1:2" x14ac:dyDescent="0.3">
      <c r="A525" s="65"/>
      <c r="B525" s="65"/>
    </row>
    <row r="526" spans="1:2" x14ac:dyDescent="0.3">
      <c r="A526" s="65"/>
      <c r="B526" s="65"/>
    </row>
    <row r="527" spans="1:2" x14ac:dyDescent="0.3">
      <c r="A527" s="65"/>
      <c r="B527" s="65"/>
    </row>
    <row r="528" spans="1:2" x14ac:dyDescent="0.3">
      <c r="A528" s="65"/>
      <c r="B528" s="65"/>
    </row>
    <row r="529" spans="1:2" x14ac:dyDescent="0.3">
      <c r="A529" s="65"/>
      <c r="B529" s="65"/>
    </row>
    <row r="530" spans="1:2" x14ac:dyDescent="0.3">
      <c r="A530" s="65"/>
      <c r="B530" s="65"/>
    </row>
    <row r="531" spans="1:2" x14ac:dyDescent="0.3">
      <c r="A531" s="65"/>
      <c r="B531" s="65"/>
    </row>
    <row r="532" spans="1:2" x14ac:dyDescent="0.3">
      <c r="A532" s="65"/>
      <c r="B532" s="65"/>
    </row>
    <row r="533" spans="1:2" x14ac:dyDescent="0.3">
      <c r="A533" s="65"/>
      <c r="B533" s="65"/>
    </row>
    <row r="534" spans="1:2" x14ac:dyDescent="0.3">
      <c r="A534" s="65"/>
      <c r="B534" s="65"/>
    </row>
    <row r="535" spans="1:2" x14ac:dyDescent="0.3">
      <c r="A535" s="65"/>
      <c r="B535" s="65"/>
    </row>
    <row r="536" spans="1:2" x14ac:dyDescent="0.3">
      <c r="A536" s="65"/>
      <c r="B536" s="65"/>
    </row>
    <row r="537" spans="1:2" x14ac:dyDescent="0.3">
      <c r="A537" s="65"/>
      <c r="B537" s="65"/>
    </row>
    <row r="538" spans="1:2" x14ac:dyDescent="0.3">
      <c r="A538" s="65"/>
      <c r="B538" s="65"/>
    </row>
    <row r="539" spans="1:2" x14ac:dyDescent="0.3">
      <c r="A539" s="65"/>
      <c r="B539" s="65"/>
    </row>
    <row r="540" spans="1:2" x14ac:dyDescent="0.3">
      <c r="A540" s="65"/>
      <c r="B540" s="65"/>
    </row>
    <row r="541" spans="1:2" x14ac:dyDescent="0.3">
      <c r="A541" s="65"/>
      <c r="B541" s="65"/>
    </row>
    <row r="542" spans="1:2" x14ac:dyDescent="0.3">
      <c r="A542" s="65"/>
      <c r="B542" s="65"/>
    </row>
    <row r="543" spans="1:2" x14ac:dyDescent="0.3">
      <c r="A543" s="65"/>
      <c r="B543" s="65"/>
    </row>
    <row r="544" spans="1:2" x14ac:dyDescent="0.3">
      <c r="A544" s="65"/>
      <c r="B544" s="65"/>
    </row>
    <row r="545" spans="1:2" x14ac:dyDescent="0.3">
      <c r="A545" s="65"/>
      <c r="B545" s="65"/>
    </row>
    <row r="546" spans="1:2" x14ac:dyDescent="0.3">
      <c r="A546" s="65"/>
      <c r="B546" s="65"/>
    </row>
    <row r="547" spans="1:2" x14ac:dyDescent="0.3">
      <c r="A547" s="65"/>
      <c r="B547" s="65"/>
    </row>
    <row r="548" spans="1:2" x14ac:dyDescent="0.3">
      <c r="A548" s="65"/>
      <c r="B548" s="65"/>
    </row>
    <row r="549" spans="1:2" x14ac:dyDescent="0.3">
      <c r="A549" s="65"/>
      <c r="B549" s="65"/>
    </row>
    <row r="550" spans="1:2" x14ac:dyDescent="0.3">
      <c r="A550" s="65"/>
      <c r="B550" s="65"/>
    </row>
    <row r="551" spans="1:2" x14ac:dyDescent="0.3">
      <c r="A551" s="65"/>
      <c r="B551" s="65"/>
    </row>
    <row r="552" spans="1:2" x14ac:dyDescent="0.3">
      <c r="A552" s="65"/>
      <c r="B552" s="65"/>
    </row>
    <row r="553" spans="1:2" x14ac:dyDescent="0.3">
      <c r="A553" s="65"/>
      <c r="B553" s="65"/>
    </row>
    <row r="554" spans="1:2" x14ac:dyDescent="0.3">
      <c r="A554" s="65"/>
      <c r="B554" s="65"/>
    </row>
    <row r="555" spans="1:2" x14ac:dyDescent="0.3">
      <c r="A555" s="65"/>
      <c r="B555" s="65"/>
    </row>
    <row r="556" spans="1:2" x14ac:dyDescent="0.3">
      <c r="A556" s="65"/>
      <c r="B556" s="65"/>
    </row>
    <row r="557" spans="1:2" x14ac:dyDescent="0.3">
      <c r="A557" s="65"/>
      <c r="B557" s="65"/>
    </row>
    <row r="558" spans="1:2" x14ac:dyDescent="0.3">
      <c r="A558" s="65"/>
      <c r="B558" s="65"/>
    </row>
    <row r="559" spans="1:2" x14ac:dyDescent="0.3">
      <c r="A559" s="65"/>
      <c r="B559" s="65"/>
    </row>
    <row r="560" spans="1:2" x14ac:dyDescent="0.3">
      <c r="A560" s="65"/>
      <c r="B560" s="65"/>
    </row>
    <row r="561" spans="1:2" x14ac:dyDescent="0.3">
      <c r="A561" s="65"/>
      <c r="B561" s="65"/>
    </row>
    <row r="562" spans="1:2" x14ac:dyDescent="0.3">
      <c r="A562" s="65"/>
      <c r="B562" s="65"/>
    </row>
    <row r="563" spans="1:2" x14ac:dyDescent="0.3">
      <c r="A563" s="65"/>
      <c r="B563" s="65"/>
    </row>
    <row r="564" spans="1:2" x14ac:dyDescent="0.3">
      <c r="A564" s="65"/>
      <c r="B564" s="65"/>
    </row>
    <row r="565" spans="1:2" x14ac:dyDescent="0.3">
      <c r="A565" s="65"/>
      <c r="B565" s="65"/>
    </row>
    <row r="566" spans="1:2" x14ac:dyDescent="0.3">
      <c r="A566" s="65"/>
      <c r="B566" s="65"/>
    </row>
    <row r="567" spans="1:2" x14ac:dyDescent="0.3">
      <c r="A567" s="65"/>
      <c r="B567" s="65"/>
    </row>
    <row r="568" spans="1:2" x14ac:dyDescent="0.3">
      <c r="A568" s="65"/>
      <c r="B568" s="65"/>
    </row>
    <row r="569" spans="1:2" x14ac:dyDescent="0.3">
      <c r="A569" s="65"/>
      <c r="B569" s="65"/>
    </row>
    <row r="570" spans="1:2" x14ac:dyDescent="0.3">
      <c r="A570" s="65"/>
      <c r="B570" s="65"/>
    </row>
    <row r="571" spans="1:2" x14ac:dyDescent="0.3">
      <c r="A571" s="65"/>
      <c r="B571" s="65"/>
    </row>
    <row r="572" spans="1:2" x14ac:dyDescent="0.3">
      <c r="A572" s="65"/>
      <c r="B572" s="65"/>
    </row>
    <row r="573" spans="1:2" x14ac:dyDescent="0.3">
      <c r="A573" s="65"/>
      <c r="B573" s="65"/>
    </row>
    <row r="574" spans="1:2" x14ac:dyDescent="0.3">
      <c r="A574" s="65"/>
      <c r="B574" s="65"/>
    </row>
    <row r="575" spans="1:2" x14ac:dyDescent="0.3">
      <c r="A575" s="65"/>
      <c r="B575" s="65"/>
    </row>
    <row r="576" spans="1:2" x14ac:dyDescent="0.3">
      <c r="A576" s="65"/>
      <c r="B576" s="65"/>
    </row>
    <row r="577" spans="1:2" x14ac:dyDescent="0.3">
      <c r="A577" s="65"/>
      <c r="B577" s="65"/>
    </row>
    <row r="578" spans="1:2" x14ac:dyDescent="0.3">
      <c r="A578" s="65"/>
      <c r="B578" s="65"/>
    </row>
    <row r="579" spans="1:2" x14ac:dyDescent="0.3">
      <c r="A579" s="65"/>
      <c r="B579" s="65"/>
    </row>
    <row r="580" spans="1:2" x14ac:dyDescent="0.3">
      <c r="A580" s="65"/>
      <c r="B580" s="65"/>
    </row>
    <row r="581" spans="1:2" x14ac:dyDescent="0.3">
      <c r="A581" s="65"/>
      <c r="B581" s="65"/>
    </row>
    <row r="582" spans="1:2" x14ac:dyDescent="0.3">
      <c r="A582" s="65"/>
      <c r="B582" s="65"/>
    </row>
    <row r="583" spans="1:2" x14ac:dyDescent="0.3">
      <c r="A583" s="65"/>
      <c r="B583" s="65"/>
    </row>
    <row r="584" spans="1:2" x14ac:dyDescent="0.3">
      <c r="A584" s="65"/>
      <c r="B584" s="65"/>
    </row>
    <row r="585" spans="1:2" x14ac:dyDescent="0.3">
      <c r="A585" s="65"/>
      <c r="B585" s="65"/>
    </row>
    <row r="586" spans="1:2" x14ac:dyDescent="0.3">
      <c r="A586" s="65"/>
      <c r="B586" s="65"/>
    </row>
    <row r="587" spans="1:2" x14ac:dyDescent="0.3">
      <c r="A587" s="65"/>
      <c r="B587" s="65"/>
    </row>
    <row r="588" spans="1:2" x14ac:dyDescent="0.3">
      <c r="A588" s="65"/>
      <c r="B588" s="65"/>
    </row>
    <row r="589" spans="1:2" x14ac:dyDescent="0.3">
      <c r="A589" s="65"/>
      <c r="B589" s="65"/>
    </row>
    <row r="590" spans="1:2" x14ac:dyDescent="0.3">
      <c r="A590" s="65"/>
      <c r="B590" s="65"/>
    </row>
    <row r="591" spans="1:2" x14ac:dyDescent="0.3">
      <c r="A591" s="65"/>
      <c r="B591" s="65"/>
    </row>
    <row r="592" spans="1:2" x14ac:dyDescent="0.3">
      <c r="A592" s="65"/>
      <c r="B592" s="65"/>
    </row>
    <row r="593" spans="1:2" x14ac:dyDescent="0.3">
      <c r="A593" s="65"/>
      <c r="B593" s="65"/>
    </row>
    <row r="594" spans="1:2" x14ac:dyDescent="0.3">
      <c r="A594" s="65"/>
      <c r="B594" s="65"/>
    </row>
    <row r="595" spans="1:2" x14ac:dyDescent="0.3">
      <c r="A595" s="65"/>
      <c r="B595" s="65"/>
    </row>
    <row r="596" spans="1:2" x14ac:dyDescent="0.3">
      <c r="A596" s="65"/>
      <c r="B596" s="65"/>
    </row>
    <row r="597" spans="1:2" x14ac:dyDescent="0.3">
      <c r="A597" s="65"/>
      <c r="B597" s="65"/>
    </row>
    <row r="598" spans="1:2" x14ac:dyDescent="0.3">
      <c r="A598" s="65"/>
      <c r="B598" s="65"/>
    </row>
    <row r="599" spans="1:2" x14ac:dyDescent="0.3">
      <c r="A599" s="65"/>
      <c r="B599" s="65"/>
    </row>
    <row r="600" spans="1:2" x14ac:dyDescent="0.3">
      <c r="A600" s="65"/>
      <c r="B600" s="65"/>
    </row>
    <row r="601" spans="1:2" x14ac:dyDescent="0.3">
      <c r="A601" s="65"/>
      <c r="B601" s="65"/>
    </row>
    <row r="602" spans="1:2" x14ac:dyDescent="0.3">
      <c r="A602" s="65"/>
      <c r="B602" s="65"/>
    </row>
    <row r="603" spans="1:2" x14ac:dyDescent="0.3">
      <c r="A603" s="65"/>
      <c r="B603" s="65"/>
    </row>
    <row r="604" spans="1:2" x14ac:dyDescent="0.3">
      <c r="A604" s="65"/>
      <c r="B604" s="65"/>
    </row>
    <row r="605" spans="1:2" x14ac:dyDescent="0.3">
      <c r="A605" s="65"/>
      <c r="B605" s="65"/>
    </row>
    <row r="606" spans="1:2" x14ac:dyDescent="0.3">
      <c r="A606" s="65"/>
      <c r="B606" s="65"/>
    </row>
    <row r="607" spans="1:2" x14ac:dyDescent="0.3">
      <c r="A607" s="65"/>
      <c r="B607" s="65"/>
    </row>
    <row r="608" spans="1:2" x14ac:dyDescent="0.3">
      <c r="A608" s="65"/>
      <c r="B608" s="65"/>
    </row>
    <row r="609" spans="1:2" x14ac:dyDescent="0.3">
      <c r="A609" s="65"/>
      <c r="B609" s="65"/>
    </row>
    <row r="610" spans="1:2" x14ac:dyDescent="0.3">
      <c r="A610" s="65"/>
      <c r="B610" s="65"/>
    </row>
    <row r="611" spans="1:2" x14ac:dyDescent="0.3">
      <c r="A611" s="65"/>
      <c r="B611" s="65"/>
    </row>
    <row r="612" spans="1:2" x14ac:dyDescent="0.3">
      <c r="A612" s="65"/>
      <c r="B612" s="65"/>
    </row>
    <row r="613" spans="1:2" x14ac:dyDescent="0.3">
      <c r="A613" s="65"/>
      <c r="B613" s="65"/>
    </row>
    <row r="614" spans="1:2" x14ac:dyDescent="0.3">
      <c r="A614" s="65"/>
      <c r="B614" s="65"/>
    </row>
    <row r="615" spans="1:2" x14ac:dyDescent="0.3">
      <c r="A615" s="65"/>
      <c r="B615" s="65"/>
    </row>
    <row r="616" spans="1:2" x14ac:dyDescent="0.3">
      <c r="A616" s="65"/>
      <c r="B616" s="65"/>
    </row>
    <row r="617" spans="1:2" x14ac:dyDescent="0.3">
      <c r="A617" s="65"/>
      <c r="B617" s="65"/>
    </row>
    <row r="618" spans="1:2" x14ac:dyDescent="0.3">
      <c r="A618" s="65"/>
      <c r="B618" s="65"/>
    </row>
    <row r="619" spans="1:2" x14ac:dyDescent="0.3">
      <c r="A619" s="65"/>
      <c r="B619" s="65"/>
    </row>
    <row r="620" spans="1:2" x14ac:dyDescent="0.3">
      <c r="A620" s="65"/>
      <c r="B620" s="65"/>
    </row>
    <row r="621" spans="1:2" x14ac:dyDescent="0.3">
      <c r="A621" s="65"/>
      <c r="B621" s="65"/>
    </row>
    <row r="622" spans="1:2" x14ac:dyDescent="0.3">
      <c r="A622" s="65"/>
      <c r="B622" s="65"/>
    </row>
    <row r="623" spans="1:2" x14ac:dyDescent="0.3">
      <c r="A623" s="65"/>
      <c r="B623" s="65"/>
    </row>
    <row r="624" spans="1:2" x14ac:dyDescent="0.3">
      <c r="A624" s="65"/>
      <c r="B624" s="65"/>
    </row>
    <row r="625" spans="1:2" x14ac:dyDescent="0.3">
      <c r="A625" s="65"/>
      <c r="B625" s="65"/>
    </row>
    <row r="626" spans="1:2" x14ac:dyDescent="0.3">
      <c r="A626" s="65"/>
      <c r="B626" s="65"/>
    </row>
    <row r="627" spans="1:2" x14ac:dyDescent="0.3">
      <c r="A627" s="65"/>
      <c r="B627" s="65"/>
    </row>
    <row r="628" spans="1:2" x14ac:dyDescent="0.3">
      <c r="A628" s="65"/>
      <c r="B628" s="65"/>
    </row>
    <row r="629" spans="1:2" x14ac:dyDescent="0.3">
      <c r="A629" s="65"/>
      <c r="B629" s="65"/>
    </row>
    <row r="630" spans="1:2" x14ac:dyDescent="0.3">
      <c r="A630" s="65"/>
      <c r="B630" s="65"/>
    </row>
    <row r="631" spans="1:2" x14ac:dyDescent="0.3">
      <c r="A631" s="65"/>
      <c r="B631" s="65"/>
    </row>
    <row r="632" spans="1:2" x14ac:dyDescent="0.3">
      <c r="A632" s="65"/>
      <c r="B632" s="65"/>
    </row>
    <row r="633" spans="1:2" x14ac:dyDescent="0.3">
      <c r="A633" s="65"/>
      <c r="B633" s="65"/>
    </row>
    <row r="634" spans="1:2" x14ac:dyDescent="0.3">
      <c r="A634" s="65"/>
      <c r="B634" s="65"/>
    </row>
    <row r="635" spans="1:2" x14ac:dyDescent="0.3">
      <c r="A635" s="65"/>
      <c r="B635" s="65"/>
    </row>
    <row r="636" spans="1:2" x14ac:dyDescent="0.3">
      <c r="A636" s="65"/>
      <c r="B636" s="65"/>
    </row>
    <row r="637" spans="1:2" x14ac:dyDescent="0.3">
      <c r="A637" s="65"/>
      <c r="B637" s="65"/>
    </row>
    <row r="638" spans="1:2" x14ac:dyDescent="0.3">
      <c r="A638" s="65"/>
      <c r="B638" s="65"/>
    </row>
    <row r="639" spans="1:2" x14ac:dyDescent="0.3">
      <c r="A639" s="65"/>
      <c r="B639" s="65"/>
    </row>
    <row r="640" spans="1:2" x14ac:dyDescent="0.3">
      <c r="A640" s="65"/>
      <c r="B640" s="65"/>
    </row>
    <row r="641" spans="1:2" x14ac:dyDescent="0.3">
      <c r="A641" s="65"/>
      <c r="B641" s="65"/>
    </row>
    <row r="642" spans="1:2" x14ac:dyDescent="0.3">
      <c r="A642" s="65"/>
      <c r="B642" s="65"/>
    </row>
    <row r="643" spans="1:2" x14ac:dyDescent="0.3">
      <c r="A643" s="65"/>
      <c r="B643" s="65"/>
    </row>
    <row r="644" spans="1:2" x14ac:dyDescent="0.3">
      <c r="A644" s="65"/>
      <c r="B644" s="65"/>
    </row>
    <row r="645" spans="1:2" x14ac:dyDescent="0.3">
      <c r="A645" s="65"/>
      <c r="B645" s="65"/>
    </row>
    <row r="646" spans="1:2" x14ac:dyDescent="0.3">
      <c r="A646" s="65"/>
      <c r="B646" s="65"/>
    </row>
    <row r="647" spans="1:2" x14ac:dyDescent="0.3">
      <c r="A647" s="65"/>
      <c r="B647" s="65"/>
    </row>
    <row r="648" spans="1:2" x14ac:dyDescent="0.3">
      <c r="A648" s="65"/>
      <c r="B648" s="65"/>
    </row>
    <row r="649" spans="1:2" x14ac:dyDescent="0.3">
      <c r="A649" s="65"/>
      <c r="B649" s="65"/>
    </row>
    <row r="650" spans="1:2" x14ac:dyDescent="0.3">
      <c r="A650" s="65"/>
      <c r="B650" s="65"/>
    </row>
    <row r="651" spans="1:2" x14ac:dyDescent="0.3">
      <c r="A651" s="65"/>
      <c r="B651" s="65"/>
    </row>
    <row r="652" spans="1:2" x14ac:dyDescent="0.3">
      <c r="A652" s="65"/>
      <c r="B652" s="65"/>
    </row>
    <row r="653" spans="1:2" x14ac:dyDescent="0.3">
      <c r="A653" s="65"/>
      <c r="B653" s="65"/>
    </row>
    <row r="654" spans="1:2" x14ac:dyDescent="0.3">
      <c r="A654" s="65"/>
      <c r="B654" s="65"/>
    </row>
    <row r="655" spans="1:2" x14ac:dyDescent="0.3">
      <c r="A655" s="65"/>
      <c r="B655" s="65"/>
    </row>
    <row r="656" spans="1:2" x14ac:dyDescent="0.3">
      <c r="A656" s="65"/>
      <c r="B656" s="65"/>
    </row>
    <row r="657" spans="1:2" x14ac:dyDescent="0.3">
      <c r="A657" s="65"/>
      <c r="B657" s="65"/>
    </row>
    <row r="658" spans="1:2" x14ac:dyDescent="0.3">
      <c r="A658" s="65"/>
      <c r="B658" s="65"/>
    </row>
    <row r="659" spans="1:2" x14ac:dyDescent="0.3">
      <c r="A659" s="65"/>
      <c r="B659" s="65"/>
    </row>
    <row r="660" spans="1:2" x14ac:dyDescent="0.3">
      <c r="A660" s="65"/>
      <c r="B660" s="65"/>
    </row>
    <row r="661" spans="1:2" x14ac:dyDescent="0.3">
      <c r="A661" s="65"/>
      <c r="B661" s="65"/>
    </row>
    <row r="662" spans="1:2" x14ac:dyDescent="0.3">
      <c r="A662" s="65"/>
      <c r="B662" s="65"/>
    </row>
    <row r="663" spans="1:2" x14ac:dyDescent="0.3">
      <c r="A663" s="65"/>
      <c r="B663" s="65"/>
    </row>
    <row r="664" spans="1:2" x14ac:dyDescent="0.3">
      <c r="A664" s="65"/>
      <c r="B664" s="65"/>
    </row>
    <row r="665" spans="1:2" x14ac:dyDescent="0.3">
      <c r="A665" s="65"/>
      <c r="B665" s="65"/>
    </row>
    <row r="666" spans="1:2" x14ac:dyDescent="0.3">
      <c r="A666" s="65"/>
      <c r="B666" s="65"/>
    </row>
    <row r="667" spans="1:2" x14ac:dyDescent="0.3">
      <c r="A667" s="65"/>
      <c r="B667" s="65"/>
    </row>
    <row r="668" spans="1:2" x14ac:dyDescent="0.3">
      <c r="A668" s="65"/>
      <c r="B668" s="65"/>
    </row>
    <row r="669" spans="1:2" x14ac:dyDescent="0.3">
      <c r="A669" s="65"/>
      <c r="B669" s="65"/>
    </row>
    <row r="670" spans="1:2" x14ac:dyDescent="0.3">
      <c r="A670" s="65"/>
      <c r="B670" s="65"/>
    </row>
    <row r="671" spans="1:2" x14ac:dyDescent="0.3">
      <c r="A671" s="65"/>
      <c r="B671" s="65"/>
    </row>
    <row r="672" spans="1:2" x14ac:dyDescent="0.3">
      <c r="A672" s="65"/>
      <c r="B672" s="65"/>
    </row>
    <row r="673" spans="1:2" x14ac:dyDescent="0.3">
      <c r="A673" s="65"/>
      <c r="B673" s="65"/>
    </row>
    <row r="674" spans="1:2" x14ac:dyDescent="0.3">
      <c r="A674" s="65"/>
      <c r="B674" s="65"/>
    </row>
    <row r="675" spans="1:2" x14ac:dyDescent="0.3">
      <c r="A675" s="65"/>
      <c r="B675" s="65"/>
    </row>
    <row r="676" spans="1:2" x14ac:dyDescent="0.3">
      <c r="A676" s="65"/>
      <c r="B676" s="65"/>
    </row>
    <row r="677" spans="1:2" x14ac:dyDescent="0.3">
      <c r="A677" s="65"/>
      <c r="B677" s="65"/>
    </row>
    <row r="678" spans="1:2" x14ac:dyDescent="0.3">
      <c r="A678" s="65"/>
      <c r="B678" s="65"/>
    </row>
    <row r="679" spans="1:2" x14ac:dyDescent="0.3">
      <c r="A679" s="65"/>
      <c r="B679" s="65"/>
    </row>
    <row r="680" spans="1:2" x14ac:dyDescent="0.3">
      <c r="A680" s="65"/>
      <c r="B680" s="65"/>
    </row>
    <row r="681" spans="1:2" x14ac:dyDescent="0.3">
      <c r="A681" s="65"/>
      <c r="B681" s="65"/>
    </row>
    <row r="682" spans="1:2" x14ac:dyDescent="0.3">
      <c r="A682" s="65"/>
      <c r="B682" s="65"/>
    </row>
    <row r="683" spans="1:2" x14ac:dyDescent="0.3">
      <c r="A683" s="65"/>
      <c r="B683" s="65"/>
    </row>
    <row r="684" spans="1:2" x14ac:dyDescent="0.3">
      <c r="A684" s="65"/>
      <c r="B684" s="65"/>
    </row>
    <row r="685" spans="1:2" x14ac:dyDescent="0.3">
      <c r="A685" s="65"/>
      <c r="B685" s="65"/>
    </row>
    <row r="686" spans="1:2" x14ac:dyDescent="0.3">
      <c r="A686" s="65"/>
      <c r="B686" s="65"/>
    </row>
    <row r="687" spans="1:2" x14ac:dyDescent="0.3">
      <c r="A687" s="65"/>
      <c r="B687" s="65"/>
    </row>
    <row r="688" spans="1:2" x14ac:dyDescent="0.3">
      <c r="A688" s="65"/>
      <c r="B688" s="65"/>
    </row>
    <row r="689" spans="1:2" x14ac:dyDescent="0.3">
      <c r="A689" s="65"/>
      <c r="B689" s="65"/>
    </row>
    <row r="690" spans="1:2" x14ac:dyDescent="0.3">
      <c r="A690" s="65"/>
      <c r="B690" s="65"/>
    </row>
    <row r="691" spans="1:2" x14ac:dyDescent="0.3">
      <c r="A691" s="65"/>
      <c r="B691" s="65"/>
    </row>
    <row r="692" spans="1:2" x14ac:dyDescent="0.3">
      <c r="A692" s="65"/>
      <c r="B692" s="65"/>
    </row>
    <row r="693" spans="1:2" x14ac:dyDescent="0.3">
      <c r="A693" s="65"/>
      <c r="B693" s="65"/>
    </row>
    <row r="694" spans="1:2" x14ac:dyDescent="0.3">
      <c r="A694" s="65"/>
      <c r="B694" s="65"/>
    </row>
    <row r="695" spans="1:2" x14ac:dyDescent="0.3">
      <c r="A695" s="65"/>
      <c r="B695" s="65"/>
    </row>
    <row r="696" spans="1:2" x14ac:dyDescent="0.3">
      <c r="A696" s="65"/>
      <c r="B696" s="65"/>
    </row>
    <row r="697" spans="1:2" x14ac:dyDescent="0.3">
      <c r="A697" s="65"/>
      <c r="B697" s="65"/>
    </row>
    <row r="698" spans="1:2" x14ac:dyDescent="0.3">
      <c r="A698" s="65"/>
      <c r="B698" s="65"/>
    </row>
    <row r="699" spans="1:2" x14ac:dyDescent="0.3">
      <c r="A699" s="65"/>
      <c r="B699" s="65"/>
    </row>
    <row r="700" spans="1:2" x14ac:dyDescent="0.3">
      <c r="A700" s="65"/>
      <c r="B700" s="65"/>
    </row>
    <row r="701" spans="1:2" x14ac:dyDescent="0.3">
      <c r="A701" s="65"/>
      <c r="B701" s="65"/>
    </row>
    <row r="702" spans="1:2" x14ac:dyDescent="0.3">
      <c r="A702" s="65"/>
      <c r="B702" s="65"/>
    </row>
    <row r="703" spans="1:2" x14ac:dyDescent="0.3">
      <c r="A703" s="65"/>
      <c r="B703" s="65"/>
    </row>
    <row r="704" spans="1:2" x14ac:dyDescent="0.3">
      <c r="A704" s="65"/>
      <c r="B704" s="65"/>
    </row>
    <row r="705" spans="1:2" x14ac:dyDescent="0.3">
      <c r="A705" s="65"/>
      <c r="B705" s="65"/>
    </row>
    <row r="706" spans="1:2" x14ac:dyDescent="0.3">
      <c r="A706" s="65"/>
      <c r="B706" s="65"/>
    </row>
    <row r="707" spans="1:2" x14ac:dyDescent="0.3">
      <c r="A707" s="65"/>
      <c r="B707" s="65"/>
    </row>
    <row r="708" spans="1:2" x14ac:dyDescent="0.3">
      <c r="A708" s="65"/>
      <c r="B708" s="65"/>
    </row>
    <row r="709" spans="1:2" x14ac:dyDescent="0.3">
      <c r="A709" s="65"/>
      <c r="B709" s="65"/>
    </row>
    <row r="710" spans="1:2" x14ac:dyDescent="0.3">
      <c r="A710" s="65"/>
      <c r="B710" s="65"/>
    </row>
    <row r="711" spans="1:2" x14ac:dyDescent="0.3">
      <c r="A711" s="65"/>
      <c r="B711" s="65"/>
    </row>
    <row r="712" spans="1:2" x14ac:dyDescent="0.3">
      <c r="A712" s="65"/>
      <c r="B712" s="65"/>
    </row>
    <row r="713" spans="1:2" x14ac:dyDescent="0.3">
      <c r="A713" s="65"/>
      <c r="B713" s="65"/>
    </row>
    <row r="714" spans="1:2" x14ac:dyDescent="0.3">
      <c r="A714" s="65"/>
      <c r="B714" s="65"/>
    </row>
    <row r="715" spans="1:2" x14ac:dyDescent="0.3">
      <c r="A715" s="65"/>
      <c r="B715" s="65"/>
    </row>
    <row r="716" spans="1:2" x14ac:dyDescent="0.3">
      <c r="A716" s="65"/>
      <c r="B716" s="65"/>
    </row>
    <row r="717" spans="1:2" x14ac:dyDescent="0.3">
      <c r="A717" s="65"/>
      <c r="B717" s="65"/>
    </row>
    <row r="718" spans="1:2" x14ac:dyDescent="0.3">
      <c r="A718" s="65"/>
      <c r="B718" s="65"/>
    </row>
    <row r="719" spans="1:2" x14ac:dyDescent="0.3">
      <c r="A719" s="65"/>
      <c r="B719" s="65"/>
    </row>
    <row r="720" spans="1:2" x14ac:dyDescent="0.3">
      <c r="A720" s="65"/>
      <c r="B720" s="65"/>
    </row>
    <row r="721" spans="1:2" x14ac:dyDescent="0.3">
      <c r="A721" s="65"/>
      <c r="B721" s="65"/>
    </row>
    <row r="722" spans="1:2" x14ac:dyDescent="0.3">
      <c r="A722" s="65"/>
      <c r="B722" s="65"/>
    </row>
    <row r="723" spans="1:2" x14ac:dyDescent="0.3">
      <c r="A723" s="65"/>
      <c r="B723" s="65"/>
    </row>
    <row r="724" spans="1:2" x14ac:dyDescent="0.3">
      <c r="A724" s="65"/>
      <c r="B724" s="65"/>
    </row>
    <row r="725" spans="1:2" x14ac:dyDescent="0.3">
      <c r="A725" s="65"/>
      <c r="B725" s="65"/>
    </row>
    <row r="726" spans="1:2" x14ac:dyDescent="0.3">
      <c r="A726" s="65"/>
      <c r="B726" s="65"/>
    </row>
    <row r="727" spans="1:2" x14ac:dyDescent="0.3">
      <c r="A727" s="65"/>
      <c r="B727" s="65"/>
    </row>
    <row r="728" spans="1:2" x14ac:dyDescent="0.3">
      <c r="A728" s="65"/>
      <c r="B728" s="65"/>
    </row>
    <row r="729" spans="1:2" x14ac:dyDescent="0.3">
      <c r="A729" s="65"/>
      <c r="B729" s="65"/>
    </row>
    <row r="730" spans="1:2" x14ac:dyDescent="0.3">
      <c r="A730" s="65"/>
      <c r="B730" s="65"/>
    </row>
    <row r="731" spans="1:2" x14ac:dyDescent="0.3">
      <c r="A731" s="65"/>
      <c r="B731" s="65"/>
    </row>
    <row r="732" spans="1:2" x14ac:dyDescent="0.3">
      <c r="A732" s="65"/>
      <c r="B732" s="65"/>
    </row>
    <row r="733" spans="1:2" x14ac:dyDescent="0.3">
      <c r="A733" s="65"/>
      <c r="B733" s="65"/>
    </row>
    <row r="734" spans="1:2" x14ac:dyDescent="0.3">
      <c r="A734" s="65"/>
      <c r="B734" s="65"/>
    </row>
    <row r="735" spans="1:2" x14ac:dyDescent="0.3">
      <c r="A735" s="65"/>
      <c r="B735" s="65"/>
    </row>
    <row r="736" spans="1:2" x14ac:dyDescent="0.3">
      <c r="A736" s="65"/>
      <c r="B736" s="65"/>
    </row>
    <row r="737" spans="1:2" x14ac:dyDescent="0.3">
      <c r="A737" s="65"/>
      <c r="B737" s="65"/>
    </row>
    <row r="738" spans="1:2" x14ac:dyDescent="0.3">
      <c r="A738" s="65"/>
      <c r="B738" s="65"/>
    </row>
    <row r="739" spans="1:2" x14ac:dyDescent="0.3">
      <c r="A739" s="65"/>
      <c r="B739" s="65"/>
    </row>
    <row r="740" spans="1:2" x14ac:dyDescent="0.3">
      <c r="A740" s="65"/>
      <c r="B740" s="65"/>
    </row>
    <row r="741" spans="1:2" x14ac:dyDescent="0.3">
      <c r="A741" s="65"/>
      <c r="B741" s="65"/>
    </row>
    <row r="742" spans="1:2" x14ac:dyDescent="0.3">
      <c r="A742" s="65"/>
      <c r="B742" s="65"/>
    </row>
    <row r="743" spans="1:2" x14ac:dyDescent="0.3">
      <c r="A743" s="65"/>
      <c r="B743" s="65"/>
    </row>
    <row r="744" spans="1:2" x14ac:dyDescent="0.3">
      <c r="A744" s="65"/>
      <c r="B744" s="65"/>
    </row>
    <row r="745" spans="1:2" x14ac:dyDescent="0.3">
      <c r="A745" s="65"/>
      <c r="B745" s="65"/>
    </row>
    <row r="746" spans="1:2" x14ac:dyDescent="0.3">
      <c r="A746" s="65"/>
      <c r="B746" s="65"/>
    </row>
    <row r="747" spans="1:2" x14ac:dyDescent="0.3">
      <c r="A747" s="65"/>
      <c r="B747" s="65"/>
    </row>
    <row r="748" spans="1:2" x14ac:dyDescent="0.3">
      <c r="A748" s="65"/>
      <c r="B748" s="65"/>
    </row>
    <row r="749" spans="1:2" x14ac:dyDescent="0.3">
      <c r="A749" s="65"/>
      <c r="B749" s="65"/>
    </row>
    <row r="750" spans="1:2" x14ac:dyDescent="0.3">
      <c r="A750" s="65"/>
      <c r="B750" s="65"/>
    </row>
    <row r="751" spans="1:2" x14ac:dyDescent="0.3">
      <c r="A751" s="65"/>
      <c r="B751" s="65"/>
    </row>
    <row r="752" spans="1:2" x14ac:dyDescent="0.3">
      <c r="A752" s="65"/>
      <c r="B752" s="65"/>
    </row>
    <row r="753" spans="1:2" x14ac:dyDescent="0.3">
      <c r="A753" s="65"/>
      <c r="B753" s="65"/>
    </row>
    <row r="754" spans="1:2" x14ac:dyDescent="0.3">
      <c r="A754" s="65"/>
      <c r="B754" s="65"/>
    </row>
    <row r="755" spans="1:2" x14ac:dyDescent="0.3">
      <c r="A755" s="65"/>
      <c r="B755" s="65"/>
    </row>
    <row r="756" spans="1:2" x14ac:dyDescent="0.3">
      <c r="A756" s="65"/>
      <c r="B756" s="65"/>
    </row>
    <row r="757" spans="1:2" x14ac:dyDescent="0.3">
      <c r="A757" s="65"/>
      <c r="B757" s="65"/>
    </row>
    <row r="758" spans="1:2" x14ac:dyDescent="0.3">
      <c r="A758" s="65"/>
      <c r="B758" s="65"/>
    </row>
    <row r="759" spans="1:2" x14ac:dyDescent="0.3">
      <c r="A759" s="65"/>
      <c r="B759" s="65"/>
    </row>
    <row r="760" spans="1:2" x14ac:dyDescent="0.3">
      <c r="A760" s="65"/>
      <c r="B760" s="65"/>
    </row>
    <row r="761" spans="1:2" x14ac:dyDescent="0.3">
      <c r="A761" s="65"/>
      <c r="B761" s="65"/>
    </row>
    <row r="762" spans="1:2" x14ac:dyDescent="0.3">
      <c r="A762" s="65"/>
      <c r="B762" s="65"/>
    </row>
    <row r="763" spans="1:2" x14ac:dyDescent="0.3">
      <c r="A763" s="65"/>
      <c r="B763" s="65"/>
    </row>
    <row r="764" spans="1:2" x14ac:dyDescent="0.3">
      <c r="A764" s="65"/>
      <c r="B764" s="65"/>
    </row>
    <row r="765" spans="1:2" x14ac:dyDescent="0.3">
      <c r="A765" s="65"/>
      <c r="B765" s="65"/>
    </row>
    <row r="766" spans="1:2" x14ac:dyDescent="0.3">
      <c r="A766" s="65"/>
      <c r="B766" s="65"/>
    </row>
    <row r="767" spans="1:2" x14ac:dyDescent="0.3">
      <c r="A767" s="65"/>
      <c r="B767" s="65"/>
    </row>
    <row r="768" spans="1:2" x14ac:dyDescent="0.3">
      <c r="A768" s="65"/>
      <c r="B768" s="65"/>
    </row>
    <row r="769" spans="1:2" x14ac:dyDescent="0.3">
      <c r="A769" s="65"/>
      <c r="B769" s="65"/>
    </row>
    <row r="770" spans="1:2" x14ac:dyDescent="0.3">
      <c r="A770" s="65"/>
      <c r="B770" s="65"/>
    </row>
    <row r="771" spans="1:2" x14ac:dyDescent="0.3">
      <c r="A771" s="65"/>
      <c r="B771" s="65"/>
    </row>
    <row r="772" spans="1:2" x14ac:dyDescent="0.3">
      <c r="A772" s="65"/>
      <c r="B772" s="65"/>
    </row>
    <row r="773" spans="1:2" x14ac:dyDescent="0.3">
      <c r="A773" s="65"/>
      <c r="B773" s="65"/>
    </row>
    <row r="774" spans="1:2" x14ac:dyDescent="0.3">
      <c r="A774" s="65"/>
      <c r="B774" s="65"/>
    </row>
    <row r="775" spans="1:2" x14ac:dyDescent="0.3">
      <c r="A775" s="65"/>
      <c r="B775" s="65"/>
    </row>
    <row r="776" spans="1:2" x14ac:dyDescent="0.3">
      <c r="A776" s="65"/>
      <c r="B776" s="65"/>
    </row>
    <row r="777" spans="1:2" x14ac:dyDescent="0.3">
      <c r="A777" s="65"/>
      <c r="B777" s="65"/>
    </row>
    <row r="778" spans="1:2" x14ac:dyDescent="0.3">
      <c r="A778" s="65"/>
      <c r="B778" s="65"/>
    </row>
    <row r="779" spans="1:2" x14ac:dyDescent="0.3">
      <c r="A779" s="65"/>
      <c r="B779" s="65"/>
    </row>
    <row r="780" spans="1:2" x14ac:dyDescent="0.3">
      <c r="A780" s="65"/>
      <c r="B780" s="65"/>
    </row>
    <row r="781" spans="1:2" x14ac:dyDescent="0.3">
      <c r="A781" s="65"/>
      <c r="B781" s="65"/>
    </row>
    <row r="782" spans="1:2" x14ac:dyDescent="0.3">
      <c r="A782" s="65"/>
      <c r="B782" s="65"/>
    </row>
    <row r="783" spans="1:2" x14ac:dyDescent="0.3">
      <c r="A783" s="65"/>
      <c r="B783" s="65"/>
    </row>
    <row r="784" spans="1:2" x14ac:dyDescent="0.3">
      <c r="A784" s="65"/>
      <c r="B784" s="65"/>
    </row>
    <row r="785" spans="1:2" x14ac:dyDescent="0.3">
      <c r="A785" s="65"/>
      <c r="B785" s="65"/>
    </row>
    <row r="786" spans="1:2" x14ac:dyDescent="0.3">
      <c r="A786" s="65"/>
      <c r="B786" s="65"/>
    </row>
    <row r="787" spans="1:2" x14ac:dyDescent="0.3">
      <c r="A787" s="65"/>
      <c r="B787" s="65"/>
    </row>
    <row r="788" spans="1:2" x14ac:dyDescent="0.3">
      <c r="A788" s="65"/>
      <c r="B788" s="65"/>
    </row>
    <row r="789" spans="1:2" x14ac:dyDescent="0.3">
      <c r="A789" s="65"/>
      <c r="B789" s="65"/>
    </row>
    <row r="790" spans="1:2" x14ac:dyDescent="0.3">
      <c r="A790" s="65"/>
      <c r="B790" s="65"/>
    </row>
    <row r="791" spans="1:2" x14ac:dyDescent="0.3">
      <c r="A791" s="65"/>
      <c r="B791" s="65"/>
    </row>
    <row r="792" spans="1:2" x14ac:dyDescent="0.3">
      <c r="A792" s="65"/>
      <c r="B792" s="65"/>
    </row>
    <row r="793" spans="1:2" x14ac:dyDescent="0.3">
      <c r="A793" s="65"/>
      <c r="B793" s="65"/>
    </row>
    <row r="794" spans="1:2" x14ac:dyDescent="0.3">
      <c r="A794" s="65"/>
      <c r="B794" s="65"/>
    </row>
    <row r="795" spans="1:2" x14ac:dyDescent="0.3">
      <c r="A795" s="65"/>
      <c r="B795" s="65"/>
    </row>
    <row r="796" spans="1:2" x14ac:dyDescent="0.3">
      <c r="A796" s="65"/>
      <c r="B796" s="65"/>
    </row>
    <row r="797" spans="1:2" x14ac:dyDescent="0.3">
      <c r="A797" s="65"/>
      <c r="B797" s="65"/>
    </row>
    <row r="798" spans="1:2" x14ac:dyDescent="0.3">
      <c r="A798" s="65"/>
      <c r="B798" s="65"/>
    </row>
    <row r="799" spans="1:2" x14ac:dyDescent="0.3">
      <c r="A799" s="65"/>
      <c r="B799" s="65"/>
    </row>
    <row r="800" spans="1:2" x14ac:dyDescent="0.3">
      <c r="A800" s="65"/>
      <c r="B800" s="65"/>
    </row>
    <row r="801" spans="1:2" x14ac:dyDescent="0.3">
      <c r="A801" s="65"/>
      <c r="B801" s="65"/>
    </row>
    <row r="802" spans="1:2" x14ac:dyDescent="0.3">
      <c r="A802" s="65"/>
      <c r="B802" s="65"/>
    </row>
    <row r="803" spans="1:2" x14ac:dyDescent="0.3">
      <c r="A803" s="65"/>
      <c r="B803" s="65"/>
    </row>
    <row r="804" spans="1:2" x14ac:dyDescent="0.3">
      <c r="A804" s="65"/>
      <c r="B804" s="65"/>
    </row>
    <row r="805" spans="1:2" x14ac:dyDescent="0.3">
      <c r="A805" s="65"/>
      <c r="B805" s="65"/>
    </row>
    <row r="806" spans="1:2" x14ac:dyDescent="0.3">
      <c r="A806" s="65"/>
      <c r="B806" s="65"/>
    </row>
    <row r="807" spans="1:2" x14ac:dyDescent="0.3">
      <c r="A807" s="65"/>
      <c r="B807" s="65"/>
    </row>
    <row r="808" spans="1:2" x14ac:dyDescent="0.3">
      <c r="A808" s="65"/>
      <c r="B808" s="65"/>
    </row>
    <row r="809" spans="1:2" x14ac:dyDescent="0.3">
      <c r="A809" s="65"/>
      <c r="B809" s="65"/>
    </row>
    <row r="810" spans="1:2" x14ac:dyDescent="0.3">
      <c r="A810" s="65"/>
      <c r="B810" s="65"/>
    </row>
    <row r="811" spans="1:2" x14ac:dyDescent="0.3">
      <c r="A811" s="65"/>
      <c r="B811" s="65"/>
    </row>
    <row r="812" spans="1:2" x14ac:dyDescent="0.3">
      <c r="A812" s="65"/>
      <c r="B812" s="65"/>
    </row>
    <row r="813" spans="1:2" x14ac:dyDescent="0.3">
      <c r="A813" s="65"/>
      <c r="B813" s="65"/>
    </row>
    <row r="814" spans="1:2" x14ac:dyDescent="0.3">
      <c r="A814" s="65"/>
      <c r="B814" s="65"/>
    </row>
    <row r="815" spans="1:2" x14ac:dyDescent="0.3">
      <c r="A815" s="65"/>
      <c r="B815" s="65"/>
    </row>
    <row r="816" spans="1:2" x14ac:dyDescent="0.3">
      <c r="A816" s="65"/>
      <c r="B816" s="65"/>
    </row>
    <row r="817" spans="1:2" x14ac:dyDescent="0.3">
      <c r="A817" s="65"/>
      <c r="B817" s="65"/>
    </row>
    <row r="818" spans="1:2" x14ac:dyDescent="0.3">
      <c r="A818" s="65"/>
      <c r="B818" s="65"/>
    </row>
    <row r="819" spans="1:2" x14ac:dyDescent="0.3">
      <c r="A819" s="65"/>
      <c r="B819" s="65"/>
    </row>
    <row r="820" spans="1:2" x14ac:dyDescent="0.3">
      <c r="A820" s="65"/>
      <c r="B820" s="65"/>
    </row>
    <row r="821" spans="1:2" x14ac:dyDescent="0.3">
      <c r="A821" s="65"/>
      <c r="B821" s="65"/>
    </row>
    <row r="822" spans="1:2" x14ac:dyDescent="0.3">
      <c r="A822" s="65"/>
      <c r="B822" s="65"/>
    </row>
    <row r="823" spans="1:2" x14ac:dyDescent="0.3">
      <c r="A823" s="65"/>
      <c r="B823" s="65"/>
    </row>
    <row r="824" spans="1:2" x14ac:dyDescent="0.3">
      <c r="A824" s="65"/>
      <c r="B824" s="65"/>
    </row>
    <row r="825" spans="1:2" x14ac:dyDescent="0.3">
      <c r="A825" s="65"/>
      <c r="B825" s="65"/>
    </row>
    <row r="826" spans="1:2" x14ac:dyDescent="0.3">
      <c r="A826" s="65"/>
      <c r="B826" s="65"/>
    </row>
    <row r="827" spans="1:2" x14ac:dyDescent="0.3">
      <c r="A827" s="65"/>
      <c r="B827" s="65"/>
    </row>
    <row r="828" spans="1:2" x14ac:dyDescent="0.3">
      <c r="A828" s="65"/>
      <c r="B828" s="65"/>
    </row>
    <row r="829" spans="1:2" x14ac:dyDescent="0.3">
      <c r="A829" s="65"/>
      <c r="B829" s="65"/>
    </row>
    <row r="830" spans="1:2" x14ac:dyDescent="0.3">
      <c r="A830" s="65"/>
      <c r="B830" s="65"/>
    </row>
    <row r="831" spans="1:2" x14ac:dyDescent="0.3">
      <c r="A831" s="65"/>
      <c r="B831" s="65"/>
    </row>
    <row r="832" spans="1:2" x14ac:dyDescent="0.3">
      <c r="A832" s="65"/>
      <c r="B832" s="65"/>
    </row>
    <row r="833" spans="1:2" x14ac:dyDescent="0.3">
      <c r="A833" s="65"/>
      <c r="B833" s="65"/>
    </row>
    <row r="834" spans="1:2" x14ac:dyDescent="0.3">
      <c r="A834" s="65"/>
      <c r="B834" s="65"/>
    </row>
    <row r="835" spans="1:2" x14ac:dyDescent="0.3">
      <c r="A835" s="65"/>
      <c r="B835" s="65"/>
    </row>
    <row r="836" spans="1:2" x14ac:dyDescent="0.3">
      <c r="A836" s="65"/>
      <c r="B836" s="65"/>
    </row>
    <row r="837" spans="1:2" x14ac:dyDescent="0.3">
      <c r="A837" s="65"/>
      <c r="B837" s="65"/>
    </row>
    <row r="838" spans="1:2" x14ac:dyDescent="0.3">
      <c r="A838" s="65"/>
      <c r="B838" s="65"/>
    </row>
    <row r="839" spans="1:2" x14ac:dyDescent="0.3">
      <c r="A839" s="65"/>
      <c r="B839" s="65"/>
    </row>
    <row r="840" spans="1:2" x14ac:dyDescent="0.3">
      <c r="A840" s="65"/>
      <c r="B840" s="65"/>
    </row>
    <row r="841" spans="1:2" x14ac:dyDescent="0.3">
      <c r="A841" s="65"/>
      <c r="B841" s="65"/>
    </row>
    <row r="842" spans="1:2" x14ac:dyDescent="0.3">
      <c r="A842" s="65"/>
      <c r="B842" s="65"/>
    </row>
    <row r="843" spans="1:2" x14ac:dyDescent="0.3">
      <c r="A843" s="65"/>
      <c r="B843" s="65"/>
    </row>
    <row r="844" spans="1:2" x14ac:dyDescent="0.3">
      <c r="A844" s="65"/>
      <c r="B844" s="65"/>
    </row>
    <row r="845" spans="1:2" x14ac:dyDescent="0.3">
      <c r="A845" s="65"/>
      <c r="B845" s="65"/>
    </row>
    <row r="846" spans="1:2" x14ac:dyDescent="0.3">
      <c r="A846" s="65"/>
      <c r="B846" s="65"/>
    </row>
    <row r="847" spans="1:2" x14ac:dyDescent="0.3">
      <c r="A847" s="65"/>
      <c r="B847" s="65"/>
    </row>
    <row r="848" spans="1:2" x14ac:dyDescent="0.3">
      <c r="A848" s="65"/>
      <c r="B848" s="65"/>
    </row>
    <row r="849" spans="1:2" x14ac:dyDescent="0.3">
      <c r="A849" s="65"/>
      <c r="B849" s="65"/>
    </row>
    <row r="850" spans="1:2" x14ac:dyDescent="0.3">
      <c r="A850" s="65"/>
      <c r="B850" s="65"/>
    </row>
    <row r="851" spans="1:2" x14ac:dyDescent="0.3">
      <c r="A851" s="65"/>
      <c r="B851" s="65"/>
    </row>
    <row r="852" spans="1:2" x14ac:dyDescent="0.3">
      <c r="A852" s="65"/>
      <c r="B852" s="65"/>
    </row>
    <row r="853" spans="1:2" x14ac:dyDescent="0.3">
      <c r="A853" s="65"/>
      <c r="B853" s="65"/>
    </row>
    <row r="854" spans="1:2" x14ac:dyDescent="0.3">
      <c r="A854" s="65"/>
      <c r="B854" s="65"/>
    </row>
    <row r="855" spans="1:2" x14ac:dyDescent="0.3">
      <c r="A855" s="65"/>
      <c r="B855" s="65"/>
    </row>
    <row r="856" spans="1:2" x14ac:dyDescent="0.3">
      <c r="A856" s="65"/>
      <c r="B856" s="65"/>
    </row>
    <row r="857" spans="1:2" x14ac:dyDescent="0.3">
      <c r="A857" s="65"/>
      <c r="B857" s="65"/>
    </row>
    <row r="858" spans="1:2" x14ac:dyDescent="0.3">
      <c r="A858" s="65"/>
      <c r="B858" s="65"/>
    </row>
    <row r="859" spans="1:2" x14ac:dyDescent="0.3">
      <c r="A859" s="65"/>
      <c r="B859" s="65"/>
    </row>
    <row r="860" spans="1:2" x14ac:dyDescent="0.3">
      <c r="A860" s="65"/>
      <c r="B860" s="65"/>
    </row>
    <row r="861" spans="1:2" x14ac:dyDescent="0.3">
      <c r="A861" s="65"/>
      <c r="B861" s="65"/>
    </row>
    <row r="862" spans="1:2" x14ac:dyDescent="0.3">
      <c r="A862" s="65"/>
      <c r="B862" s="65"/>
    </row>
    <row r="863" spans="1:2" x14ac:dyDescent="0.3">
      <c r="A863" s="65"/>
      <c r="B863" s="65"/>
    </row>
    <row r="864" spans="1:2" x14ac:dyDescent="0.3">
      <c r="A864" s="65"/>
      <c r="B864" s="65"/>
    </row>
    <row r="865" spans="1:2" x14ac:dyDescent="0.3">
      <c r="A865" s="65"/>
      <c r="B865" s="65"/>
    </row>
    <row r="866" spans="1:2" x14ac:dyDescent="0.3">
      <c r="A866" s="65"/>
      <c r="B866" s="65"/>
    </row>
    <row r="867" spans="1:2" x14ac:dyDescent="0.3">
      <c r="A867" s="65"/>
      <c r="B867" s="65"/>
    </row>
    <row r="868" spans="1:2" x14ac:dyDescent="0.3">
      <c r="A868" s="65"/>
      <c r="B868" s="65"/>
    </row>
    <row r="869" spans="1:2" x14ac:dyDescent="0.3">
      <c r="A869" s="65"/>
      <c r="B869" s="65"/>
    </row>
    <row r="870" spans="1:2" x14ac:dyDescent="0.3">
      <c r="A870" s="65"/>
      <c r="B870" s="65"/>
    </row>
    <row r="871" spans="1:2" x14ac:dyDescent="0.3">
      <c r="A871" s="65"/>
      <c r="B871" s="65"/>
    </row>
    <row r="872" spans="1:2" x14ac:dyDescent="0.3">
      <c r="A872" s="65"/>
      <c r="B872" s="65"/>
    </row>
    <row r="873" spans="1:2" x14ac:dyDescent="0.3">
      <c r="A873" s="65"/>
      <c r="B873" s="65"/>
    </row>
    <row r="874" spans="1:2" x14ac:dyDescent="0.3">
      <c r="A874" s="65"/>
      <c r="B874" s="65"/>
    </row>
    <row r="875" spans="1:2" x14ac:dyDescent="0.3">
      <c r="A875" s="65"/>
      <c r="B875" s="65"/>
    </row>
    <row r="876" spans="1:2" x14ac:dyDescent="0.3">
      <c r="A876" s="65"/>
      <c r="B876" s="65"/>
    </row>
    <row r="877" spans="1:2" x14ac:dyDescent="0.3">
      <c r="A877" s="65"/>
      <c r="B877" s="65"/>
    </row>
    <row r="878" spans="1:2" x14ac:dyDescent="0.3">
      <c r="A878" s="65"/>
      <c r="B878" s="65"/>
    </row>
    <row r="879" spans="1:2" x14ac:dyDescent="0.3">
      <c r="A879" s="65"/>
      <c r="B879" s="65"/>
    </row>
    <row r="880" spans="1:2" x14ac:dyDescent="0.3">
      <c r="A880" s="65"/>
      <c r="B880" s="65"/>
    </row>
    <row r="881" spans="1:2" x14ac:dyDescent="0.3">
      <c r="A881" s="65"/>
      <c r="B881" s="65"/>
    </row>
    <row r="882" spans="1:2" x14ac:dyDescent="0.3">
      <c r="A882" s="65"/>
      <c r="B882" s="65"/>
    </row>
    <row r="883" spans="1:2" x14ac:dyDescent="0.3">
      <c r="A883" s="65"/>
      <c r="B883" s="65"/>
    </row>
    <row r="884" spans="1:2" x14ac:dyDescent="0.3">
      <c r="A884" s="65"/>
      <c r="B884" s="65"/>
    </row>
    <row r="885" spans="1:2" x14ac:dyDescent="0.3">
      <c r="A885" s="65"/>
      <c r="B885" s="65"/>
    </row>
    <row r="886" spans="1:2" x14ac:dyDescent="0.3">
      <c r="A886" s="65"/>
      <c r="B886" s="65"/>
    </row>
    <row r="887" spans="1:2" x14ac:dyDescent="0.3">
      <c r="A887" s="65"/>
      <c r="B887" s="65"/>
    </row>
    <row r="888" spans="1:2" x14ac:dyDescent="0.3">
      <c r="A888" s="65"/>
      <c r="B888" s="65"/>
    </row>
    <row r="889" spans="1:2" x14ac:dyDescent="0.3">
      <c r="A889" s="65"/>
      <c r="B889" s="65"/>
    </row>
    <row r="890" spans="1:2" x14ac:dyDescent="0.3">
      <c r="A890" s="65"/>
      <c r="B890" s="65"/>
    </row>
    <row r="891" spans="1:2" x14ac:dyDescent="0.3">
      <c r="A891" s="65"/>
      <c r="B891" s="65"/>
    </row>
    <row r="892" spans="1:2" x14ac:dyDescent="0.3">
      <c r="A892" s="65"/>
      <c r="B892" s="65"/>
    </row>
    <row r="893" spans="1:2" x14ac:dyDescent="0.3">
      <c r="A893" s="65"/>
      <c r="B893" s="65"/>
    </row>
    <row r="894" spans="1:2" x14ac:dyDescent="0.3">
      <c r="A894" s="65"/>
      <c r="B894" s="65"/>
    </row>
    <row r="895" spans="1:2" x14ac:dyDescent="0.3">
      <c r="A895" s="65"/>
      <c r="B895" s="65"/>
    </row>
    <row r="896" spans="1:2" x14ac:dyDescent="0.3">
      <c r="A896" s="65"/>
      <c r="B896" s="65"/>
    </row>
    <row r="897" spans="1:2" x14ac:dyDescent="0.3">
      <c r="A897" s="65"/>
      <c r="B897" s="65"/>
    </row>
    <row r="898" spans="1:2" x14ac:dyDescent="0.3">
      <c r="A898" s="65"/>
      <c r="B898" s="65"/>
    </row>
    <row r="899" spans="1:2" x14ac:dyDescent="0.3">
      <c r="A899" s="65"/>
      <c r="B899" s="65"/>
    </row>
    <row r="900" spans="1:2" x14ac:dyDescent="0.3">
      <c r="A900" s="65"/>
      <c r="B900" s="65"/>
    </row>
    <row r="901" spans="1:2" x14ac:dyDescent="0.3">
      <c r="A901" s="65"/>
      <c r="B901" s="65"/>
    </row>
    <row r="902" spans="1:2" x14ac:dyDescent="0.3">
      <c r="A902" s="65"/>
      <c r="B902" s="65"/>
    </row>
    <row r="903" spans="1:2" x14ac:dyDescent="0.3">
      <c r="A903" s="65"/>
      <c r="B903" s="65"/>
    </row>
    <row r="904" spans="1:2" x14ac:dyDescent="0.3">
      <c r="A904" s="65"/>
      <c r="B904" s="65"/>
    </row>
    <row r="905" spans="1:2" x14ac:dyDescent="0.3">
      <c r="A905" s="65"/>
      <c r="B905" s="65"/>
    </row>
    <row r="906" spans="1:2" x14ac:dyDescent="0.3">
      <c r="A906" s="65"/>
      <c r="B906" s="65"/>
    </row>
    <row r="907" spans="1:2" x14ac:dyDescent="0.3">
      <c r="A907" s="65"/>
      <c r="B907" s="65"/>
    </row>
    <row r="908" spans="1:2" x14ac:dyDescent="0.3">
      <c r="A908" s="65"/>
      <c r="B908" s="65"/>
    </row>
    <row r="909" spans="1:2" x14ac:dyDescent="0.3">
      <c r="A909" s="65"/>
      <c r="B909" s="65"/>
    </row>
    <row r="910" spans="1:2" x14ac:dyDescent="0.3">
      <c r="A910" s="65"/>
      <c r="B910" s="65"/>
    </row>
    <row r="911" spans="1:2" x14ac:dyDescent="0.3">
      <c r="A911" s="65"/>
      <c r="B911" s="65"/>
    </row>
    <row r="912" spans="1:2" x14ac:dyDescent="0.3">
      <c r="A912" s="65"/>
      <c r="B912" s="65"/>
    </row>
    <row r="913" spans="1:2" x14ac:dyDescent="0.3">
      <c r="A913" s="65"/>
      <c r="B913" s="65"/>
    </row>
    <row r="914" spans="1:2" x14ac:dyDescent="0.3">
      <c r="A914" s="65"/>
      <c r="B914" s="65"/>
    </row>
    <row r="915" spans="1:2" x14ac:dyDescent="0.3">
      <c r="A915" s="65"/>
      <c r="B915" s="65"/>
    </row>
    <row r="916" spans="1:2" x14ac:dyDescent="0.3">
      <c r="A916" s="65"/>
      <c r="B916" s="65"/>
    </row>
    <row r="917" spans="1:2" x14ac:dyDescent="0.3">
      <c r="A917" s="65"/>
      <c r="B917" s="65"/>
    </row>
    <row r="918" spans="1:2" x14ac:dyDescent="0.3">
      <c r="A918" s="65"/>
      <c r="B918" s="65"/>
    </row>
    <row r="919" spans="1:2" x14ac:dyDescent="0.3">
      <c r="A919" s="65"/>
      <c r="B919" s="65"/>
    </row>
    <row r="920" spans="1:2" x14ac:dyDescent="0.3">
      <c r="A920" s="65"/>
      <c r="B920" s="65"/>
    </row>
    <row r="921" spans="1:2" x14ac:dyDescent="0.3">
      <c r="A921" s="65"/>
      <c r="B921" s="65"/>
    </row>
    <row r="922" spans="1:2" x14ac:dyDescent="0.3">
      <c r="A922" s="65"/>
      <c r="B922" s="65"/>
    </row>
    <row r="923" spans="1:2" x14ac:dyDescent="0.3">
      <c r="A923" s="65"/>
      <c r="B923" s="65"/>
    </row>
    <row r="924" spans="1:2" x14ac:dyDescent="0.3">
      <c r="A924" s="65"/>
      <c r="B924" s="65"/>
    </row>
    <row r="925" spans="1:2" x14ac:dyDescent="0.3">
      <c r="A925" s="65"/>
      <c r="B925" s="65"/>
    </row>
    <row r="926" spans="1:2" x14ac:dyDescent="0.3">
      <c r="A926" s="65"/>
      <c r="B926" s="65"/>
    </row>
    <row r="927" spans="1:2" x14ac:dyDescent="0.3">
      <c r="A927" s="65"/>
      <c r="B927" s="65"/>
    </row>
    <row r="928" spans="1:2" x14ac:dyDescent="0.3">
      <c r="A928" s="65"/>
      <c r="B928" s="65"/>
    </row>
    <row r="929" spans="1:2" x14ac:dyDescent="0.3">
      <c r="A929" s="65"/>
      <c r="B929" s="65"/>
    </row>
    <row r="930" spans="1:2" x14ac:dyDescent="0.3">
      <c r="A930" s="65"/>
      <c r="B930" s="65"/>
    </row>
    <row r="931" spans="1:2" x14ac:dyDescent="0.3">
      <c r="A931" s="65"/>
      <c r="B931" s="65"/>
    </row>
    <row r="932" spans="1:2" x14ac:dyDescent="0.3">
      <c r="A932" s="65"/>
      <c r="B932" s="65"/>
    </row>
    <row r="933" spans="1:2" x14ac:dyDescent="0.3">
      <c r="A933" s="65"/>
      <c r="B933" s="65"/>
    </row>
    <row r="934" spans="1:2" x14ac:dyDescent="0.3">
      <c r="A934" s="65"/>
      <c r="B934" s="65"/>
    </row>
    <row r="935" spans="1:2" x14ac:dyDescent="0.3">
      <c r="A935" s="65"/>
      <c r="B935" s="65"/>
    </row>
    <row r="936" spans="1:2" x14ac:dyDescent="0.3">
      <c r="A936" s="65"/>
      <c r="B936" s="65"/>
    </row>
    <row r="937" spans="1:2" x14ac:dyDescent="0.3">
      <c r="A937" s="65"/>
      <c r="B937" s="65"/>
    </row>
    <row r="938" spans="1:2" x14ac:dyDescent="0.3">
      <c r="A938" s="65"/>
      <c r="B938" s="65"/>
    </row>
    <row r="939" spans="1:2" x14ac:dyDescent="0.3">
      <c r="A939" s="65"/>
      <c r="B939" s="65"/>
    </row>
    <row r="940" spans="1:2" x14ac:dyDescent="0.3">
      <c r="A940" s="65"/>
      <c r="B940" s="65"/>
    </row>
    <row r="941" spans="1:2" x14ac:dyDescent="0.3">
      <c r="A941" s="65"/>
      <c r="B941" s="65"/>
    </row>
    <row r="942" spans="1:2" x14ac:dyDescent="0.3">
      <c r="A942" s="65"/>
      <c r="B942" s="65"/>
    </row>
    <row r="943" spans="1:2" x14ac:dyDescent="0.3">
      <c r="A943" s="65"/>
      <c r="B943" s="65"/>
    </row>
    <row r="944" spans="1:2" x14ac:dyDescent="0.3">
      <c r="A944" s="65"/>
      <c r="B944" s="65"/>
    </row>
    <row r="945" spans="1:2" x14ac:dyDescent="0.3">
      <c r="A945" s="65"/>
      <c r="B945" s="65"/>
    </row>
    <row r="946" spans="1:2" x14ac:dyDescent="0.3">
      <c r="A946" s="65"/>
      <c r="B946" s="65"/>
    </row>
    <row r="947" spans="1:2" x14ac:dyDescent="0.3">
      <c r="A947" s="65"/>
      <c r="B947" s="65"/>
    </row>
    <row r="948" spans="1:2" x14ac:dyDescent="0.3">
      <c r="A948" s="65"/>
      <c r="B948" s="65"/>
    </row>
    <row r="949" spans="1:2" x14ac:dyDescent="0.3">
      <c r="A949" s="65"/>
      <c r="B949" s="65"/>
    </row>
    <row r="950" spans="1:2" x14ac:dyDescent="0.3">
      <c r="A950" s="65"/>
      <c r="B950" s="65"/>
    </row>
    <row r="951" spans="1:2" x14ac:dyDescent="0.3">
      <c r="A951" s="65"/>
      <c r="B951" s="65"/>
    </row>
    <row r="952" spans="1:2" x14ac:dyDescent="0.3">
      <c r="A952" s="65"/>
      <c r="B952" s="65"/>
    </row>
    <row r="953" spans="1:2" x14ac:dyDescent="0.3">
      <c r="A953" s="65"/>
      <c r="B953" s="65"/>
    </row>
    <row r="954" spans="1:2" x14ac:dyDescent="0.3">
      <c r="A954" s="65"/>
      <c r="B954" s="65"/>
    </row>
    <row r="955" spans="1:2" x14ac:dyDescent="0.3">
      <c r="A955" s="65"/>
      <c r="B955" s="65"/>
    </row>
    <row r="956" spans="1:2" x14ac:dyDescent="0.3">
      <c r="A956" s="65"/>
      <c r="B956" s="65"/>
    </row>
    <row r="957" spans="1:2" x14ac:dyDescent="0.3">
      <c r="A957" s="65"/>
      <c r="B957" s="65"/>
    </row>
    <row r="958" spans="1:2" x14ac:dyDescent="0.3">
      <c r="A958" s="65"/>
      <c r="B958" s="65"/>
    </row>
    <row r="959" spans="1:2" x14ac:dyDescent="0.3">
      <c r="A959" s="65"/>
      <c r="B959" s="65"/>
    </row>
    <row r="960" spans="1:2" x14ac:dyDescent="0.3">
      <c r="A960" s="65"/>
      <c r="B960" s="65"/>
    </row>
    <row r="961" spans="1:2" x14ac:dyDescent="0.3">
      <c r="A961" s="65"/>
      <c r="B961" s="65"/>
    </row>
    <row r="962" spans="1:2" x14ac:dyDescent="0.3">
      <c r="A962" s="65"/>
      <c r="B962" s="65"/>
    </row>
    <row r="963" spans="1:2" x14ac:dyDescent="0.3">
      <c r="A963" s="65"/>
      <c r="B963" s="65"/>
    </row>
    <row r="964" spans="1:2" x14ac:dyDescent="0.3">
      <c r="A964" s="65"/>
      <c r="B964" s="65"/>
    </row>
    <row r="965" spans="1:2" x14ac:dyDescent="0.3">
      <c r="A965" s="65"/>
      <c r="B965" s="65"/>
    </row>
    <row r="966" spans="1:2" x14ac:dyDescent="0.3">
      <c r="A966" s="65"/>
      <c r="B966" s="65"/>
    </row>
    <row r="967" spans="1:2" x14ac:dyDescent="0.3">
      <c r="A967" s="65"/>
      <c r="B967" s="65"/>
    </row>
    <row r="968" spans="1:2" x14ac:dyDescent="0.3">
      <c r="A968" s="65"/>
      <c r="B968" s="65"/>
    </row>
    <row r="969" spans="1:2" x14ac:dyDescent="0.3">
      <c r="A969" s="65"/>
      <c r="B969" s="65"/>
    </row>
    <row r="970" spans="1:2" x14ac:dyDescent="0.3">
      <c r="A970" s="65"/>
      <c r="B970" s="65"/>
    </row>
    <row r="971" spans="1:2" x14ac:dyDescent="0.3">
      <c r="A971" s="65"/>
      <c r="B971" s="65"/>
    </row>
    <row r="972" spans="1:2" x14ac:dyDescent="0.3">
      <c r="A972" s="65"/>
      <c r="B972" s="65"/>
    </row>
    <row r="973" spans="1:2" x14ac:dyDescent="0.3">
      <c r="A973" s="65"/>
      <c r="B973" s="65"/>
    </row>
    <row r="974" spans="1:2" x14ac:dyDescent="0.3">
      <c r="A974" s="65"/>
      <c r="B974" s="65"/>
    </row>
    <row r="975" spans="1:2" x14ac:dyDescent="0.3">
      <c r="A975" s="65"/>
      <c r="B975" s="65"/>
    </row>
    <row r="976" spans="1:2" x14ac:dyDescent="0.3">
      <c r="A976" s="65"/>
      <c r="B976" s="65"/>
    </row>
    <row r="977" spans="1:2" x14ac:dyDescent="0.3">
      <c r="A977" s="65"/>
      <c r="B977" s="65"/>
    </row>
    <row r="978" spans="1:2" x14ac:dyDescent="0.3">
      <c r="A978" s="65"/>
      <c r="B978" s="65"/>
    </row>
    <row r="979" spans="1:2" x14ac:dyDescent="0.3">
      <c r="A979" s="65"/>
      <c r="B979" s="65"/>
    </row>
    <row r="980" spans="1:2" x14ac:dyDescent="0.3">
      <c r="A980" s="65"/>
      <c r="B980" s="65"/>
    </row>
    <row r="981" spans="1:2" x14ac:dyDescent="0.3">
      <c r="A981" s="65"/>
      <c r="B981" s="65"/>
    </row>
    <row r="982" spans="1:2" x14ac:dyDescent="0.3">
      <c r="A982" s="65"/>
      <c r="B982" s="65"/>
    </row>
    <row r="983" spans="1:2" x14ac:dyDescent="0.3">
      <c r="A983" s="65"/>
      <c r="B983" s="65"/>
    </row>
    <row r="984" spans="1:2" x14ac:dyDescent="0.3">
      <c r="A984" s="65"/>
      <c r="B984" s="65"/>
    </row>
    <row r="985" spans="1:2" x14ac:dyDescent="0.3">
      <c r="A985" s="65"/>
      <c r="B985" s="65"/>
    </row>
    <row r="986" spans="1:2" x14ac:dyDescent="0.3">
      <c r="A986" s="65"/>
      <c r="B986" s="65"/>
    </row>
    <row r="987" spans="1:2" x14ac:dyDescent="0.3">
      <c r="A987" s="65"/>
      <c r="B987" s="65"/>
    </row>
    <row r="988" spans="1:2" x14ac:dyDescent="0.3">
      <c r="A988" s="65"/>
      <c r="B988" s="65"/>
    </row>
    <row r="989" spans="1:2" x14ac:dyDescent="0.3">
      <c r="A989" s="65"/>
      <c r="B989" s="65"/>
    </row>
    <row r="990" spans="1:2" x14ac:dyDescent="0.3">
      <c r="A990" s="65"/>
      <c r="B990" s="65"/>
    </row>
    <row r="991" spans="1:2" x14ac:dyDescent="0.3">
      <c r="A991" s="65"/>
      <c r="B991" s="65"/>
    </row>
    <row r="992" spans="1:2" x14ac:dyDescent="0.3">
      <c r="A992" s="65"/>
      <c r="B992" s="65"/>
    </row>
    <row r="993" spans="1:2" x14ac:dyDescent="0.3">
      <c r="A993" s="65"/>
      <c r="B993" s="65"/>
    </row>
    <row r="994" spans="1:2" x14ac:dyDescent="0.3">
      <c r="A994" s="65"/>
      <c r="B994" s="65"/>
    </row>
    <row r="995" spans="1:2" x14ac:dyDescent="0.3">
      <c r="A995" s="65"/>
      <c r="B995" s="65"/>
    </row>
    <row r="996" spans="1:2" x14ac:dyDescent="0.3">
      <c r="A996" s="65"/>
      <c r="B996" s="65"/>
    </row>
    <row r="997" spans="1:2" x14ac:dyDescent="0.3">
      <c r="A997" s="65"/>
      <c r="B997" s="65"/>
    </row>
    <row r="998" spans="1:2" x14ac:dyDescent="0.3">
      <c r="A998" s="65"/>
      <c r="B998" s="65"/>
    </row>
    <row r="999" spans="1:2" x14ac:dyDescent="0.3">
      <c r="A999" s="65"/>
      <c r="B999" s="65"/>
    </row>
    <row r="1000" spans="1:2" x14ac:dyDescent="0.3">
      <c r="A1000" s="65"/>
      <c r="B1000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informe de Gestión 2021-2025</vt:lpstr>
      <vt:lpstr>ESTACIONES</vt:lpstr>
      <vt:lpstr>LOGIN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modified xsi:type="dcterms:W3CDTF">2026-01-21T15:04:04Z</dcterms:modified>
</cp:coreProperties>
</file>
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228E76BF-7D7E-4D52-BF0D-686DBA9877AF}" xr6:coauthVersionLast="47" xr6:coauthVersionMax="47" xr10:uidLastSave="{00000000-0000-0000-0000-000000000000}"/>
  <bookViews>
    <workbookView xWindow="-108" yWindow="-108" windowWidth="23256" windowHeight="12456" activeTab="4" xr2:uid="{00000000-000D-0000-FFFF-FFFF00000000}"/>
  </bookViews>
  <sheets>
    <sheet name="NORTE - RUTH" sheetId="2" r:id="rId1"/>
    <sheet name="CENTRO - CESAR" sheetId="3" r:id="rId2"/>
    <sheet name="SUR - ESTER" sheetId="4" r:id="rId3"/>
    <sheet name="FUERA DEL AIRE" sheetId="5" r:id="rId4"/>
    <sheet name="ESTACIONES" sheetId="6" r:id="rId5"/>
    <sheet name="LOGIN" sheetId="7" state="hidden" r:id="rId6"/>
    <sheet name="LOG" sheetId="8" state="hidden" r:id="rId7"/>
  </sheets>
  <definedNames>
    <definedName name="_xlnm._FilterDatabase" localSheetId="1" hidden="1">'CENTRO - CESAR'!$A$1:$R$147</definedName>
    <definedName name="_xlnm._FilterDatabase" localSheetId="4" hidden="1">ESTACIONES!$B$1:$X$425</definedName>
    <definedName name="_xlnm._FilterDatabase" localSheetId="3" hidden="1">'FUERA DEL AIRE'!$A$7:$Q$50</definedName>
    <definedName name="_xlnm._FilterDatabase" localSheetId="0" hidden="1">'NORTE - RUTH'!$A$1:$R$130</definedName>
    <definedName name="_xlnm._FilterDatabase" localSheetId="2" hidden="1">'SUR - ESTER'!$A$1:$R$156</definedName>
    <definedName name="Z_5A9BE03D_05A2_486B_93CC_9E1D106790C4_.wvu.FilterData" localSheetId="1" hidden="1">'CENTRO - CESAR'!$A$1:$G$85</definedName>
    <definedName name="Z_5A9BE03D_05A2_486B_93CC_9E1D106790C4_.wvu.FilterData" localSheetId="0" hidden="1">'NORTE - RUTH'!$A$1:$G$126</definedName>
    <definedName name="Z_5A9BE03D_05A2_486B_93CC_9E1D106790C4_.wvu.FilterData" localSheetId="2" hidden="1">'SUR - ESTER'!$A$1:$G$75</definedName>
    <definedName name="Z_5D10151A_3867_40BF_AA66_4AABD0E21775_.wvu.FilterData" localSheetId="2" hidden="1">'SUR - ESTER'!$A$1:$J$158</definedName>
  </definedNames>
  <calcPr calcId="181029"/>
  <customWorkbookViews>
    <customWorkbookView name="Filtro 1" guid="{5A9BE03D-05A2-486B-93CC-9E1D106790C4}" maximized="1" windowWidth="0" windowHeight="0" activeSheetId="0"/>
    <customWorkbookView name="nore" guid="{5D10151A-3867-40BF-AA66-4AABD0E21775}" maximized="1" windowWidth="0" windowHeight="0" activeSheetId="0"/>
  </customWorkbookViews>
</workbook>
</file>

<file path=xl/calcChain.xml><?xml version="1.0" encoding="utf-8"?>
<calcChain xmlns="http://schemas.openxmlformats.org/spreadsheetml/2006/main">
  <c r="E5" i="5" l="1"/>
  <c r="D5" i="5"/>
  <c r="C5" i="5"/>
  <c r="F5" i="5" s="1"/>
  <c r="E4" i="5"/>
  <c r="D4" i="5"/>
  <c r="C4" i="5"/>
  <c r="F4" i="5" s="1"/>
  <c r="E3" i="5"/>
  <c r="D3" i="5"/>
  <c r="C3" i="5"/>
  <c r="F3" i="5" s="1"/>
  <c r="Q150" i="4"/>
  <c r="K150" i="4"/>
  <c r="Q149" i="4"/>
  <c r="K149" i="4"/>
  <c r="Q148" i="4"/>
  <c r="K148" i="4"/>
  <c r="Q147" i="4"/>
  <c r="K147" i="4"/>
  <c r="Q146" i="4"/>
  <c r="K146" i="4"/>
  <c r="Q145" i="4"/>
  <c r="K145" i="4"/>
  <c r="Q144" i="4"/>
  <c r="K144" i="4"/>
  <c r="Q143" i="4"/>
  <c r="K143" i="4"/>
  <c r="Q142" i="4"/>
  <c r="K142" i="4"/>
  <c r="Q141" i="4"/>
  <c r="K141" i="4"/>
  <c r="Q140" i="4"/>
  <c r="K140" i="4"/>
  <c r="Q139" i="4"/>
  <c r="K139" i="4"/>
  <c r="Q138" i="4"/>
  <c r="K138" i="4"/>
  <c r="Q137" i="4"/>
  <c r="K137" i="4"/>
  <c r="Q136" i="4"/>
  <c r="K136" i="4"/>
  <c r="Q135" i="4"/>
  <c r="K135" i="4"/>
  <c r="Q134" i="4"/>
  <c r="K134" i="4"/>
  <c r="Q133" i="4"/>
  <c r="K133" i="4"/>
  <c r="Q132" i="4"/>
  <c r="K132" i="4"/>
  <c r="Q131" i="4"/>
  <c r="K131" i="4"/>
  <c r="Q130" i="4"/>
  <c r="K130" i="4"/>
  <c r="Q129" i="4"/>
  <c r="K129" i="4"/>
  <c r="Q128" i="4"/>
  <c r="K128" i="4"/>
  <c r="Q127" i="4"/>
  <c r="K127" i="4"/>
  <c r="Q126" i="4"/>
  <c r="K126" i="4"/>
  <c r="Q125" i="4"/>
  <c r="K125" i="4"/>
  <c r="Q124" i="4"/>
  <c r="K124" i="4"/>
  <c r="Q123" i="4"/>
  <c r="K123" i="4"/>
  <c r="Q122" i="4"/>
  <c r="K122" i="4"/>
  <c r="Q121" i="4"/>
  <c r="K121" i="4"/>
  <c r="Q120" i="4"/>
  <c r="K120" i="4"/>
  <c r="Q119" i="4"/>
  <c r="K119" i="4"/>
  <c r="Q118" i="4"/>
  <c r="K118" i="4"/>
  <c r="Q117" i="4"/>
  <c r="K117" i="4"/>
  <c r="Q116" i="4"/>
  <c r="K116" i="4"/>
  <c r="Q115" i="4"/>
  <c r="K115" i="4"/>
  <c r="Q114" i="4"/>
  <c r="K114" i="4"/>
  <c r="Q113" i="4"/>
  <c r="K113" i="4"/>
  <c r="Q112" i="4"/>
  <c r="K112" i="4"/>
  <c r="Q111" i="4"/>
  <c r="K111" i="4"/>
  <c r="Q110" i="4"/>
  <c r="K110" i="4"/>
  <c r="Q109" i="4"/>
  <c r="K109" i="4"/>
  <c r="Q108" i="4"/>
  <c r="K108" i="4"/>
  <c r="Q107" i="4"/>
  <c r="K107" i="4"/>
  <c r="Q106" i="4"/>
  <c r="K106" i="4"/>
  <c r="Q105" i="4"/>
  <c r="K105" i="4"/>
  <c r="Q104" i="4"/>
  <c r="K104" i="4"/>
  <c r="Q103" i="4"/>
  <c r="K103" i="4"/>
  <c r="Q102" i="4"/>
  <c r="K102" i="4"/>
  <c r="Q101" i="4"/>
  <c r="K101" i="4"/>
  <c r="Q100" i="4"/>
  <c r="K100" i="4"/>
  <c r="Q99" i="4"/>
  <c r="K99" i="4"/>
  <c r="Q98" i="4"/>
  <c r="K98" i="4"/>
  <c r="Q97" i="4"/>
  <c r="K97" i="4"/>
  <c r="Q96" i="4"/>
  <c r="K96" i="4"/>
  <c r="Q95" i="4"/>
  <c r="K95" i="4"/>
  <c r="Q94" i="4"/>
  <c r="K94" i="4"/>
  <c r="Q93" i="4"/>
  <c r="K93" i="4"/>
  <c r="Q92" i="4"/>
  <c r="K92" i="4"/>
  <c r="Q91" i="4"/>
  <c r="K91" i="4"/>
  <c r="Q90" i="4"/>
  <c r="K90" i="4"/>
  <c r="Q89" i="4"/>
  <c r="K89" i="4"/>
  <c r="Q88" i="4"/>
  <c r="K88" i="4"/>
  <c r="Q87" i="4"/>
  <c r="K87" i="4"/>
  <c r="Q86" i="4"/>
  <c r="K86" i="4"/>
  <c r="Q85" i="4"/>
  <c r="K85" i="4"/>
  <c r="Q84" i="4"/>
  <c r="K84" i="4"/>
  <c r="Q83" i="4"/>
  <c r="K83" i="4"/>
  <c r="Q82" i="4"/>
  <c r="K82" i="4"/>
  <c r="Q81" i="4"/>
  <c r="K81" i="4"/>
  <c r="Q80" i="4"/>
  <c r="K80" i="4"/>
  <c r="Q79" i="4"/>
  <c r="K79" i="4"/>
  <c r="Q78" i="4"/>
  <c r="K78" i="4"/>
  <c r="Q77" i="4"/>
  <c r="K77" i="4"/>
  <c r="Q76" i="4"/>
  <c r="K76" i="4"/>
  <c r="Q75" i="4"/>
  <c r="K75" i="4"/>
  <c r="Q74" i="4"/>
  <c r="K74" i="4"/>
  <c r="Q73" i="4"/>
  <c r="K73" i="4"/>
  <c r="Q72" i="4"/>
  <c r="K72" i="4"/>
  <c r="Q71" i="4"/>
  <c r="K71" i="4"/>
  <c r="Q70" i="4"/>
  <c r="K70" i="4"/>
  <c r="Q69" i="4"/>
  <c r="K69" i="4"/>
  <c r="Q68" i="4"/>
  <c r="K68" i="4"/>
  <c r="Q67" i="4"/>
  <c r="K67" i="4"/>
  <c r="Q66" i="4"/>
  <c r="K66" i="4"/>
  <c r="Q65" i="4"/>
  <c r="K65" i="4"/>
  <c r="Q64" i="4"/>
  <c r="K64" i="4"/>
  <c r="Q63" i="4"/>
  <c r="K63" i="4"/>
  <c r="Q62" i="4"/>
  <c r="K62" i="4"/>
  <c r="Q61" i="4"/>
  <c r="K61" i="4"/>
  <c r="Q60" i="4"/>
  <c r="K60" i="4"/>
  <c r="Q59" i="4"/>
  <c r="K59" i="4"/>
  <c r="Q58" i="4"/>
  <c r="K58" i="4"/>
  <c r="Q57" i="4"/>
  <c r="K57" i="4"/>
  <c r="Q56" i="4"/>
  <c r="K56" i="4"/>
  <c r="Q55" i="4"/>
  <c r="K55" i="4"/>
  <c r="Q54" i="4"/>
  <c r="K54" i="4"/>
  <c r="Q53" i="4"/>
  <c r="K53" i="4"/>
  <c r="Q52" i="4"/>
  <c r="K52" i="4"/>
  <c r="Q51" i="4"/>
  <c r="K51" i="4"/>
  <c r="Q50" i="4"/>
  <c r="K50" i="4"/>
  <c r="Q49" i="4"/>
  <c r="K49" i="4"/>
  <c r="Q48" i="4"/>
  <c r="K48" i="4"/>
  <c r="Q47" i="4"/>
  <c r="K47" i="4"/>
  <c r="Q46" i="4"/>
  <c r="K46" i="4"/>
  <c r="Q45" i="4"/>
  <c r="K45" i="4"/>
  <c r="Q44" i="4"/>
  <c r="K44" i="4"/>
  <c r="Q43" i="4"/>
  <c r="K43" i="4"/>
  <c r="Q42" i="4"/>
  <c r="K42" i="4"/>
  <c r="Q41" i="4"/>
  <c r="K41" i="4"/>
  <c r="Q40" i="4"/>
  <c r="K40" i="4"/>
  <c r="Q39" i="4"/>
  <c r="K39" i="4"/>
  <c r="Q38" i="4"/>
  <c r="K38" i="4"/>
  <c r="Q37" i="4"/>
  <c r="K37" i="4"/>
  <c r="Q36" i="4"/>
  <c r="K36" i="4"/>
  <c r="Q35" i="4"/>
  <c r="K35" i="4"/>
  <c r="Q34" i="4"/>
  <c r="K34" i="4"/>
  <c r="Q33" i="4"/>
  <c r="K33" i="4"/>
  <c r="Q32" i="4"/>
  <c r="K32" i="4"/>
  <c r="Q31" i="4"/>
  <c r="K31" i="4"/>
  <c r="Q30" i="4"/>
  <c r="K30" i="4"/>
  <c r="Q29" i="4"/>
  <c r="K29" i="4"/>
  <c r="Q28" i="4"/>
  <c r="K28" i="4"/>
  <c r="Q27" i="4"/>
  <c r="K27" i="4"/>
  <c r="Q26" i="4"/>
  <c r="K26" i="4"/>
  <c r="Q25" i="4"/>
  <c r="K25" i="4"/>
  <c r="Q24" i="4"/>
  <c r="K24" i="4"/>
  <c r="Q23" i="4"/>
  <c r="K23" i="4"/>
  <c r="Q22" i="4"/>
  <c r="K22" i="4"/>
  <c r="Q21" i="4"/>
  <c r="K21" i="4"/>
  <c r="Q20" i="4"/>
  <c r="K20" i="4"/>
  <c r="Q19" i="4"/>
  <c r="K19" i="4"/>
  <c r="Q18" i="4"/>
  <c r="K18" i="4"/>
  <c r="Q17" i="4"/>
  <c r="K17" i="4"/>
  <c r="Q16" i="4"/>
  <c r="K16" i="4"/>
  <c r="Q15" i="4"/>
  <c r="K15" i="4"/>
  <c r="Q14" i="4"/>
  <c r="K14" i="4"/>
  <c r="Q13" i="4"/>
  <c r="K13" i="4"/>
  <c r="Q12" i="4"/>
  <c r="K12" i="4"/>
  <c r="Q11" i="4"/>
  <c r="K11" i="4"/>
  <c r="Q10" i="4"/>
  <c r="K10" i="4"/>
  <c r="Q9" i="4"/>
  <c r="K9" i="4"/>
  <c r="Q8" i="4"/>
  <c r="K8" i="4"/>
  <c r="Q7" i="4"/>
  <c r="K7" i="4"/>
  <c r="Q6" i="4"/>
  <c r="K6" i="4"/>
  <c r="Q5" i="4"/>
  <c r="K5" i="4"/>
  <c r="Q4" i="4"/>
  <c r="K4" i="4"/>
  <c r="Q3" i="4"/>
  <c r="K3" i="4"/>
  <c r="Q2" i="4"/>
  <c r="K2" i="4"/>
  <c r="Q147" i="3"/>
  <c r="K147" i="3"/>
  <c r="Q146" i="3"/>
  <c r="K146" i="3"/>
  <c r="Q145" i="3"/>
  <c r="K145" i="3"/>
  <c r="Q144" i="3"/>
  <c r="K144" i="3"/>
  <c r="Q143" i="3"/>
  <c r="K143" i="3"/>
  <c r="Q142" i="3"/>
  <c r="K142" i="3"/>
  <c r="Q141" i="3"/>
  <c r="K141" i="3"/>
  <c r="Q140" i="3"/>
  <c r="K140" i="3"/>
  <c r="Q139" i="3"/>
  <c r="K139" i="3"/>
  <c r="Q138" i="3"/>
  <c r="K138" i="3"/>
  <c r="Q137" i="3"/>
  <c r="K137" i="3"/>
  <c r="Q136" i="3"/>
  <c r="K136" i="3"/>
  <c r="Q135" i="3"/>
  <c r="K135" i="3"/>
  <c r="Q134" i="3"/>
  <c r="K134" i="3"/>
  <c r="Q133" i="3"/>
  <c r="K133" i="3"/>
  <c r="Q132" i="3"/>
  <c r="K132" i="3"/>
  <c r="Q131" i="3"/>
  <c r="K131" i="3"/>
  <c r="Q130" i="3"/>
  <c r="K130" i="3"/>
  <c r="Q129" i="3"/>
  <c r="K129" i="3"/>
  <c r="Q128" i="3"/>
  <c r="K128" i="3"/>
  <c r="Q127" i="3"/>
  <c r="K127" i="3"/>
  <c r="Q126" i="3"/>
  <c r="K126" i="3"/>
  <c r="Q125" i="3"/>
  <c r="K125" i="3"/>
  <c r="Q124" i="3"/>
  <c r="K124" i="3"/>
  <c r="Q123" i="3"/>
  <c r="K123" i="3"/>
  <c r="Q122" i="3"/>
  <c r="K122" i="3"/>
  <c r="Q121" i="3"/>
  <c r="K121" i="3"/>
  <c r="Q120" i="3"/>
  <c r="K120" i="3"/>
  <c r="Q119" i="3"/>
  <c r="K119" i="3"/>
  <c r="Q118" i="3"/>
  <c r="K118" i="3"/>
  <c r="Q117" i="3"/>
  <c r="K117" i="3"/>
  <c r="Q116" i="3"/>
  <c r="K116" i="3"/>
  <c r="Q115" i="3"/>
  <c r="K115" i="3"/>
  <c r="Q114" i="3"/>
  <c r="K114" i="3"/>
  <c r="Q113" i="3"/>
  <c r="K113" i="3"/>
  <c r="Q112" i="3"/>
  <c r="K112" i="3"/>
  <c r="Q111" i="3"/>
  <c r="K111" i="3"/>
  <c r="Q110" i="3"/>
  <c r="K110" i="3"/>
  <c r="Q109" i="3"/>
  <c r="K109" i="3"/>
  <c r="Q108" i="3"/>
  <c r="K108" i="3"/>
  <c r="Q107" i="3"/>
  <c r="K107" i="3"/>
  <c r="Q106" i="3"/>
  <c r="K106" i="3"/>
  <c r="Q105" i="3"/>
  <c r="K105" i="3"/>
  <c r="Q104" i="3"/>
  <c r="K104" i="3"/>
  <c r="Q103" i="3"/>
  <c r="K103" i="3"/>
  <c r="Q102" i="3"/>
  <c r="K102" i="3"/>
  <c r="Q101" i="3"/>
  <c r="K101" i="3"/>
  <c r="Q100" i="3"/>
  <c r="K100" i="3"/>
  <c r="Q99" i="3"/>
  <c r="K99" i="3"/>
  <c r="Q98" i="3"/>
  <c r="K98" i="3"/>
  <c r="Q97" i="3"/>
  <c r="K97" i="3"/>
  <c r="Q96" i="3"/>
  <c r="K96" i="3"/>
  <c r="Q95" i="3"/>
  <c r="K95" i="3"/>
  <c r="Q94" i="3"/>
  <c r="K94" i="3"/>
  <c r="Q93" i="3"/>
  <c r="K93" i="3"/>
  <c r="Q92" i="3"/>
  <c r="K92" i="3"/>
  <c r="Q91" i="3"/>
  <c r="K91" i="3"/>
  <c r="Q90" i="3"/>
  <c r="K90" i="3"/>
  <c r="Q89" i="3"/>
  <c r="K89" i="3"/>
  <c r="Q88" i="3"/>
  <c r="K88" i="3"/>
  <c r="Q87" i="3"/>
  <c r="K87" i="3"/>
  <c r="Q86" i="3"/>
  <c r="K86" i="3"/>
  <c r="Q85" i="3"/>
  <c r="K85" i="3"/>
  <c r="Q84" i="3"/>
  <c r="K84" i="3"/>
  <c r="Q83" i="3"/>
  <c r="K83" i="3"/>
  <c r="Q82" i="3"/>
  <c r="K82" i="3"/>
  <c r="Q81" i="3"/>
  <c r="K81" i="3"/>
  <c r="Q80" i="3"/>
  <c r="K80" i="3"/>
  <c r="Q79" i="3"/>
  <c r="K79" i="3"/>
  <c r="Q78" i="3"/>
  <c r="K78" i="3"/>
  <c r="Q77" i="3"/>
  <c r="K77" i="3"/>
  <c r="Q76" i="3"/>
  <c r="K76" i="3"/>
  <c r="Q75" i="3"/>
  <c r="K75" i="3"/>
  <c r="Q74" i="3"/>
  <c r="K74" i="3"/>
  <c r="Q73" i="3"/>
  <c r="K73" i="3"/>
  <c r="Q72" i="3"/>
  <c r="K72" i="3"/>
  <c r="Q71" i="3"/>
  <c r="K71" i="3"/>
  <c r="Q70" i="3"/>
  <c r="K70" i="3"/>
  <c r="Q69" i="3"/>
  <c r="K69" i="3"/>
  <c r="Q68" i="3"/>
  <c r="K68" i="3"/>
  <c r="Q67" i="3"/>
  <c r="K67" i="3"/>
  <c r="Q66" i="3"/>
  <c r="K66" i="3"/>
  <c r="Q65" i="3"/>
  <c r="K65" i="3"/>
  <c r="Q64" i="3"/>
  <c r="K64" i="3"/>
  <c r="Q63" i="3"/>
  <c r="K63" i="3"/>
  <c r="Q62" i="3"/>
  <c r="K62" i="3"/>
  <c r="Q61" i="3"/>
  <c r="K61" i="3"/>
  <c r="Q60" i="3"/>
  <c r="K60" i="3"/>
  <c r="Q59" i="3"/>
  <c r="K59" i="3"/>
  <c r="Q58" i="3"/>
  <c r="K58" i="3"/>
  <c r="Q57" i="3"/>
  <c r="K57" i="3"/>
  <c r="Q56" i="3"/>
  <c r="K56" i="3"/>
  <c r="Q55" i="3"/>
  <c r="K55" i="3"/>
  <c r="Q54" i="3"/>
  <c r="K54" i="3"/>
  <c r="Q53" i="3"/>
  <c r="K53" i="3"/>
  <c r="Q52" i="3"/>
  <c r="K52" i="3"/>
  <c r="Q51" i="3"/>
  <c r="K51" i="3"/>
  <c r="Q50" i="3"/>
  <c r="K50" i="3"/>
  <c r="Q49" i="3"/>
  <c r="K49" i="3"/>
  <c r="Q48" i="3"/>
  <c r="K48" i="3"/>
  <c r="Q47" i="3"/>
  <c r="K47" i="3"/>
  <c r="Q46" i="3"/>
  <c r="K46" i="3"/>
  <c r="Q45" i="3"/>
  <c r="K45" i="3"/>
  <c r="Q44" i="3"/>
  <c r="K44" i="3"/>
  <c r="Q43" i="3"/>
  <c r="K43" i="3"/>
  <c r="Q42" i="3"/>
  <c r="K42" i="3"/>
  <c r="Q41" i="3"/>
  <c r="K41" i="3"/>
  <c r="Q40" i="3"/>
  <c r="K40" i="3"/>
  <c r="Q39" i="3"/>
  <c r="K39" i="3"/>
  <c r="Q38" i="3"/>
  <c r="K38" i="3"/>
  <c r="Q37" i="3"/>
  <c r="K37" i="3"/>
  <c r="Q36" i="3"/>
  <c r="K36" i="3"/>
  <c r="Q35" i="3"/>
  <c r="K35" i="3"/>
  <c r="Q34" i="3"/>
  <c r="K34" i="3"/>
  <c r="Q33" i="3"/>
  <c r="K33" i="3"/>
  <c r="Q32" i="3"/>
  <c r="K32" i="3"/>
  <c r="Q31" i="3"/>
  <c r="K31" i="3"/>
  <c r="Q30" i="3"/>
  <c r="K30" i="3"/>
  <c r="Q29" i="3"/>
  <c r="K29" i="3"/>
  <c r="Q28" i="3"/>
  <c r="K28" i="3"/>
  <c r="Q27" i="3"/>
  <c r="K27" i="3"/>
  <c r="Q26" i="3"/>
  <c r="K26" i="3"/>
  <c r="Q25" i="3"/>
  <c r="K25" i="3"/>
  <c r="Q24" i="3"/>
  <c r="K24" i="3"/>
  <c r="Q23" i="3"/>
  <c r="K23" i="3"/>
  <c r="Q22" i="3"/>
  <c r="K22" i="3"/>
  <c r="Q21" i="3"/>
  <c r="K21" i="3"/>
  <c r="Q20" i="3"/>
  <c r="K20" i="3"/>
  <c r="Q19" i="3"/>
  <c r="K19" i="3"/>
  <c r="Q18" i="3"/>
  <c r="K18" i="3"/>
  <c r="Q17" i="3"/>
  <c r="K17" i="3"/>
  <c r="Q16" i="3"/>
  <c r="K16" i="3"/>
  <c r="Q15" i="3"/>
  <c r="K15" i="3"/>
  <c r="Q14" i="3"/>
  <c r="K14" i="3"/>
  <c r="Q13" i="3"/>
  <c r="K13" i="3"/>
  <c r="Q12" i="3"/>
  <c r="K12" i="3"/>
  <c r="Q11" i="3"/>
  <c r="K11" i="3"/>
  <c r="Q10" i="3"/>
  <c r="K10" i="3"/>
  <c r="Q9" i="3"/>
  <c r="K9" i="3"/>
  <c r="Q8" i="3"/>
  <c r="K8" i="3"/>
  <c r="Q7" i="3"/>
  <c r="K7" i="3"/>
  <c r="Q6" i="3"/>
  <c r="K6" i="3"/>
  <c r="Q5" i="3"/>
  <c r="K5" i="3"/>
  <c r="Q4" i="3"/>
  <c r="K4" i="3"/>
  <c r="Q3" i="3"/>
  <c r="K3" i="3"/>
  <c r="Q2" i="3"/>
  <c r="K2" i="3"/>
  <c r="Q130" i="2"/>
  <c r="K130" i="2"/>
  <c r="Q129" i="2"/>
  <c r="K129" i="2"/>
  <c r="Q128" i="2"/>
  <c r="K128" i="2"/>
  <c r="Q127" i="2"/>
  <c r="K127" i="2"/>
  <c r="Q126" i="2"/>
  <c r="K126" i="2"/>
  <c r="Q125" i="2"/>
  <c r="K125" i="2"/>
  <c r="Q124" i="2"/>
  <c r="K124" i="2"/>
  <c r="Q123" i="2"/>
  <c r="K123" i="2"/>
  <c r="Q122" i="2"/>
  <c r="K122" i="2"/>
  <c r="Q121" i="2"/>
  <c r="K121" i="2"/>
  <c r="Q120" i="2"/>
  <c r="K120" i="2"/>
  <c r="Q119" i="2"/>
  <c r="K119" i="2"/>
  <c r="Q118" i="2"/>
  <c r="K118" i="2"/>
  <c r="Q117" i="2"/>
  <c r="K117" i="2"/>
  <c r="Q116" i="2"/>
  <c r="K116" i="2"/>
  <c r="Q115" i="2"/>
  <c r="K115" i="2"/>
  <c r="Q114" i="2"/>
  <c r="K114" i="2"/>
  <c r="Q113" i="2"/>
  <c r="K113" i="2"/>
  <c r="Q112" i="2"/>
  <c r="K112" i="2"/>
  <c r="Q111" i="2"/>
  <c r="K111" i="2"/>
  <c r="Q110" i="2"/>
  <c r="K110" i="2"/>
  <c r="Q109" i="2"/>
  <c r="K109" i="2"/>
  <c r="Q108" i="2"/>
  <c r="K108" i="2"/>
  <c r="Q107" i="2"/>
  <c r="K107" i="2"/>
  <c r="Q106" i="2"/>
  <c r="K106" i="2"/>
  <c r="Q105" i="2"/>
  <c r="K105" i="2"/>
  <c r="Q104" i="2"/>
  <c r="K104" i="2"/>
  <c r="Q103" i="2"/>
  <c r="K103" i="2"/>
  <c r="Q102" i="2"/>
  <c r="K102" i="2"/>
  <c r="Q101" i="2"/>
  <c r="K101" i="2"/>
  <c r="Q100" i="2"/>
  <c r="K100" i="2"/>
  <c r="Q99" i="2"/>
  <c r="K99" i="2"/>
  <c r="Q98" i="2"/>
  <c r="K98" i="2"/>
  <c r="Q97" i="2"/>
  <c r="K97" i="2"/>
  <c r="Q96" i="2"/>
  <c r="K96" i="2"/>
  <c r="Q95" i="2"/>
  <c r="K95" i="2"/>
  <c r="Q94" i="2"/>
  <c r="K94" i="2"/>
  <c r="Q93" i="2"/>
  <c r="K93" i="2"/>
  <c r="Q92" i="2"/>
  <c r="K92" i="2"/>
  <c r="Q91" i="2"/>
  <c r="K91" i="2"/>
  <c r="Q90" i="2"/>
  <c r="K90" i="2"/>
  <c r="Q89" i="2"/>
  <c r="K89" i="2"/>
  <c r="Q88" i="2"/>
  <c r="K88" i="2"/>
  <c r="Q87" i="2"/>
  <c r="K87" i="2"/>
  <c r="Q86" i="2"/>
  <c r="K86" i="2"/>
  <c r="Q85" i="2"/>
  <c r="K85" i="2"/>
  <c r="Q84" i="2"/>
  <c r="K84" i="2"/>
  <c r="Q83" i="2"/>
  <c r="K83" i="2"/>
  <c r="Q82" i="2"/>
  <c r="K82" i="2"/>
  <c r="Q81" i="2"/>
  <c r="K81" i="2"/>
  <c r="Q80" i="2"/>
  <c r="K80" i="2"/>
  <c r="Q79" i="2"/>
  <c r="K79" i="2"/>
  <c r="Q78" i="2"/>
  <c r="K78" i="2"/>
  <c r="Q77" i="2"/>
  <c r="K77" i="2"/>
  <c r="Q76" i="2"/>
  <c r="K76" i="2"/>
  <c r="Q75" i="2"/>
  <c r="K75" i="2"/>
  <c r="Q74" i="2"/>
  <c r="K74" i="2"/>
  <c r="Q73" i="2"/>
  <c r="K73" i="2"/>
  <c r="Q72" i="2"/>
  <c r="K72" i="2"/>
  <c r="Q71" i="2"/>
  <c r="K71" i="2"/>
  <c r="Q70" i="2"/>
  <c r="K70" i="2"/>
  <c r="Q69" i="2"/>
  <c r="K69" i="2"/>
  <c r="Q68" i="2"/>
  <c r="K68" i="2"/>
  <c r="Q67" i="2"/>
  <c r="K67" i="2"/>
  <c r="Q66" i="2"/>
  <c r="K66" i="2"/>
  <c r="Q65" i="2"/>
  <c r="K65" i="2"/>
  <c r="Q64" i="2"/>
  <c r="K64" i="2"/>
  <c r="Q63" i="2"/>
  <c r="K63" i="2"/>
  <c r="Q62" i="2"/>
  <c r="K62" i="2"/>
  <c r="Q61" i="2"/>
  <c r="K61" i="2"/>
  <c r="Q60" i="2"/>
  <c r="K60" i="2"/>
  <c r="Q59" i="2"/>
  <c r="K59" i="2"/>
  <c r="Q58" i="2"/>
  <c r="K58" i="2"/>
  <c r="Q57" i="2"/>
  <c r="K57" i="2"/>
  <c r="Q56" i="2"/>
  <c r="K56" i="2"/>
  <c r="Q55" i="2"/>
  <c r="K55" i="2"/>
  <c r="Q54" i="2"/>
  <c r="K54" i="2"/>
  <c r="Q53" i="2"/>
  <c r="K53" i="2"/>
  <c r="Q52" i="2"/>
  <c r="K52" i="2"/>
  <c r="Q51" i="2"/>
  <c r="K51" i="2"/>
  <c r="Q50" i="2"/>
  <c r="K50" i="2"/>
  <c r="Q49" i="2"/>
  <c r="K49" i="2"/>
  <c r="Q48" i="2"/>
  <c r="K48" i="2"/>
  <c r="Q47" i="2"/>
  <c r="K47" i="2"/>
  <c r="Q46" i="2"/>
  <c r="K46" i="2"/>
  <c r="Q45" i="2"/>
  <c r="K45" i="2"/>
  <c r="Q44" i="2"/>
  <c r="K44" i="2"/>
  <c r="Q43" i="2"/>
  <c r="K43" i="2"/>
  <c r="Q42" i="2"/>
  <c r="K42" i="2"/>
  <c r="Q41" i="2"/>
  <c r="K41" i="2"/>
  <c r="Q40" i="2"/>
  <c r="K40" i="2"/>
  <c r="Q39" i="2"/>
  <c r="K39" i="2"/>
  <c r="Q38" i="2"/>
  <c r="K38" i="2"/>
  <c r="Q37" i="2"/>
  <c r="K37" i="2"/>
  <c r="Q36" i="2"/>
  <c r="K36" i="2"/>
  <c r="Q35" i="2"/>
  <c r="K35" i="2"/>
  <c r="Q34" i="2"/>
  <c r="K34" i="2"/>
  <c r="Q33" i="2"/>
  <c r="K33" i="2"/>
  <c r="Q32" i="2"/>
  <c r="K32" i="2"/>
  <c r="Q31" i="2"/>
  <c r="K31" i="2"/>
  <c r="Q30" i="2"/>
  <c r="K30" i="2"/>
  <c r="Q29" i="2"/>
  <c r="K29" i="2"/>
  <c r="Q28" i="2"/>
  <c r="K28" i="2"/>
  <c r="Q27" i="2"/>
  <c r="K27" i="2"/>
  <c r="Q26" i="2"/>
  <c r="K26" i="2"/>
  <c r="Q25" i="2"/>
  <c r="K25" i="2"/>
  <c r="Q24" i="2"/>
  <c r="K24" i="2"/>
  <c r="Q23" i="2"/>
  <c r="K23" i="2"/>
  <c r="Q22" i="2"/>
  <c r="K22" i="2"/>
  <c r="Q21" i="2"/>
  <c r="K21" i="2"/>
  <c r="Q20" i="2"/>
  <c r="K20" i="2"/>
  <c r="Q19" i="2"/>
  <c r="K19" i="2"/>
  <c r="Q18" i="2"/>
  <c r="K18" i="2"/>
  <c r="Q17" i="2"/>
  <c r="K17" i="2"/>
  <c r="Q16" i="2"/>
  <c r="K16" i="2"/>
  <c r="Q15" i="2"/>
  <c r="K15" i="2"/>
  <c r="Q14" i="2"/>
  <c r="K14" i="2"/>
  <c r="Q13" i="2"/>
  <c r="K13" i="2"/>
  <c r="Q12" i="2"/>
  <c r="K12" i="2"/>
  <c r="Q11" i="2"/>
  <c r="K11" i="2"/>
  <c r="Q10" i="2"/>
  <c r="K10" i="2"/>
  <c r="Q9" i="2"/>
  <c r="K9" i="2"/>
  <c r="Q8" i="2"/>
  <c r="K8" i="2"/>
  <c r="Q7" i="2"/>
  <c r="K7" i="2"/>
  <c r="Q6" i="2"/>
  <c r="K6" i="2"/>
  <c r="Q5" i="2"/>
  <c r="K5" i="2"/>
  <c r="Q4" i="2"/>
  <c r="K4" i="2"/>
  <c r="Q3" i="2"/>
  <c r="K3" i="2"/>
  <c r="Q2" i="2"/>
  <c r="K2" i="2"/>
  <c r="E115" i="6" s="1" a="1"/>
  <c r="E115" i="6" s="1"/>
  <c r="N4" i="6" l="1" a="1"/>
  <c r="N4" i="6" s="1"/>
  <c r="H5" i="6" a="1"/>
  <c r="H5" i="6" s="1"/>
  <c r="B6" i="6" a="1"/>
  <c r="B6" i="6" s="1"/>
  <c r="J6" i="6" a="1"/>
  <c r="J6" i="6" s="1"/>
  <c r="D7" i="6" a="1"/>
  <c r="D7" i="6" s="1"/>
  <c r="L7" i="6" a="1"/>
  <c r="L7" i="6" s="1"/>
  <c r="F8" i="6" a="1"/>
  <c r="F8" i="6" s="1"/>
  <c r="N8" i="6" a="1"/>
  <c r="N8" i="6" s="1"/>
  <c r="H9" i="6" a="1"/>
  <c r="H9" i="6" s="1"/>
  <c r="B10" i="6" a="1"/>
  <c r="B10" i="6" s="1"/>
  <c r="J10" i="6" a="1"/>
  <c r="J10" i="6" s="1"/>
  <c r="D11" i="6" a="1"/>
  <c r="D11" i="6" s="1"/>
  <c r="L11" i="6" a="1"/>
  <c r="L11" i="6" s="1"/>
  <c r="F12" i="6" a="1"/>
  <c r="F12" i="6" s="1"/>
  <c r="N12" i="6" a="1"/>
  <c r="N12" i="6" s="1"/>
  <c r="H13" i="6" a="1"/>
  <c r="H13" i="6" s="1"/>
  <c r="B14" i="6" a="1"/>
  <c r="B14" i="6" s="1"/>
  <c r="J14" i="6" a="1"/>
  <c r="J14" i="6" s="1"/>
  <c r="D15" i="6" a="1"/>
  <c r="D15" i="6" s="1"/>
  <c r="L15" i="6" a="1"/>
  <c r="L15" i="6" s="1"/>
  <c r="F16" i="6" a="1"/>
  <c r="F16" i="6" s="1"/>
  <c r="N16" i="6" a="1"/>
  <c r="N16" i="6" s="1"/>
  <c r="H17" i="6" a="1"/>
  <c r="H17" i="6" s="1"/>
  <c r="B18" i="6" a="1"/>
  <c r="B18" i="6" s="1"/>
  <c r="J18" i="6" a="1"/>
  <c r="J18" i="6" s="1"/>
  <c r="D19" i="6" a="1"/>
  <c r="D19" i="6" s="1"/>
  <c r="L19" i="6" a="1"/>
  <c r="L19" i="6" s="1"/>
  <c r="F20" i="6" a="1"/>
  <c r="F20" i="6" s="1"/>
  <c r="N20" i="6" a="1"/>
  <c r="N20" i="6" s="1"/>
  <c r="H21" i="6" a="1"/>
  <c r="H21" i="6" s="1"/>
  <c r="B22" i="6" a="1"/>
  <c r="B22" i="6" s="1"/>
  <c r="J22" i="6" a="1"/>
  <c r="J22" i="6" s="1"/>
  <c r="D23" i="6" a="1"/>
  <c r="D23" i="6" s="1"/>
  <c r="L23" i="6" a="1"/>
  <c r="L23" i="6" s="1"/>
  <c r="F24" i="6" a="1"/>
  <c r="F24" i="6" s="1"/>
  <c r="N24" i="6" a="1"/>
  <c r="N24" i="6" s="1"/>
  <c r="H25" i="6" a="1"/>
  <c r="H25" i="6" s="1"/>
  <c r="B26" i="6" a="1"/>
  <c r="B26" i="6" s="1"/>
  <c r="J26" i="6" a="1"/>
  <c r="J26" i="6" s="1"/>
  <c r="D27" i="6" a="1"/>
  <c r="D27" i="6" s="1"/>
  <c r="L27" i="6" a="1"/>
  <c r="L27" i="6" s="1"/>
  <c r="F28" i="6" a="1"/>
  <c r="F28" i="6" s="1"/>
  <c r="N28" i="6" a="1"/>
  <c r="N28" i="6" s="1"/>
  <c r="H29" i="6" a="1"/>
  <c r="H29" i="6" s="1"/>
  <c r="B30" i="6" a="1"/>
  <c r="B30" i="6" s="1"/>
  <c r="J30" i="6" a="1"/>
  <c r="J30" i="6" s="1"/>
  <c r="D31" i="6" a="1"/>
  <c r="D31" i="6" s="1"/>
  <c r="L31" i="6" a="1"/>
  <c r="L31" i="6" s="1"/>
  <c r="F32" i="6" a="1"/>
  <c r="F32" i="6" s="1"/>
  <c r="N32" i="6" a="1"/>
  <c r="N32" i="6" s="1"/>
  <c r="H33" i="6" a="1"/>
  <c r="H33" i="6" s="1"/>
  <c r="B34" i="6" a="1"/>
  <c r="B34" i="6" s="1"/>
  <c r="J34" i="6" a="1"/>
  <c r="J34" i="6" s="1"/>
  <c r="D35" i="6" a="1"/>
  <c r="D35" i="6" s="1"/>
  <c r="L35" i="6" a="1"/>
  <c r="L35" i="6" s="1"/>
  <c r="F36" i="6" a="1"/>
  <c r="F36" i="6" s="1"/>
  <c r="N36" i="6" a="1"/>
  <c r="N36" i="6" s="1"/>
  <c r="H37" i="6" a="1"/>
  <c r="H37" i="6" s="1"/>
  <c r="B38" i="6" a="1"/>
  <c r="B38" i="6" s="1"/>
  <c r="J38" i="6" a="1"/>
  <c r="J38" i="6" s="1"/>
  <c r="D39" i="6" a="1"/>
  <c r="D39" i="6" s="1"/>
  <c r="L39" i="6" a="1"/>
  <c r="L39" i="6" s="1"/>
  <c r="F40" i="6" a="1"/>
  <c r="F40" i="6" s="1"/>
  <c r="N40" i="6" a="1"/>
  <c r="N40" i="6" s="1"/>
  <c r="H41" i="6" a="1"/>
  <c r="H41" i="6" s="1"/>
  <c r="B42" i="6" a="1"/>
  <c r="B42" i="6" s="1"/>
  <c r="J42" i="6" a="1"/>
  <c r="J42" i="6" s="1"/>
  <c r="D43" i="6" a="1"/>
  <c r="D43" i="6" s="1"/>
  <c r="L43" i="6" a="1"/>
  <c r="L43" i="6" s="1"/>
  <c r="F44" i="6" a="1"/>
  <c r="F44" i="6" s="1"/>
  <c r="N44" i="6" a="1"/>
  <c r="N44" i="6" s="1"/>
  <c r="H45" i="6" a="1"/>
  <c r="H45" i="6" s="1"/>
  <c r="B46" i="6" a="1"/>
  <c r="B46" i="6" s="1"/>
  <c r="J46" i="6" a="1"/>
  <c r="J46" i="6" s="1"/>
  <c r="D47" i="6" a="1"/>
  <c r="D47" i="6" s="1"/>
  <c r="L47" i="6" a="1"/>
  <c r="L47" i="6" s="1"/>
  <c r="F48" i="6" a="1"/>
  <c r="F48" i="6" s="1"/>
  <c r="N48" i="6" a="1"/>
  <c r="N48" i="6" s="1"/>
  <c r="H49" i="6" a="1"/>
  <c r="H49" i="6" s="1"/>
  <c r="B50" i="6" a="1"/>
  <c r="B50" i="6" s="1"/>
  <c r="J50" i="6" a="1"/>
  <c r="J50" i="6" s="1"/>
  <c r="D51" i="6" a="1"/>
  <c r="D51" i="6" s="1"/>
  <c r="L51" i="6" a="1"/>
  <c r="L51" i="6" s="1"/>
  <c r="F52" i="6" a="1"/>
  <c r="F52" i="6" s="1"/>
  <c r="N52" i="6" a="1"/>
  <c r="N52" i="6" s="1"/>
  <c r="H53" i="6" a="1"/>
  <c r="H53" i="6" s="1"/>
  <c r="B54" i="6" a="1"/>
  <c r="B54" i="6" s="1"/>
  <c r="J54" i="6" a="1"/>
  <c r="J54" i="6" s="1"/>
  <c r="D55" i="6" a="1"/>
  <c r="D55" i="6" s="1"/>
  <c r="L55" i="6" a="1"/>
  <c r="L55" i="6" s="1"/>
  <c r="F56" i="6" a="1"/>
  <c r="F56" i="6" s="1"/>
  <c r="N56" i="6" a="1"/>
  <c r="N56" i="6" s="1"/>
  <c r="H57" i="6" a="1"/>
  <c r="H57" i="6" s="1"/>
  <c r="B58" i="6" a="1"/>
  <c r="B58" i="6" s="1"/>
  <c r="J58" i="6" a="1"/>
  <c r="J58" i="6" s="1"/>
  <c r="D59" i="6" a="1"/>
  <c r="D59" i="6" s="1"/>
  <c r="L59" i="6" a="1"/>
  <c r="L59" i="6" s="1"/>
  <c r="F60" i="6" a="1"/>
  <c r="F60" i="6" s="1"/>
  <c r="N60" i="6" a="1"/>
  <c r="N60" i="6" s="1"/>
  <c r="H61" i="6" a="1"/>
  <c r="H61" i="6" s="1"/>
  <c r="B62" i="6" a="1"/>
  <c r="B62" i="6" s="1"/>
  <c r="J62" i="6" a="1"/>
  <c r="J62" i="6" s="1"/>
  <c r="D63" i="6" a="1"/>
  <c r="D63" i="6" s="1"/>
  <c r="L63" i="6" a="1"/>
  <c r="L63" i="6" s="1"/>
  <c r="F64" i="6" a="1"/>
  <c r="F64" i="6" s="1"/>
  <c r="N64" i="6" a="1"/>
  <c r="N64" i="6" s="1"/>
  <c r="H65" i="6" a="1"/>
  <c r="H65" i="6" s="1"/>
  <c r="B66" i="6" a="1"/>
  <c r="B66" i="6" s="1"/>
  <c r="J66" i="6" a="1"/>
  <c r="J66" i="6" s="1"/>
  <c r="L67" i="6" a="1"/>
  <c r="L67" i="6" s="1"/>
  <c r="B70" i="6" a="1"/>
  <c r="B70" i="6" s="1"/>
  <c r="F72" i="6" a="1"/>
  <c r="F72" i="6" s="1"/>
  <c r="J74" i="6" a="1"/>
  <c r="J74" i="6" s="1"/>
  <c r="N76" i="6" a="1"/>
  <c r="N76" i="6" s="1"/>
  <c r="D79" i="6" a="1"/>
  <c r="D79" i="6" s="1"/>
  <c r="H81" i="6" a="1"/>
  <c r="H81" i="6" s="1"/>
  <c r="O83" i="6" a="1"/>
  <c r="O83" i="6" s="1"/>
  <c r="J87" i="6" a="1"/>
  <c r="J87" i="6" s="1"/>
  <c r="E91" i="6" a="1"/>
  <c r="E91" i="6" s="1"/>
  <c r="J98" i="6" a="1"/>
  <c r="J98" i="6" s="1"/>
  <c r="E102" i="6" a="1"/>
  <c r="E102" i="6" s="1"/>
  <c r="N105" i="6" a="1"/>
  <c r="N105" i="6" s="1"/>
  <c r="J130" i="6" a="1"/>
  <c r="J130" i="6" s="1"/>
  <c r="B130" i="6" a="1"/>
  <c r="B130" i="6" s="1"/>
  <c r="H129" i="6" a="1"/>
  <c r="H129" i="6" s="1"/>
  <c r="N128" i="6" a="1"/>
  <c r="N128" i="6" s="1"/>
  <c r="F128" i="6" a="1"/>
  <c r="F128" i="6" s="1"/>
  <c r="L127" i="6" a="1"/>
  <c r="L127" i="6" s="1"/>
  <c r="D127" i="6" a="1"/>
  <c r="D127" i="6" s="1"/>
  <c r="J126" i="6" a="1"/>
  <c r="J126" i="6" s="1"/>
  <c r="B126" i="6" a="1"/>
  <c r="B126" i="6" s="1"/>
  <c r="H125" i="6" a="1"/>
  <c r="H125" i="6" s="1"/>
  <c r="N124" i="6" a="1"/>
  <c r="N124" i="6" s="1"/>
  <c r="F124" i="6" a="1"/>
  <c r="F124" i="6" s="1"/>
  <c r="L123" i="6" a="1"/>
  <c r="L123" i="6" s="1"/>
  <c r="D123" i="6" a="1"/>
  <c r="D123" i="6" s="1"/>
  <c r="J122" i="6" a="1"/>
  <c r="J122" i="6" s="1"/>
  <c r="B122" i="6" a="1"/>
  <c r="B122" i="6" s="1"/>
  <c r="H121" i="6" a="1"/>
  <c r="H121" i="6" s="1"/>
  <c r="N120" i="6" a="1"/>
  <c r="N120" i="6" s="1"/>
  <c r="F120" i="6" a="1"/>
  <c r="F120" i="6" s="1"/>
  <c r="L119" i="6" a="1"/>
  <c r="L119" i="6" s="1"/>
  <c r="D119" i="6" a="1"/>
  <c r="D119" i="6" s="1"/>
  <c r="J118" i="6" a="1"/>
  <c r="J118" i="6" s="1"/>
  <c r="B118" i="6" a="1"/>
  <c r="B118" i="6" s="1"/>
  <c r="H117" i="6" a="1"/>
  <c r="H117" i="6" s="1"/>
  <c r="N116" i="6" a="1"/>
  <c r="N116" i="6" s="1"/>
  <c r="F116" i="6" a="1"/>
  <c r="F116" i="6" s="1"/>
  <c r="L115" i="6" a="1"/>
  <c r="L115" i="6" s="1"/>
  <c r="D115" i="6" a="1"/>
  <c r="D115" i="6" s="1"/>
  <c r="J114" i="6" a="1"/>
  <c r="J114" i="6" s="1"/>
  <c r="B114" i="6" a="1"/>
  <c r="B114" i="6" s="1"/>
  <c r="H113" i="6" a="1"/>
  <c r="H113" i="6" s="1"/>
  <c r="D113" i="6" a="1"/>
  <c r="D113" i="6" s="1"/>
  <c r="N112" i="6" a="1"/>
  <c r="N112" i="6" s="1"/>
  <c r="J112" i="6" a="1"/>
  <c r="J112" i="6" s="1"/>
  <c r="F112" i="6" a="1"/>
  <c r="F112" i="6" s="1"/>
  <c r="B112" i="6" a="1"/>
  <c r="B112" i="6" s="1"/>
  <c r="L111" i="6" a="1"/>
  <c r="L111" i="6" s="1"/>
  <c r="H111" i="6" a="1"/>
  <c r="H111" i="6" s="1"/>
  <c r="D111" i="6" a="1"/>
  <c r="D111" i="6" s="1"/>
  <c r="N110" i="6" a="1"/>
  <c r="N110" i="6" s="1"/>
  <c r="J110" i="6" a="1"/>
  <c r="J110" i="6" s="1"/>
  <c r="F110" i="6" a="1"/>
  <c r="F110" i="6" s="1"/>
  <c r="B110" i="6" a="1"/>
  <c r="B110" i="6" s="1"/>
  <c r="L109" i="6" a="1"/>
  <c r="L109" i="6" s="1"/>
  <c r="H109" i="6" a="1"/>
  <c r="H109" i="6" s="1"/>
  <c r="D109" i="6" a="1"/>
  <c r="D109" i="6" s="1"/>
  <c r="N108" i="6" a="1"/>
  <c r="N108" i="6" s="1"/>
  <c r="J108" i="6" a="1"/>
  <c r="J108" i="6" s="1"/>
  <c r="I130" i="6" a="1"/>
  <c r="I130" i="6" s="1"/>
  <c r="O129" i="6" a="1"/>
  <c r="O129" i="6" s="1"/>
  <c r="G129" i="6" a="1"/>
  <c r="G129" i="6" s="1"/>
  <c r="M128" i="6" a="1"/>
  <c r="M128" i="6" s="1"/>
  <c r="E128" i="6" a="1"/>
  <c r="E128" i="6" s="1"/>
  <c r="K127" i="6" a="1"/>
  <c r="K127" i="6" s="1"/>
  <c r="C127" i="6" a="1"/>
  <c r="C127" i="6" s="1"/>
  <c r="I126" i="6" a="1"/>
  <c r="I126" i="6" s="1"/>
  <c r="O125" i="6" a="1"/>
  <c r="O125" i="6" s="1"/>
  <c r="G125" i="6" a="1"/>
  <c r="G125" i="6" s="1"/>
  <c r="M124" i="6" a="1"/>
  <c r="M124" i="6" s="1"/>
  <c r="E124" i="6" a="1"/>
  <c r="E124" i="6" s="1"/>
  <c r="K123" i="6" a="1"/>
  <c r="K123" i="6" s="1"/>
  <c r="C123" i="6" a="1"/>
  <c r="C123" i="6" s="1"/>
  <c r="I122" i="6" a="1"/>
  <c r="I122" i="6" s="1"/>
  <c r="O121" i="6" a="1"/>
  <c r="O121" i="6" s="1"/>
  <c r="G121" i="6" a="1"/>
  <c r="G121" i="6" s="1"/>
  <c r="M120" i="6" a="1"/>
  <c r="M120" i="6" s="1"/>
  <c r="E120" i="6" a="1"/>
  <c r="E120" i="6" s="1"/>
  <c r="K119" i="6" a="1"/>
  <c r="K119" i="6" s="1"/>
  <c r="C119" i="6" a="1"/>
  <c r="C119" i="6" s="1"/>
  <c r="I118" i="6" a="1"/>
  <c r="I118" i="6" s="1"/>
  <c r="O117" i="6" a="1"/>
  <c r="O117" i="6" s="1"/>
  <c r="G117" i="6" a="1"/>
  <c r="G117" i="6" s="1"/>
  <c r="M116" i="6" a="1"/>
  <c r="M116" i="6" s="1"/>
  <c r="E116" i="6" a="1"/>
  <c r="E116" i="6" s="1"/>
  <c r="K115" i="6" a="1"/>
  <c r="K115" i="6" s="1"/>
  <c r="C115" i="6" a="1"/>
  <c r="C115" i="6" s="1"/>
  <c r="I114" i="6" a="1"/>
  <c r="I114" i="6" s="1"/>
  <c r="O113" i="6" a="1"/>
  <c r="O113" i="6" s="1"/>
  <c r="H130" i="6" a="1"/>
  <c r="H130" i="6" s="1"/>
  <c r="N129" i="6" a="1"/>
  <c r="N129" i="6" s="1"/>
  <c r="F129" i="6" a="1"/>
  <c r="F129" i="6" s="1"/>
  <c r="L128" i="6" a="1"/>
  <c r="L128" i="6" s="1"/>
  <c r="D128" i="6" a="1"/>
  <c r="D128" i="6" s="1"/>
  <c r="J127" i="6" a="1"/>
  <c r="J127" i="6" s="1"/>
  <c r="B127" i="6" a="1"/>
  <c r="B127" i="6" s="1"/>
  <c r="H126" i="6" a="1"/>
  <c r="H126" i="6" s="1"/>
  <c r="N125" i="6" a="1"/>
  <c r="N125" i="6" s="1"/>
  <c r="F125" i="6" a="1"/>
  <c r="F125" i="6" s="1"/>
  <c r="L124" i="6" a="1"/>
  <c r="L124" i="6" s="1"/>
  <c r="D124" i="6" a="1"/>
  <c r="D124" i="6" s="1"/>
  <c r="J123" i="6" a="1"/>
  <c r="J123" i="6" s="1"/>
  <c r="B123" i="6" a="1"/>
  <c r="B123" i="6" s="1"/>
  <c r="H122" i="6" a="1"/>
  <c r="H122" i="6" s="1"/>
  <c r="N121" i="6" a="1"/>
  <c r="N121" i="6" s="1"/>
  <c r="F121" i="6" a="1"/>
  <c r="F121" i="6" s="1"/>
  <c r="L120" i="6" a="1"/>
  <c r="L120" i="6" s="1"/>
  <c r="D120" i="6" a="1"/>
  <c r="D120" i="6" s="1"/>
  <c r="J119" i="6" a="1"/>
  <c r="J119" i="6" s="1"/>
  <c r="B119" i="6" a="1"/>
  <c r="B119" i="6" s="1"/>
  <c r="H118" i="6" a="1"/>
  <c r="H118" i="6" s="1"/>
  <c r="N117" i="6" a="1"/>
  <c r="N117" i="6" s="1"/>
  <c r="F117" i="6" a="1"/>
  <c r="F117" i="6" s="1"/>
  <c r="L116" i="6" a="1"/>
  <c r="L116" i="6" s="1"/>
  <c r="D116" i="6" a="1"/>
  <c r="D116" i="6" s="1"/>
  <c r="J115" i="6" a="1"/>
  <c r="J115" i="6" s="1"/>
  <c r="B115" i="6" a="1"/>
  <c r="B115" i="6" s="1"/>
  <c r="H114" i="6" a="1"/>
  <c r="H114" i="6" s="1"/>
  <c r="N113" i="6" a="1"/>
  <c r="N113" i="6" s="1"/>
  <c r="G113" i="6" a="1"/>
  <c r="G113" i="6" s="1"/>
  <c r="C113" i="6" a="1"/>
  <c r="C113" i="6" s="1"/>
  <c r="M112" i="6" a="1"/>
  <c r="M112" i="6" s="1"/>
  <c r="I112" i="6" a="1"/>
  <c r="I112" i="6" s="1"/>
  <c r="E112" i="6" a="1"/>
  <c r="E112" i="6" s="1"/>
  <c r="O111" i="6" a="1"/>
  <c r="O111" i="6" s="1"/>
  <c r="K111" i="6" a="1"/>
  <c r="K111" i="6" s="1"/>
  <c r="G111" i="6" a="1"/>
  <c r="G111" i="6" s="1"/>
  <c r="C111" i="6" a="1"/>
  <c r="C111" i="6" s="1"/>
  <c r="M110" i="6" a="1"/>
  <c r="M110" i="6" s="1"/>
  <c r="I110" i="6" a="1"/>
  <c r="I110" i="6" s="1"/>
  <c r="E110" i="6" a="1"/>
  <c r="E110" i="6" s="1"/>
  <c r="O109" i="6" a="1"/>
  <c r="O109" i="6" s="1"/>
  <c r="K109" i="6" a="1"/>
  <c r="K109" i="6" s="1"/>
  <c r="G109" i="6" a="1"/>
  <c r="G109" i="6" s="1"/>
  <c r="C109" i="6" a="1"/>
  <c r="C109" i="6" s="1"/>
  <c r="M108" i="6" a="1"/>
  <c r="M108" i="6" s="1"/>
  <c r="I108" i="6" a="1"/>
  <c r="I108" i="6" s="1"/>
  <c r="O130" i="6" a="1"/>
  <c r="O130" i="6" s="1"/>
  <c r="G130" i="6" a="1"/>
  <c r="G130" i="6" s="1"/>
  <c r="M129" i="6" a="1"/>
  <c r="M129" i="6" s="1"/>
  <c r="E129" i="6" a="1"/>
  <c r="E129" i="6" s="1"/>
  <c r="K128" i="6" a="1"/>
  <c r="K128" i="6" s="1"/>
  <c r="C128" i="6" a="1"/>
  <c r="C128" i="6" s="1"/>
  <c r="I127" i="6" a="1"/>
  <c r="I127" i="6" s="1"/>
  <c r="O126" i="6" a="1"/>
  <c r="O126" i="6" s="1"/>
  <c r="G126" i="6" a="1"/>
  <c r="G126" i="6" s="1"/>
  <c r="M125" i="6" a="1"/>
  <c r="M125" i="6" s="1"/>
  <c r="E125" i="6" a="1"/>
  <c r="E125" i="6" s="1"/>
  <c r="K124" i="6" a="1"/>
  <c r="K124" i="6" s="1"/>
  <c r="C124" i="6" a="1"/>
  <c r="C124" i="6" s="1"/>
  <c r="I123" i="6" a="1"/>
  <c r="I123" i="6" s="1"/>
  <c r="O122" i="6" a="1"/>
  <c r="O122" i="6" s="1"/>
  <c r="G122" i="6" a="1"/>
  <c r="G122" i="6" s="1"/>
  <c r="M121" i="6" a="1"/>
  <c r="M121" i="6" s="1"/>
  <c r="E121" i="6" a="1"/>
  <c r="E121" i="6" s="1"/>
  <c r="K120" i="6" a="1"/>
  <c r="K120" i="6" s="1"/>
  <c r="C120" i="6" a="1"/>
  <c r="C120" i="6" s="1"/>
  <c r="I119" i="6" a="1"/>
  <c r="I119" i="6" s="1"/>
  <c r="O118" i="6" a="1"/>
  <c r="O118" i="6" s="1"/>
  <c r="G118" i="6" a="1"/>
  <c r="G118" i="6" s="1"/>
  <c r="M117" i="6" a="1"/>
  <c r="M117" i="6" s="1"/>
  <c r="E117" i="6" a="1"/>
  <c r="E117" i="6" s="1"/>
  <c r="K116" i="6" a="1"/>
  <c r="K116" i="6" s="1"/>
  <c r="C116" i="6" a="1"/>
  <c r="C116" i="6" s="1"/>
  <c r="I115" i="6" a="1"/>
  <c r="I115" i="6" s="1"/>
  <c r="O114" i="6" a="1"/>
  <c r="O114" i="6" s="1"/>
  <c r="G114" i="6" a="1"/>
  <c r="G114" i="6" s="1"/>
  <c r="M113" i="6" a="1"/>
  <c r="M113" i="6" s="1"/>
  <c r="N130" i="6" a="1"/>
  <c r="N130" i="6" s="1"/>
  <c r="F130" i="6" a="1"/>
  <c r="F130" i="6" s="1"/>
  <c r="L129" i="6" a="1"/>
  <c r="L129" i="6" s="1"/>
  <c r="D129" i="6" a="1"/>
  <c r="D129" i="6" s="1"/>
  <c r="J128" i="6" a="1"/>
  <c r="J128" i="6" s="1"/>
  <c r="B128" i="6" a="1"/>
  <c r="B128" i="6" s="1"/>
  <c r="H127" i="6" a="1"/>
  <c r="H127" i="6" s="1"/>
  <c r="N126" i="6" a="1"/>
  <c r="N126" i="6" s="1"/>
  <c r="F126" i="6" a="1"/>
  <c r="F126" i="6" s="1"/>
  <c r="L125" i="6" a="1"/>
  <c r="L125" i="6" s="1"/>
  <c r="D125" i="6" a="1"/>
  <c r="D125" i="6" s="1"/>
  <c r="J124" i="6" a="1"/>
  <c r="J124" i="6" s="1"/>
  <c r="B124" i="6" a="1"/>
  <c r="B124" i="6" s="1"/>
  <c r="H123" i="6" a="1"/>
  <c r="H123" i="6" s="1"/>
  <c r="N122" i="6" a="1"/>
  <c r="N122" i="6" s="1"/>
  <c r="F122" i="6" a="1"/>
  <c r="F122" i="6" s="1"/>
  <c r="L121" i="6" a="1"/>
  <c r="L121" i="6" s="1"/>
  <c r="D121" i="6" a="1"/>
  <c r="D121" i="6" s="1"/>
  <c r="J120" i="6" a="1"/>
  <c r="J120" i="6" s="1"/>
  <c r="B120" i="6" a="1"/>
  <c r="B120" i="6" s="1"/>
  <c r="H119" i="6" a="1"/>
  <c r="H119" i="6" s="1"/>
  <c r="N118" i="6" a="1"/>
  <c r="N118" i="6" s="1"/>
  <c r="F118" i="6" a="1"/>
  <c r="F118" i="6" s="1"/>
  <c r="L117" i="6" a="1"/>
  <c r="L117" i="6" s="1"/>
  <c r="D117" i="6" a="1"/>
  <c r="D117" i="6" s="1"/>
  <c r="J116" i="6" a="1"/>
  <c r="J116" i="6" s="1"/>
  <c r="B116" i="6" a="1"/>
  <c r="B116" i="6" s="1"/>
  <c r="H115" i="6" a="1"/>
  <c r="H115" i="6" s="1"/>
  <c r="N114" i="6" a="1"/>
  <c r="N114" i="6" s="1"/>
  <c r="F114" i="6" a="1"/>
  <c r="F114" i="6" s="1"/>
  <c r="L113" i="6" a="1"/>
  <c r="L113" i="6" s="1"/>
  <c r="F113" i="6" a="1"/>
  <c r="F113" i="6" s="1"/>
  <c r="B113" i="6" a="1"/>
  <c r="B113" i="6" s="1"/>
  <c r="L112" i="6" a="1"/>
  <c r="L112" i="6" s="1"/>
  <c r="H112" i="6" a="1"/>
  <c r="H112" i="6" s="1"/>
  <c r="D112" i="6" a="1"/>
  <c r="D112" i="6" s="1"/>
  <c r="N111" i="6" a="1"/>
  <c r="N111" i="6" s="1"/>
  <c r="J111" i="6" a="1"/>
  <c r="J111" i="6" s="1"/>
  <c r="F111" i="6" a="1"/>
  <c r="F111" i="6" s="1"/>
  <c r="B111" i="6" a="1"/>
  <c r="B111" i="6" s="1"/>
  <c r="L110" i="6" a="1"/>
  <c r="L110" i="6" s="1"/>
  <c r="H110" i="6" a="1"/>
  <c r="H110" i="6" s="1"/>
  <c r="D110" i="6" a="1"/>
  <c r="D110" i="6" s="1"/>
  <c r="N109" i="6" a="1"/>
  <c r="N109" i="6" s="1"/>
  <c r="J109" i="6" a="1"/>
  <c r="J109" i="6" s="1"/>
  <c r="F109" i="6" a="1"/>
  <c r="F109" i="6" s="1"/>
  <c r="B109" i="6" a="1"/>
  <c r="B109" i="6" s="1"/>
  <c r="L108" i="6" a="1"/>
  <c r="L108" i="6" s="1"/>
  <c r="H108" i="6" a="1"/>
  <c r="H108" i="6" s="1"/>
  <c r="D108" i="6" a="1"/>
  <c r="D108" i="6" s="1"/>
  <c r="M130" i="6" a="1"/>
  <c r="M130" i="6" s="1"/>
  <c r="E130" i="6" a="1"/>
  <c r="E130" i="6" s="1"/>
  <c r="K129" i="6" a="1"/>
  <c r="K129" i="6" s="1"/>
  <c r="C129" i="6" a="1"/>
  <c r="C129" i="6" s="1"/>
  <c r="I128" i="6" a="1"/>
  <c r="I128" i="6" s="1"/>
  <c r="O127" i="6" a="1"/>
  <c r="O127" i="6" s="1"/>
  <c r="G127" i="6" a="1"/>
  <c r="G127" i="6" s="1"/>
  <c r="M126" i="6" a="1"/>
  <c r="M126" i="6" s="1"/>
  <c r="E126" i="6" a="1"/>
  <c r="E126" i="6" s="1"/>
  <c r="K125" i="6" a="1"/>
  <c r="K125" i="6" s="1"/>
  <c r="C125" i="6" a="1"/>
  <c r="C125" i="6" s="1"/>
  <c r="I124" i="6" a="1"/>
  <c r="I124" i="6" s="1"/>
  <c r="O123" i="6" a="1"/>
  <c r="O123" i="6" s="1"/>
  <c r="G123" i="6" a="1"/>
  <c r="G123" i="6" s="1"/>
  <c r="M122" i="6" a="1"/>
  <c r="M122" i="6" s="1"/>
  <c r="E122" i="6" a="1"/>
  <c r="E122" i="6" s="1"/>
  <c r="K121" i="6" a="1"/>
  <c r="K121" i="6" s="1"/>
  <c r="C121" i="6" a="1"/>
  <c r="C121" i="6" s="1"/>
  <c r="I120" i="6" a="1"/>
  <c r="I120" i="6" s="1"/>
  <c r="O119" i="6" a="1"/>
  <c r="O119" i="6" s="1"/>
  <c r="G119" i="6" a="1"/>
  <c r="G119" i="6" s="1"/>
  <c r="M118" i="6" a="1"/>
  <c r="M118" i="6" s="1"/>
  <c r="E118" i="6" a="1"/>
  <c r="E118" i="6" s="1"/>
  <c r="K117" i="6" a="1"/>
  <c r="K117" i="6" s="1"/>
  <c r="C117" i="6" a="1"/>
  <c r="C117" i="6" s="1"/>
  <c r="I116" i="6" a="1"/>
  <c r="I116" i="6" s="1"/>
  <c r="O115" i="6" a="1"/>
  <c r="O115" i="6" s="1"/>
  <c r="G115" i="6" a="1"/>
  <c r="G115" i="6" s="1"/>
  <c r="M114" i="6" a="1"/>
  <c r="M114" i="6" s="1"/>
  <c r="E114" i="6" a="1"/>
  <c r="E114" i="6" s="1"/>
  <c r="K113" i="6" a="1"/>
  <c r="K113" i="6" s="1"/>
  <c r="L130" i="6" a="1"/>
  <c r="L130" i="6" s="1"/>
  <c r="D130" i="6" a="1"/>
  <c r="D130" i="6" s="1"/>
  <c r="J129" i="6" a="1"/>
  <c r="J129" i="6" s="1"/>
  <c r="B129" i="6" a="1"/>
  <c r="B129" i="6" s="1"/>
  <c r="H128" i="6" a="1"/>
  <c r="H128" i="6" s="1"/>
  <c r="N127" i="6" a="1"/>
  <c r="N127" i="6" s="1"/>
  <c r="F127" i="6" a="1"/>
  <c r="F127" i="6" s="1"/>
  <c r="L126" i="6" a="1"/>
  <c r="L126" i="6" s="1"/>
  <c r="D126" i="6" a="1"/>
  <c r="D126" i="6" s="1"/>
  <c r="J125" i="6" a="1"/>
  <c r="J125" i="6" s="1"/>
  <c r="B125" i="6" a="1"/>
  <c r="B125" i="6" s="1"/>
  <c r="H124" i="6" a="1"/>
  <c r="H124" i="6" s="1"/>
  <c r="N123" i="6" a="1"/>
  <c r="N123" i="6" s="1"/>
  <c r="F123" i="6" a="1"/>
  <c r="F123" i="6" s="1"/>
  <c r="L122" i="6" a="1"/>
  <c r="L122" i="6" s="1"/>
  <c r="D122" i="6" a="1"/>
  <c r="D122" i="6" s="1"/>
  <c r="J121" i="6" a="1"/>
  <c r="J121" i="6" s="1"/>
  <c r="B121" i="6" a="1"/>
  <c r="B121" i="6" s="1"/>
  <c r="H120" i="6" a="1"/>
  <c r="H120" i="6" s="1"/>
  <c r="N119" i="6" a="1"/>
  <c r="N119" i="6" s="1"/>
  <c r="F119" i="6" a="1"/>
  <c r="F119" i="6" s="1"/>
  <c r="L118" i="6" a="1"/>
  <c r="L118" i="6" s="1"/>
  <c r="D118" i="6" a="1"/>
  <c r="D118" i="6" s="1"/>
  <c r="J117" i="6" a="1"/>
  <c r="J117" i="6" s="1"/>
  <c r="B117" i="6" a="1"/>
  <c r="B117" i="6" s="1"/>
  <c r="H116" i="6" a="1"/>
  <c r="H116" i="6" s="1"/>
  <c r="N115" i="6" a="1"/>
  <c r="N115" i="6" s="1"/>
  <c r="F115" i="6" a="1"/>
  <c r="F115" i="6" s="1"/>
  <c r="L114" i="6" a="1"/>
  <c r="L114" i="6" s="1"/>
  <c r="D114" i="6" a="1"/>
  <c r="D114" i="6" s="1"/>
  <c r="J113" i="6" a="1"/>
  <c r="J113" i="6" s="1"/>
  <c r="E113" i="6" a="1"/>
  <c r="E113" i="6" s="1"/>
  <c r="O112" i="6" a="1"/>
  <c r="O112" i="6" s="1"/>
  <c r="K112" i="6" a="1"/>
  <c r="K112" i="6" s="1"/>
  <c r="G112" i="6" a="1"/>
  <c r="G112" i="6" s="1"/>
  <c r="C112" i="6" a="1"/>
  <c r="C112" i="6" s="1"/>
  <c r="M111" i="6" a="1"/>
  <c r="M111" i="6" s="1"/>
  <c r="I111" i="6" a="1"/>
  <c r="I111" i="6" s="1"/>
  <c r="E111" i="6" a="1"/>
  <c r="E111" i="6" s="1"/>
  <c r="O110" i="6" a="1"/>
  <c r="O110" i="6" s="1"/>
  <c r="K110" i="6" a="1"/>
  <c r="K110" i="6" s="1"/>
  <c r="G110" i="6" a="1"/>
  <c r="G110" i="6" s="1"/>
  <c r="C110" i="6" a="1"/>
  <c r="C110" i="6" s="1"/>
  <c r="M109" i="6" a="1"/>
  <c r="M109" i="6" s="1"/>
  <c r="I109" i="6" a="1"/>
  <c r="I109" i="6" s="1"/>
  <c r="E109" i="6" a="1"/>
  <c r="E109" i="6" s="1"/>
  <c r="O108" i="6" a="1"/>
  <c r="O108" i="6" s="1"/>
  <c r="K108" i="6" a="1"/>
  <c r="K108" i="6" s="1"/>
  <c r="E127" i="6" a="1"/>
  <c r="E127" i="6" s="1"/>
  <c r="K122" i="6" a="1"/>
  <c r="K122" i="6" s="1"/>
  <c r="C118" i="6" a="1"/>
  <c r="C118" i="6" s="1"/>
  <c r="I113" i="6" a="1"/>
  <c r="I113" i="6" s="1"/>
  <c r="B108" i="6" a="1"/>
  <c r="B108" i="6" s="1"/>
  <c r="I107" i="6" a="1"/>
  <c r="I107" i="6" s="1"/>
  <c r="C107" i="6" a="1"/>
  <c r="C107" i="6" s="1"/>
  <c r="D106" i="6" a="1"/>
  <c r="D106" i="6" s="1"/>
  <c r="L105" i="6" a="1"/>
  <c r="L105" i="6" s="1"/>
  <c r="E105" i="6" a="1"/>
  <c r="E105" i="6" s="1"/>
  <c r="M104" i="6" a="1"/>
  <c r="M104" i="6" s="1"/>
  <c r="N103" i="6" a="1"/>
  <c r="N103" i="6" s="1"/>
  <c r="H103" i="6" a="1"/>
  <c r="H103" i="6" s="1"/>
  <c r="O102" i="6" a="1"/>
  <c r="O102" i="6" s="1"/>
  <c r="I102" i="6" a="1"/>
  <c r="I102" i="6" s="1"/>
  <c r="J101" i="6" a="1"/>
  <c r="J101" i="6" s="1"/>
  <c r="D101" i="6" a="1"/>
  <c r="D101" i="6" s="1"/>
  <c r="K100" i="6" a="1"/>
  <c r="K100" i="6" s="1"/>
  <c r="E100" i="6" a="1"/>
  <c r="E100" i="6" s="1"/>
  <c r="F99" i="6" a="1"/>
  <c r="F99" i="6" s="1"/>
  <c r="N98" i="6" a="1"/>
  <c r="N98" i="6" s="1"/>
  <c r="G98" i="6" a="1"/>
  <c r="G98" i="6" s="1"/>
  <c r="O97" i="6" a="1"/>
  <c r="O97" i="6" s="1"/>
  <c r="B97" i="6" a="1"/>
  <c r="B97" i="6" s="1"/>
  <c r="J96" i="6" a="1"/>
  <c r="J96" i="6" s="1"/>
  <c r="C96" i="6" a="1"/>
  <c r="C96" i="6" s="1"/>
  <c r="K95" i="6" a="1"/>
  <c r="K95" i="6" s="1"/>
  <c r="L94" i="6" a="1"/>
  <c r="L94" i="6" s="1"/>
  <c r="F94" i="6" a="1"/>
  <c r="F94" i="6" s="1"/>
  <c r="M93" i="6" a="1"/>
  <c r="M93" i="6" s="1"/>
  <c r="G93" i="6" a="1"/>
  <c r="G93" i="6" s="1"/>
  <c r="H92" i="6" a="1"/>
  <c r="H92" i="6" s="1"/>
  <c r="B92" i="6" a="1"/>
  <c r="B92" i="6" s="1"/>
  <c r="I91" i="6" a="1"/>
  <c r="I91" i="6" s="1"/>
  <c r="C91" i="6" a="1"/>
  <c r="C91" i="6" s="1"/>
  <c r="D90" i="6" a="1"/>
  <c r="D90" i="6" s="1"/>
  <c r="L89" i="6" a="1"/>
  <c r="L89" i="6" s="1"/>
  <c r="E89" i="6" a="1"/>
  <c r="E89" i="6" s="1"/>
  <c r="M88" i="6" a="1"/>
  <c r="M88" i="6" s="1"/>
  <c r="N87" i="6" a="1"/>
  <c r="N87" i="6" s="1"/>
  <c r="H87" i="6" a="1"/>
  <c r="H87" i="6" s="1"/>
  <c r="O86" i="6" a="1"/>
  <c r="O86" i="6" s="1"/>
  <c r="I86" i="6" a="1"/>
  <c r="I86" i="6" s="1"/>
  <c r="J85" i="6" a="1"/>
  <c r="J85" i="6" s="1"/>
  <c r="D85" i="6" a="1"/>
  <c r="D85" i="6" s="1"/>
  <c r="K84" i="6" a="1"/>
  <c r="K84" i="6" s="1"/>
  <c r="E84" i="6" a="1"/>
  <c r="E84" i="6" s="1"/>
  <c r="K126" i="6" a="1"/>
  <c r="K126" i="6" s="1"/>
  <c r="C122" i="6" a="1"/>
  <c r="C122" i="6" s="1"/>
  <c r="I117" i="6" a="1"/>
  <c r="I117" i="6" s="1"/>
  <c r="O107" i="6" a="1"/>
  <c r="O107" i="6" s="1"/>
  <c r="B107" i="6" a="1"/>
  <c r="B107" i="6" s="1"/>
  <c r="J106" i="6" a="1"/>
  <c r="J106" i="6" s="1"/>
  <c r="C106" i="6" a="1"/>
  <c r="C106" i="6" s="1"/>
  <c r="K105" i="6" a="1"/>
  <c r="K105" i="6" s="1"/>
  <c r="L104" i="6" a="1"/>
  <c r="L104" i="6" s="1"/>
  <c r="F104" i="6" a="1"/>
  <c r="F104" i="6" s="1"/>
  <c r="M103" i="6" a="1"/>
  <c r="M103" i="6" s="1"/>
  <c r="G103" i="6" a="1"/>
  <c r="G103" i="6" s="1"/>
  <c r="H102" i="6" a="1"/>
  <c r="H102" i="6" s="1"/>
  <c r="B102" i="6" a="1"/>
  <c r="B102" i="6" s="1"/>
  <c r="I101" i="6" a="1"/>
  <c r="I101" i="6" s="1"/>
  <c r="C101" i="6" a="1"/>
  <c r="C101" i="6" s="1"/>
  <c r="D100" i="6" a="1"/>
  <c r="D100" i="6" s="1"/>
  <c r="L99" i="6" a="1"/>
  <c r="L99" i="6" s="1"/>
  <c r="E99" i="6" a="1"/>
  <c r="E99" i="6" s="1"/>
  <c r="M98" i="6" a="1"/>
  <c r="M98" i="6" s="1"/>
  <c r="N97" i="6" a="1"/>
  <c r="N97" i="6" s="1"/>
  <c r="H97" i="6" a="1"/>
  <c r="H97" i="6" s="1"/>
  <c r="O96" i="6" a="1"/>
  <c r="O96" i="6" s="1"/>
  <c r="I96" i="6" a="1"/>
  <c r="I96" i="6" s="1"/>
  <c r="J95" i="6" a="1"/>
  <c r="J95" i="6" s="1"/>
  <c r="D95" i="6" a="1"/>
  <c r="D95" i="6" s="1"/>
  <c r="K94" i="6" a="1"/>
  <c r="K94" i="6" s="1"/>
  <c r="E94" i="6" a="1"/>
  <c r="E94" i="6" s="1"/>
  <c r="F93" i="6" a="1"/>
  <c r="F93" i="6" s="1"/>
  <c r="N92" i="6" a="1"/>
  <c r="N92" i="6" s="1"/>
  <c r="G92" i="6" a="1"/>
  <c r="G92" i="6" s="1"/>
  <c r="O91" i="6" a="1"/>
  <c r="O91" i="6" s="1"/>
  <c r="B91" i="6" a="1"/>
  <c r="B91" i="6" s="1"/>
  <c r="J90" i="6" a="1"/>
  <c r="J90" i="6" s="1"/>
  <c r="C90" i="6" a="1"/>
  <c r="C90" i="6" s="1"/>
  <c r="K89" i="6" a="1"/>
  <c r="K89" i="6" s="1"/>
  <c r="L88" i="6" a="1"/>
  <c r="L88" i="6" s="1"/>
  <c r="F88" i="6" a="1"/>
  <c r="F88" i="6" s="1"/>
  <c r="M87" i="6" a="1"/>
  <c r="M87" i="6" s="1"/>
  <c r="G87" i="6" a="1"/>
  <c r="G87" i="6" s="1"/>
  <c r="H86" i="6" a="1"/>
  <c r="H86" i="6" s="1"/>
  <c r="B86" i="6" a="1"/>
  <c r="B86" i="6" s="1"/>
  <c r="I85" i="6" a="1"/>
  <c r="I85" i="6" s="1"/>
  <c r="C85" i="6" a="1"/>
  <c r="C85" i="6" s="1"/>
  <c r="D84" i="6" a="1"/>
  <c r="D84" i="6" s="1"/>
  <c r="L83" i="6" a="1"/>
  <c r="L83" i="6" s="1"/>
  <c r="F83" i="6" a="1"/>
  <c r="F83" i="6" s="1"/>
  <c r="B83" i="6" a="1"/>
  <c r="B83" i="6" s="1"/>
  <c r="L82" i="6" a="1"/>
  <c r="L82" i="6" s="1"/>
  <c r="H82" i="6" a="1"/>
  <c r="H82" i="6" s="1"/>
  <c r="D82" i="6" a="1"/>
  <c r="D82" i="6" s="1"/>
  <c r="N81" i="6" a="1"/>
  <c r="N81" i="6" s="1"/>
  <c r="J81" i="6" a="1"/>
  <c r="J81" i="6" s="1"/>
  <c r="F81" i="6" a="1"/>
  <c r="F81" i="6" s="1"/>
  <c r="B81" i="6" a="1"/>
  <c r="B81" i="6" s="1"/>
  <c r="L80" i="6" a="1"/>
  <c r="L80" i="6" s="1"/>
  <c r="H80" i="6" a="1"/>
  <c r="H80" i="6" s="1"/>
  <c r="D80" i="6" a="1"/>
  <c r="D80" i="6" s="1"/>
  <c r="N79" i="6" a="1"/>
  <c r="N79" i="6" s="1"/>
  <c r="J79" i="6" a="1"/>
  <c r="J79" i="6" s="1"/>
  <c r="F79" i="6" a="1"/>
  <c r="F79" i="6" s="1"/>
  <c r="B79" i="6" a="1"/>
  <c r="B79" i="6" s="1"/>
  <c r="L78" i="6" a="1"/>
  <c r="L78" i="6" s="1"/>
  <c r="H78" i="6" a="1"/>
  <c r="H78" i="6" s="1"/>
  <c r="D78" i="6" a="1"/>
  <c r="D78" i="6" s="1"/>
  <c r="N77" i="6" a="1"/>
  <c r="N77" i="6" s="1"/>
  <c r="J77" i="6" a="1"/>
  <c r="J77" i="6" s="1"/>
  <c r="F77" i="6" a="1"/>
  <c r="F77" i="6" s="1"/>
  <c r="B77" i="6" a="1"/>
  <c r="B77" i="6" s="1"/>
  <c r="L76" i="6" a="1"/>
  <c r="L76" i="6" s="1"/>
  <c r="H76" i="6" a="1"/>
  <c r="H76" i="6" s="1"/>
  <c r="D76" i="6" a="1"/>
  <c r="D76" i="6" s="1"/>
  <c r="N75" i="6" a="1"/>
  <c r="N75" i="6" s="1"/>
  <c r="J75" i="6" a="1"/>
  <c r="J75" i="6" s="1"/>
  <c r="F75" i="6" a="1"/>
  <c r="F75" i="6" s="1"/>
  <c r="B75" i="6" a="1"/>
  <c r="B75" i="6" s="1"/>
  <c r="L74" i="6" a="1"/>
  <c r="L74" i="6" s="1"/>
  <c r="H74" i="6" a="1"/>
  <c r="H74" i="6" s="1"/>
  <c r="D74" i="6" a="1"/>
  <c r="D74" i="6" s="1"/>
  <c r="N73" i="6" a="1"/>
  <c r="N73" i="6" s="1"/>
  <c r="J73" i="6" a="1"/>
  <c r="J73" i="6" s="1"/>
  <c r="F73" i="6" a="1"/>
  <c r="F73" i="6" s="1"/>
  <c r="B73" i="6" a="1"/>
  <c r="B73" i="6" s="1"/>
  <c r="L72" i="6" a="1"/>
  <c r="L72" i="6" s="1"/>
  <c r="H72" i="6" a="1"/>
  <c r="H72" i="6" s="1"/>
  <c r="D72" i="6" a="1"/>
  <c r="D72" i="6" s="1"/>
  <c r="N71" i="6" a="1"/>
  <c r="N71" i="6" s="1"/>
  <c r="J71" i="6" a="1"/>
  <c r="J71" i="6" s="1"/>
  <c r="F71" i="6" a="1"/>
  <c r="F71" i="6" s="1"/>
  <c r="B71" i="6" a="1"/>
  <c r="B71" i="6" s="1"/>
  <c r="L70" i="6" a="1"/>
  <c r="L70" i="6" s="1"/>
  <c r="H70" i="6" a="1"/>
  <c r="H70" i="6" s="1"/>
  <c r="D70" i="6" a="1"/>
  <c r="D70" i="6" s="1"/>
  <c r="N69" i="6" a="1"/>
  <c r="N69" i="6" s="1"/>
  <c r="J69" i="6" a="1"/>
  <c r="J69" i="6" s="1"/>
  <c r="F69" i="6" a="1"/>
  <c r="F69" i="6" s="1"/>
  <c r="B69" i="6" a="1"/>
  <c r="B69" i="6" s="1"/>
  <c r="L68" i="6" a="1"/>
  <c r="L68" i="6" s="1"/>
  <c r="H68" i="6" a="1"/>
  <c r="H68" i="6" s="1"/>
  <c r="D68" i="6" a="1"/>
  <c r="D68" i="6" s="1"/>
  <c r="N67" i="6" a="1"/>
  <c r="N67" i="6" s="1"/>
  <c r="J67" i="6" a="1"/>
  <c r="J67" i="6" s="1"/>
  <c r="F67" i="6" a="1"/>
  <c r="F67" i="6" s="1"/>
  <c r="B67" i="6" a="1"/>
  <c r="B67" i="6" s="1"/>
  <c r="K130" i="6" a="1"/>
  <c r="K130" i="6" s="1"/>
  <c r="C126" i="6" a="1"/>
  <c r="C126" i="6" s="1"/>
  <c r="I121" i="6" a="1"/>
  <c r="I121" i="6" s="1"/>
  <c r="O116" i="6" a="1"/>
  <c r="O116" i="6" s="1"/>
  <c r="G108" i="6" a="1"/>
  <c r="G108" i="6" s="1"/>
  <c r="N107" i="6" a="1"/>
  <c r="N107" i="6" s="1"/>
  <c r="H107" i="6" a="1"/>
  <c r="H107" i="6" s="1"/>
  <c r="O106" i="6" a="1"/>
  <c r="O106" i="6" s="1"/>
  <c r="I106" i="6" a="1"/>
  <c r="I106" i="6" s="1"/>
  <c r="J105" i="6" a="1"/>
  <c r="J105" i="6" s="1"/>
  <c r="D105" i="6" a="1"/>
  <c r="D105" i="6" s="1"/>
  <c r="K104" i="6" a="1"/>
  <c r="K104" i="6" s="1"/>
  <c r="E104" i="6" a="1"/>
  <c r="E104" i="6" s="1"/>
  <c r="F103" i="6" a="1"/>
  <c r="F103" i="6" s="1"/>
  <c r="N102" i="6" a="1"/>
  <c r="N102" i="6" s="1"/>
  <c r="G102" i="6" a="1"/>
  <c r="G102" i="6" s="1"/>
  <c r="O101" i="6" a="1"/>
  <c r="O101" i="6" s="1"/>
  <c r="B101" i="6" a="1"/>
  <c r="B101" i="6" s="1"/>
  <c r="J100" i="6" a="1"/>
  <c r="J100" i="6" s="1"/>
  <c r="C100" i="6" a="1"/>
  <c r="C100" i="6" s="1"/>
  <c r="K99" i="6" a="1"/>
  <c r="K99" i="6" s="1"/>
  <c r="L98" i="6" a="1"/>
  <c r="L98" i="6" s="1"/>
  <c r="F98" i="6" a="1"/>
  <c r="F98" i="6" s="1"/>
  <c r="M97" i="6" a="1"/>
  <c r="M97" i="6" s="1"/>
  <c r="G97" i="6" a="1"/>
  <c r="G97" i="6" s="1"/>
  <c r="H96" i="6" a="1"/>
  <c r="H96" i="6" s="1"/>
  <c r="B96" i="6" a="1"/>
  <c r="B96" i="6" s="1"/>
  <c r="I95" i="6" a="1"/>
  <c r="I95" i="6" s="1"/>
  <c r="C95" i="6" a="1"/>
  <c r="C95" i="6" s="1"/>
  <c r="D94" i="6" a="1"/>
  <c r="D94" i="6" s="1"/>
  <c r="L93" i="6" a="1"/>
  <c r="L93" i="6" s="1"/>
  <c r="E93" i="6" a="1"/>
  <c r="E93" i="6" s="1"/>
  <c r="M92" i="6" a="1"/>
  <c r="M92" i="6" s="1"/>
  <c r="N91" i="6" a="1"/>
  <c r="N91" i="6" s="1"/>
  <c r="H91" i="6" a="1"/>
  <c r="H91" i="6" s="1"/>
  <c r="O90" i="6" a="1"/>
  <c r="O90" i="6" s="1"/>
  <c r="I90" i="6" a="1"/>
  <c r="I90" i="6" s="1"/>
  <c r="J89" i="6" a="1"/>
  <c r="J89" i="6" s="1"/>
  <c r="D89" i="6" a="1"/>
  <c r="D89" i="6" s="1"/>
  <c r="K88" i="6" a="1"/>
  <c r="K88" i="6" s="1"/>
  <c r="E88" i="6" a="1"/>
  <c r="E88" i="6" s="1"/>
  <c r="F87" i="6" a="1"/>
  <c r="F87" i="6" s="1"/>
  <c r="N86" i="6" a="1"/>
  <c r="N86" i="6" s="1"/>
  <c r="G86" i="6" a="1"/>
  <c r="G86" i="6" s="1"/>
  <c r="O85" i="6" a="1"/>
  <c r="O85" i="6" s="1"/>
  <c r="B85" i="6" a="1"/>
  <c r="B85" i="6" s="1"/>
  <c r="J84" i="6" a="1"/>
  <c r="J84" i="6" s="1"/>
  <c r="C84" i="6" a="1"/>
  <c r="C84" i="6" s="1"/>
  <c r="K83" i="6" a="1"/>
  <c r="K83" i="6" s="1"/>
  <c r="C130" i="6" a="1"/>
  <c r="C130" i="6" s="1"/>
  <c r="I125" i="6" a="1"/>
  <c r="I125" i="6" s="1"/>
  <c r="O120" i="6" a="1"/>
  <c r="O120" i="6" s="1"/>
  <c r="G116" i="6" a="1"/>
  <c r="G116" i="6" s="1"/>
  <c r="M107" i="6" a="1"/>
  <c r="M107" i="6" s="1"/>
  <c r="G107" i="6" a="1"/>
  <c r="G107" i="6" s="1"/>
  <c r="H106" i="6" a="1"/>
  <c r="H106" i="6" s="1"/>
  <c r="B106" i="6" a="1"/>
  <c r="B106" i="6" s="1"/>
  <c r="I105" i="6" a="1"/>
  <c r="I105" i="6" s="1"/>
  <c r="C105" i="6" a="1"/>
  <c r="C105" i="6" s="1"/>
  <c r="D104" i="6" a="1"/>
  <c r="D104" i="6" s="1"/>
  <c r="L103" i="6" a="1"/>
  <c r="L103" i="6" s="1"/>
  <c r="E103" i="6" a="1"/>
  <c r="E103" i="6" s="1"/>
  <c r="M102" i="6" a="1"/>
  <c r="M102" i="6" s="1"/>
  <c r="N101" i="6" a="1"/>
  <c r="N101" i="6" s="1"/>
  <c r="H101" i="6" a="1"/>
  <c r="H101" i="6" s="1"/>
  <c r="O100" i="6" a="1"/>
  <c r="O100" i="6" s="1"/>
  <c r="I100" i="6" a="1"/>
  <c r="I100" i="6" s="1"/>
  <c r="J99" i="6" a="1"/>
  <c r="J99" i="6" s="1"/>
  <c r="D99" i="6" a="1"/>
  <c r="D99" i="6" s="1"/>
  <c r="K98" i="6" a="1"/>
  <c r="K98" i="6" s="1"/>
  <c r="E98" i="6" a="1"/>
  <c r="E98" i="6" s="1"/>
  <c r="F97" i="6" a="1"/>
  <c r="F97" i="6" s="1"/>
  <c r="N96" i="6" a="1"/>
  <c r="N96" i="6" s="1"/>
  <c r="G96" i="6" a="1"/>
  <c r="G96" i="6" s="1"/>
  <c r="O95" i="6" a="1"/>
  <c r="O95" i="6" s="1"/>
  <c r="B95" i="6" a="1"/>
  <c r="B95" i="6" s="1"/>
  <c r="J94" i="6" a="1"/>
  <c r="J94" i="6" s="1"/>
  <c r="C94" i="6" a="1"/>
  <c r="C94" i="6" s="1"/>
  <c r="K93" i="6" a="1"/>
  <c r="K93" i="6" s="1"/>
  <c r="L92" i="6" a="1"/>
  <c r="L92" i="6" s="1"/>
  <c r="F92" i="6" a="1"/>
  <c r="F92" i="6" s="1"/>
  <c r="M91" i="6" a="1"/>
  <c r="M91" i="6" s="1"/>
  <c r="G91" i="6" a="1"/>
  <c r="G91" i="6" s="1"/>
  <c r="H90" i="6" a="1"/>
  <c r="H90" i="6" s="1"/>
  <c r="B90" i="6" a="1"/>
  <c r="B90" i="6" s="1"/>
  <c r="I89" i="6" a="1"/>
  <c r="I89" i="6" s="1"/>
  <c r="C89" i="6" a="1"/>
  <c r="C89" i="6" s="1"/>
  <c r="D88" i="6" a="1"/>
  <c r="D88" i="6" s="1"/>
  <c r="L87" i="6" a="1"/>
  <c r="L87" i="6" s="1"/>
  <c r="E87" i="6" a="1"/>
  <c r="E87" i="6" s="1"/>
  <c r="M86" i="6" a="1"/>
  <c r="M86" i="6" s="1"/>
  <c r="N85" i="6" a="1"/>
  <c r="N85" i="6" s="1"/>
  <c r="H85" i="6" a="1"/>
  <c r="H85" i="6" s="1"/>
  <c r="O84" i="6" a="1"/>
  <c r="O84" i="6" s="1"/>
  <c r="I84" i="6" a="1"/>
  <c r="I84" i="6" s="1"/>
  <c r="J83" i="6" a="1"/>
  <c r="J83" i="6" s="1"/>
  <c r="E83" i="6" a="1"/>
  <c r="E83" i="6" s="1"/>
  <c r="O82" i="6" a="1"/>
  <c r="O82" i="6" s="1"/>
  <c r="K82" i="6" a="1"/>
  <c r="K82" i="6" s="1"/>
  <c r="G82" i="6" a="1"/>
  <c r="G82" i="6" s="1"/>
  <c r="C82" i="6" a="1"/>
  <c r="C82" i="6" s="1"/>
  <c r="M81" i="6" a="1"/>
  <c r="M81" i="6" s="1"/>
  <c r="I81" i="6" a="1"/>
  <c r="I81" i="6" s="1"/>
  <c r="E81" i="6" a="1"/>
  <c r="E81" i="6" s="1"/>
  <c r="O80" i="6" a="1"/>
  <c r="O80" i="6" s="1"/>
  <c r="K80" i="6" a="1"/>
  <c r="K80" i="6" s="1"/>
  <c r="G80" i="6" a="1"/>
  <c r="G80" i="6" s="1"/>
  <c r="C80" i="6" a="1"/>
  <c r="C80" i="6" s="1"/>
  <c r="M79" i="6" a="1"/>
  <c r="M79" i="6" s="1"/>
  <c r="I79" i="6" a="1"/>
  <c r="I79" i="6" s="1"/>
  <c r="E79" i="6" a="1"/>
  <c r="E79" i="6" s="1"/>
  <c r="O78" i="6" a="1"/>
  <c r="O78" i="6" s="1"/>
  <c r="K78" i="6" a="1"/>
  <c r="K78" i="6" s="1"/>
  <c r="G78" i="6" a="1"/>
  <c r="G78" i="6" s="1"/>
  <c r="C78" i="6" a="1"/>
  <c r="C78" i="6" s="1"/>
  <c r="M77" i="6" a="1"/>
  <c r="M77" i="6" s="1"/>
  <c r="I77" i="6" a="1"/>
  <c r="I77" i="6" s="1"/>
  <c r="E77" i="6" a="1"/>
  <c r="E77" i="6" s="1"/>
  <c r="O76" i="6" a="1"/>
  <c r="O76" i="6" s="1"/>
  <c r="K76" i="6" a="1"/>
  <c r="K76" i="6" s="1"/>
  <c r="G76" i="6" a="1"/>
  <c r="G76" i="6" s="1"/>
  <c r="C76" i="6" a="1"/>
  <c r="C76" i="6" s="1"/>
  <c r="M75" i="6" a="1"/>
  <c r="M75" i="6" s="1"/>
  <c r="I75" i="6" a="1"/>
  <c r="I75" i="6" s="1"/>
  <c r="E75" i="6" a="1"/>
  <c r="E75" i="6" s="1"/>
  <c r="O74" i="6" a="1"/>
  <c r="O74" i="6" s="1"/>
  <c r="K74" i="6" a="1"/>
  <c r="K74" i="6" s="1"/>
  <c r="G74" i="6" a="1"/>
  <c r="G74" i="6" s="1"/>
  <c r="C74" i="6" a="1"/>
  <c r="C74" i="6" s="1"/>
  <c r="M73" i="6" a="1"/>
  <c r="M73" i="6" s="1"/>
  <c r="I73" i="6" a="1"/>
  <c r="I73" i="6" s="1"/>
  <c r="E73" i="6" a="1"/>
  <c r="E73" i="6" s="1"/>
  <c r="O72" i="6" a="1"/>
  <c r="O72" i="6" s="1"/>
  <c r="K72" i="6" a="1"/>
  <c r="K72" i="6" s="1"/>
  <c r="G72" i="6" a="1"/>
  <c r="G72" i="6" s="1"/>
  <c r="C72" i="6" a="1"/>
  <c r="C72" i="6" s="1"/>
  <c r="M71" i="6" a="1"/>
  <c r="M71" i="6" s="1"/>
  <c r="I71" i="6" a="1"/>
  <c r="I71" i="6" s="1"/>
  <c r="E71" i="6" a="1"/>
  <c r="E71" i="6" s="1"/>
  <c r="O70" i="6" a="1"/>
  <c r="O70" i="6" s="1"/>
  <c r="K70" i="6" a="1"/>
  <c r="K70" i="6" s="1"/>
  <c r="G70" i="6" a="1"/>
  <c r="G70" i="6" s="1"/>
  <c r="C70" i="6" a="1"/>
  <c r="C70" i="6" s="1"/>
  <c r="M69" i="6" a="1"/>
  <c r="M69" i="6" s="1"/>
  <c r="I69" i="6" a="1"/>
  <c r="I69" i="6" s="1"/>
  <c r="E69" i="6" a="1"/>
  <c r="E69" i="6" s="1"/>
  <c r="O68" i="6" a="1"/>
  <c r="O68" i="6" s="1"/>
  <c r="K68" i="6" a="1"/>
  <c r="K68" i="6" s="1"/>
  <c r="G68" i="6" a="1"/>
  <c r="G68" i="6" s="1"/>
  <c r="C68" i="6" a="1"/>
  <c r="C68" i="6" s="1"/>
  <c r="M67" i="6" a="1"/>
  <c r="M67" i="6" s="1"/>
  <c r="I67" i="6" a="1"/>
  <c r="I67" i="6" s="1"/>
  <c r="E67" i="6" a="1"/>
  <c r="E67" i="6" s="1"/>
  <c r="I129" i="6" a="1"/>
  <c r="I129" i="6" s="1"/>
  <c r="O124" i="6" a="1"/>
  <c r="O124" i="6" s="1"/>
  <c r="G120" i="6" a="1"/>
  <c r="G120" i="6" s="1"/>
  <c r="M115" i="6" a="1"/>
  <c r="M115" i="6" s="1"/>
  <c r="F108" i="6" a="1"/>
  <c r="F108" i="6" s="1"/>
  <c r="F107" i="6" a="1"/>
  <c r="F107" i="6" s="1"/>
  <c r="N106" i="6" a="1"/>
  <c r="N106" i="6" s="1"/>
  <c r="G106" i="6" a="1"/>
  <c r="G106" i="6" s="1"/>
  <c r="O105" i="6" a="1"/>
  <c r="O105" i="6" s="1"/>
  <c r="B105" i="6" a="1"/>
  <c r="B105" i="6" s="1"/>
  <c r="J104" i="6" a="1"/>
  <c r="J104" i="6" s="1"/>
  <c r="C104" i="6" a="1"/>
  <c r="C104" i="6" s="1"/>
  <c r="K103" i="6" a="1"/>
  <c r="K103" i="6" s="1"/>
  <c r="L102" i="6" a="1"/>
  <c r="L102" i="6" s="1"/>
  <c r="F102" i="6" a="1"/>
  <c r="F102" i="6" s="1"/>
  <c r="M101" i="6" a="1"/>
  <c r="M101" i="6" s="1"/>
  <c r="G101" i="6" a="1"/>
  <c r="G101" i="6" s="1"/>
  <c r="H100" i="6" a="1"/>
  <c r="H100" i="6" s="1"/>
  <c r="B100" i="6" a="1"/>
  <c r="B100" i="6" s="1"/>
  <c r="I99" i="6" a="1"/>
  <c r="I99" i="6" s="1"/>
  <c r="C99" i="6" a="1"/>
  <c r="C99" i="6" s="1"/>
  <c r="D98" i="6" a="1"/>
  <c r="D98" i="6" s="1"/>
  <c r="L97" i="6" a="1"/>
  <c r="L97" i="6" s="1"/>
  <c r="E97" i="6" a="1"/>
  <c r="E97" i="6" s="1"/>
  <c r="M96" i="6" a="1"/>
  <c r="M96" i="6" s="1"/>
  <c r="N95" i="6" a="1"/>
  <c r="N95" i="6" s="1"/>
  <c r="H95" i="6" a="1"/>
  <c r="H95" i="6" s="1"/>
  <c r="O94" i="6" a="1"/>
  <c r="O94" i="6" s="1"/>
  <c r="I94" i="6" a="1"/>
  <c r="I94" i="6" s="1"/>
  <c r="J93" i="6" a="1"/>
  <c r="J93" i="6" s="1"/>
  <c r="D93" i="6" a="1"/>
  <c r="D93" i="6" s="1"/>
  <c r="K92" i="6" a="1"/>
  <c r="K92" i="6" s="1"/>
  <c r="E92" i="6" a="1"/>
  <c r="E92" i="6" s="1"/>
  <c r="F91" i="6" a="1"/>
  <c r="F91" i="6" s="1"/>
  <c r="N90" i="6" a="1"/>
  <c r="N90" i="6" s="1"/>
  <c r="G90" i="6" a="1"/>
  <c r="G90" i="6" s="1"/>
  <c r="O89" i="6" a="1"/>
  <c r="O89" i="6" s="1"/>
  <c r="B89" i="6" a="1"/>
  <c r="B89" i="6" s="1"/>
  <c r="J88" i="6" a="1"/>
  <c r="J88" i="6" s="1"/>
  <c r="C88" i="6" a="1"/>
  <c r="C88" i="6" s="1"/>
  <c r="K87" i="6" a="1"/>
  <c r="K87" i="6" s="1"/>
  <c r="L86" i="6" a="1"/>
  <c r="L86" i="6" s="1"/>
  <c r="F86" i="6" a="1"/>
  <c r="F86" i="6" s="1"/>
  <c r="M85" i="6" a="1"/>
  <c r="M85" i="6" s="1"/>
  <c r="G85" i="6" a="1"/>
  <c r="G85" i="6" s="1"/>
  <c r="H84" i="6" a="1"/>
  <c r="H84" i="6" s="1"/>
  <c r="B84" i="6" a="1"/>
  <c r="B84" i="6" s="1"/>
  <c r="I83" i="6" a="1"/>
  <c r="I83" i="6" s="1"/>
  <c r="G128" i="6" a="1"/>
  <c r="G128" i="6" s="1"/>
  <c r="M123" i="6" a="1"/>
  <c r="M123" i="6" s="1"/>
  <c r="E119" i="6" a="1"/>
  <c r="E119" i="6" s="1"/>
  <c r="K114" i="6" a="1"/>
  <c r="K114" i="6" s="1"/>
  <c r="C108" i="6" a="1"/>
  <c r="C108" i="6" s="1"/>
  <c r="K107" i="6" a="1"/>
  <c r="K107" i="6" s="1"/>
  <c r="L106" i="6" a="1"/>
  <c r="L106" i="6" s="1"/>
  <c r="F106" i="6" a="1"/>
  <c r="F106" i="6" s="1"/>
  <c r="M105" i="6" a="1"/>
  <c r="M105" i="6" s="1"/>
  <c r="G105" i="6" a="1"/>
  <c r="G105" i="6" s="1"/>
  <c r="H104" i="6" a="1"/>
  <c r="H104" i="6" s="1"/>
  <c r="B104" i="6" a="1"/>
  <c r="B104" i="6" s="1"/>
  <c r="I103" i="6" a="1"/>
  <c r="I103" i="6" s="1"/>
  <c r="C103" i="6" a="1"/>
  <c r="C103" i="6" s="1"/>
  <c r="D102" i="6" a="1"/>
  <c r="D102" i="6" s="1"/>
  <c r="L101" i="6" a="1"/>
  <c r="L101" i="6" s="1"/>
  <c r="E101" i="6" a="1"/>
  <c r="E101" i="6" s="1"/>
  <c r="M100" i="6" a="1"/>
  <c r="M100" i="6" s="1"/>
  <c r="N99" i="6" a="1"/>
  <c r="N99" i="6" s="1"/>
  <c r="H99" i="6" a="1"/>
  <c r="H99" i="6" s="1"/>
  <c r="O98" i="6" a="1"/>
  <c r="O98" i="6" s="1"/>
  <c r="I98" i="6" a="1"/>
  <c r="I98" i="6" s="1"/>
  <c r="J97" i="6" a="1"/>
  <c r="J97" i="6" s="1"/>
  <c r="D97" i="6" a="1"/>
  <c r="D97" i="6" s="1"/>
  <c r="K96" i="6" a="1"/>
  <c r="K96" i="6" s="1"/>
  <c r="E96" i="6" a="1"/>
  <c r="E96" i="6" s="1"/>
  <c r="F95" i="6" a="1"/>
  <c r="F95" i="6" s="1"/>
  <c r="N94" i="6" a="1"/>
  <c r="N94" i="6" s="1"/>
  <c r="G94" i="6" a="1"/>
  <c r="G94" i="6" s="1"/>
  <c r="O93" i="6" a="1"/>
  <c r="O93" i="6" s="1"/>
  <c r="B93" i="6" a="1"/>
  <c r="B93" i="6" s="1"/>
  <c r="J92" i="6" a="1"/>
  <c r="J92" i="6" s="1"/>
  <c r="C92" i="6" a="1"/>
  <c r="C92" i="6" s="1"/>
  <c r="K91" i="6" a="1"/>
  <c r="K91" i="6" s="1"/>
  <c r="L90" i="6" a="1"/>
  <c r="L90" i="6" s="1"/>
  <c r="F90" i="6" a="1"/>
  <c r="F90" i="6" s="1"/>
  <c r="M89" i="6" a="1"/>
  <c r="M89" i="6" s="1"/>
  <c r="G89" i="6" a="1"/>
  <c r="G89" i="6" s="1"/>
  <c r="H88" i="6" a="1"/>
  <c r="H88" i="6" s="1"/>
  <c r="B88" i="6" a="1"/>
  <c r="B88" i="6" s="1"/>
  <c r="I87" i="6" a="1"/>
  <c r="I87" i="6" s="1"/>
  <c r="C87" i="6" a="1"/>
  <c r="C87" i="6" s="1"/>
  <c r="D86" i="6" a="1"/>
  <c r="D86" i="6" s="1"/>
  <c r="L85" i="6" a="1"/>
  <c r="L85" i="6" s="1"/>
  <c r="E85" i="6" a="1"/>
  <c r="E85" i="6" s="1"/>
  <c r="M84" i="6" a="1"/>
  <c r="M84" i="6" s="1"/>
  <c r="N83" i="6" a="1"/>
  <c r="N83" i="6" s="1"/>
  <c r="H83" i="6" a="1"/>
  <c r="H83" i="6" s="1"/>
  <c r="M127" i="6" a="1"/>
  <c r="M127" i="6" s="1"/>
  <c r="E123" i="6" a="1"/>
  <c r="E123" i="6" s="1"/>
  <c r="K118" i="6" a="1"/>
  <c r="K118" i="6" s="1"/>
  <c r="C114" i="6" a="1"/>
  <c r="C114" i="6" s="1"/>
  <c r="J107" i="6" a="1"/>
  <c r="J107" i="6" s="1"/>
  <c r="D107" i="6" a="1"/>
  <c r="D107" i="6" s="1"/>
  <c r="K106" i="6" a="1"/>
  <c r="K106" i="6" s="1"/>
  <c r="E106" i="6" a="1"/>
  <c r="E106" i="6" s="1"/>
  <c r="F105" i="6" a="1"/>
  <c r="F105" i="6" s="1"/>
  <c r="N104" i="6" a="1"/>
  <c r="N104" i="6" s="1"/>
  <c r="G104" i="6" a="1"/>
  <c r="G104" i="6" s="1"/>
  <c r="O103" i="6" a="1"/>
  <c r="O103" i="6" s="1"/>
  <c r="B103" i="6" a="1"/>
  <c r="B103" i="6" s="1"/>
  <c r="J102" i="6" a="1"/>
  <c r="J102" i="6" s="1"/>
  <c r="C102" i="6" a="1"/>
  <c r="C102" i="6" s="1"/>
  <c r="K101" i="6" a="1"/>
  <c r="K101" i="6" s="1"/>
  <c r="L100" i="6" a="1"/>
  <c r="L100" i="6" s="1"/>
  <c r="F100" i="6" a="1"/>
  <c r="F100" i="6" s="1"/>
  <c r="M99" i="6" a="1"/>
  <c r="M99" i="6" s="1"/>
  <c r="G99" i="6" a="1"/>
  <c r="G99" i="6" s="1"/>
  <c r="H98" i="6" a="1"/>
  <c r="H98" i="6" s="1"/>
  <c r="B98" i="6" a="1"/>
  <c r="B98" i="6" s="1"/>
  <c r="I97" i="6" a="1"/>
  <c r="I97" i="6" s="1"/>
  <c r="C97" i="6" a="1"/>
  <c r="C97" i="6" s="1"/>
  <c r="D96" i="6" a="1"/>
  <c r="D96" i="6" s="1"/>
  <c r="L95" i="6" a="1"/>
  <c r="L95" i="6" s="1"/>
  <c r="E95" i="6" a="1"/>
  <c r="E95" i="6" s="1"/>
  <c r="M94" i="6" a="1"/>
  <c r="M94" i="6" s="1"/>
  <c r="N93" i="6" a="1"/>
  <c r="N93" i="6" s="1"/>
  <c r="H93" i="6" a="1"/>
  <c r="H93" i="6" s="1"/>
  <c r="O92" i="6" a="1"/>
  <c r="O92" i="6" s="1"/>
  <c r="I92" i="6" a="1"/>
  <c r="I92" i="6" s="1"/>
  <c r="J91" i="6" a="1"/>
  <c r="J91" i="6" s="1"/>
  <c r="D91" i="6" a="1"/>
  <c r="D91" i="6" s="1"/>
  <c r="K90" i="6" a="1"/>
  <c r="K90" i="6" s="1"/>
  <c r="E90" i="6" a="1"/>
  <c r="E90" i="6" s="1"/>
  <c r="F89" i="6" a="1"/>
  <c r="F89" i="6" s="1"/>
  <c r="N88" i="6" a="1"/>
  <c r="N88" i="6" s="1"/>
  <c r="G88" i="6" a="1"/>
  <c r="G88" i="6" s="1"/>
  <c r="O87" i="6" a="1"/>
  <c r="O87" i="6" s="1"/>
  <c r="B87" i="6" a="1"/>
  <c r="B87" i="6" s="1"/>
  <c r="J86" i="6" a="1"/>
  <c r="J86" i="6" s="1"/>
  <c r="C86" i="6" a="1"/>
  <c r="C86" i="6" s="1"/>
  <c r="K85" i="6" a="1"/>
  <c r="K85" i="6" s="1"/>
  <c r="L84" i="6" a="1"/>
  <c r="L84" i="6" s="1"/>
  <c r="F84" i="6" a="1"/>
  <c r="F84" i="6" s="1"/>
  <c r="M83" i="6" a="1"/>
  <c r="M83" i="6" s="1"/>
  <c r="G83" i="6" a="1"/>
  <c r="G83" i="6" s="1"/>
  <c r="C83" i="6" a="1"/>
  <c r="C83" i="6" s="1"/>
  <c r="M82" i="6" a="1"/>
  <c r="M82" i="6" s="1"/>
  <c r="I82" i="6" a="1"/>
  <c r="I82" i="6" s="1"/>
  <c r="E82" i="6" a="1"/>
  <c r="E82" i="6" s="1"/>
  <c r="O81" i="6" a="1"/>
  <c r="O81" i="6" s="1"/>
  <c r="K81" i="6" a="1"/>
  <c r="K81" i="6" s="1"/>
  <c r="G81" i="6" a="1"/>
  <c r="G81" i="6" s="1"/>
  <c r="C81" i="6" a="1"/>
  <c r="C81" i="6" s="1"/>
  <c r="M80" i="6" a="1"/>
  <c r="M80" i="6" s="1"/>
  <c r="I80" i="6" a="1"/>
  <c r="I80" i="6" s="1"/>
  <c r="E80" i="6" a="1"/>
  <c r="E80" i="6" s="1"/>
  <c r="O79" i="6" a="1"/>
  <c r="O79" i="6" s="1"/>
  <c r="K79" i="6" a="1"/>
  <c r="K79" i="6" s="1"/>
  <c r="G79" i="6" a="1"/>
  <c r="G79" i="6" s="1"/>
  <c r="C79" i="6" a="1"/>
  <c r="C79" i="6" s="1"/>
  <c r="M78" i="6" a="1"/>
  <c r="M78" i="6" s="1"/>
  <c r="I78" i="6" a="1"/>
  <c r="I78" i="6" s="1"/>
  <c r="E78" i="6" a="1"/>
  <c r="E78" i="6" s="1"/>
  <c r="O77" i="6" a="1"/>
  <c r="O77" i="6" s="1"/>
  <c r="K77" i="6" a="1"/>
  <c r="K77" i="6" s="1"/>
  <c r="G77" i="6" a="1"/>
  <c r="G77" i="6" s="1"/>
  <c r="C77" i="6" a="1"/>
  <c r="C77" i="6" s="1"/>
  <c r="M76" i="6" a="1"/>
  <c r="M76" i="6" s="1"/>
  <c r="I76" i="6" a="1"/>
  <c r="I76" i="6" s="1"/>
  <c r="E76" i="6" a="1"/>
  <c r="E76" i="6" s="1"/>
  <c r="O75" i="6" a="1"/>
  <c r="O75" i="6" s="1"/>
  <c r="K75" i="6" a="1"/>
  <c r="K75" i="6" s="1"/>
  <c r="G75" i="6" a="1"/>
  <c r="G75" i="6" s="1"/>
  <c r="C75" i="6" a="1"/>
  <c r="C75" i="6" s="1"/>
  <c r="M74" i="6" a="1"/>
  <c r="M74" i="6" s="1"/>
  <c r="I74" i="6" a="1"/>
  <c r="I74" i="6" s="1"/>
  <c r="E74" i="6" a="1"/>
  <c r="E74" i="6" s="1"/>
  <c r="O73" i="6" a="1"/>
  <c r="O73" i="6" s="1"/>
  <c r="K73" i="6" a="1"/>
  <c r="K73" i="6" s="1"/>
  <c r="G73" i="6" a="1"/>
  <c r="G73" i="6" s="1"/>
  <c r="C73" i="6" a="1"/>
  <c r="C73" i="6" s="1"/>
  <c r="M72" i="6" a="1"/>
  <c r="M72" i="6" s="1"/>
  <c r="I72" i="6" a="1"/>
  <c r="I72" i="6" s="1"/>
  <c r="E72" i="6" a="1"/>
  <c r="E72" i="6" s="1"/>
  <c r="O71" i="6" a="1"/>
  <c r="O71" i="6" s="1"/>
  <c r="K71" i="6" a="1"/>
  <c r="K71" i="6" s="1"/>
  <c r="G71" i="6" a="1"/>
  <c r="G71" i="6" s="1"/>
  <c r="C71" i="6" a="1"/>
  <c r="C71" i="6" s="1"/>
  <c r="M70" i="6" a="1"/>
  <c r="M70" i="6" s="1"/>
  <c r="I70" i="6" a="1"/>
  <c r="I70" i="6" s="1"/>
  <c r="E70" i="6" a="1"/>
  <c r="E70" i="6" s="1"/>
  <c r="O69" i="6" a="1"/>
  <c r="O69" i="6" s="1"/>
  <c r="K69" i="6" a="1"/>
  <c r="K69" i="6" s="1"/>
  <c r="G69" i="6" a="1"/>
  <c r="G69" i="6" s="1"/>
  <c r="C69" i="6" a="1"/>
  <c r="C69" i="6" s="1"/>
  <c r="M68" i="6" a="1"/>
  <c r="M68" i="6" s="1"/>
  <c r="I68" i="6" a="1"/>
  <c r="I68" i="6" s="1"/>
  <c r="E68" i="6" a="1"/>
  <c r="E68" i="6" s="1"/>
  <c r="O67" i="6" a="1"/>
  <c r="O67" i="6" s="1"/>
  <c r="K67" i="6" a="1"/>
  <c r="K67" i="6" s="1"/>
  <c r="G67" i="6" a="1"/>
  <c r="G67" i="6" s="1"/>
  <c r="C67" i="6" a="1"/>
  <c r="C67" i="6" s="1"/>
  <c r="D2" i="6" a="1"/>
  <c r="D2" i="6" s="1"/>
  <c r="H2" i="6" a="1"/>
  <c r="H2" i="6" s="1"/>
  <c r="L2" i="6" a="1"/>
  <c r="L2" i="6" s="1"/>
  <c r="B3" i="6" a="1"/>
  <c r="B3" i="6" s="1"/>
  <c r="F3" i="6" a="1"/>
  <c r="F3" i="6" s="1"/>
  <c r="J3" i="6" a="1"/>
  <c r="J3" i="6" s="1"/>
  <c r="N3" i="6" a="1"/>
  <c r="N3" i="6" s="1"/>
  <c r="D4" i="6" a="1"/>
  <c r="D4" i="6" s="1"/>
  <c r="H4" i="6" a="1"/>
  <c r="H4" i="6" s="1"/>
  <c r="O4" i="6" a="1"/>
  <c r="O4" i="6" s="1"/>
  <c r="I5" i="6" a="1"/>
  <c r="I5" i="6" s="1"/>
  <c r="C6" i="6" a="1"/>
  <c r="C6" i="6" s="1"/>
  <c r="K6" i="6" a="1"/>
  <c r="K6" i="6" s="1"/>
  <c r="E7" i="6" a="1"/>
  <c r="E7" i="6" s="1"/>
  <c r="M7" i="6" a="1"/>
  <c r="M7" i="6" s="1"/>
  <c r="G8" i="6" a="1"/>
  <c r="G8" i="6" s="1"/>
  <c r="O8" i="6" a="1"/>
  <c r="O8" i="6" s="1"/>
  <c r="I9" i="6" a="1"/>
  <c r="I9" i="6" s="1"/>
  <c r="C10" i="6" a="1"/>
  <c r="C10" i="6" s="1"/>
  <c r="K10" i="6" a="1"/>
  <c r="K10" i="6" s="1"/>
  <c r="E11" i="6" a="1"/>
  <c r="E11" i="6" s="1"/>
  <c r="M11" i="6" a="1"/>
  <c r="M11" i="6" s="1"/>
  <c r="G12" i="6" a="1"/>
  <c r="G12" i="6" s="1"/>
  <c r="O12" i="6" a="1"/>
  <c r="O12" i="6" s="1"/>
  <c r="I13" i="6" a="1"/>
  <c r="I13" i="6" s="1"/>
  <c r="C14" i="6" a="1"/>
  <c r="C14" i="6" s="1"/>
  <c r="K14" i="6" a="1"/>
  <c r="K14" i="6" s="1"/>
  <c r="E15" i="6" a="1"/>
  <c r="E15" i="6" s="1"/>
  <c r="M15" i="6" a="1"/>
  <c r="M15" i="6" s="1"/>
  <c r="G16" i="6" a="1"/>
  <c r="G16" i="6" s="1"/>
  <c r="O16" i="6" a="1"/>
  <c r="O16" i="6" s="1"/>
  <c r="I17" i="6" a="1"/>
  <c r="I17" i="6" s="1"/>
  <c r="C18" i="6" a="1"/>
  <c r="C18" i="6" s="1"/>
  <c r="K18" i="6" a="1"/>
  <c r="K18" i="6" s="1"/>
  <c r="E19" i="6" a="1"/>
  <c r="E19" i="6" s="1"/>
  <c r="M19" i="6" a="1"/>
  <c r="M19" i="6" s="1"/>
  <c r="G20" i="6" a="1"/>
  <c r="G20" i="6" s="1"/>
  <c r="O20" i="6" a="1"/>
  <c r="O20" i="6" s="1"/>
  <c r="I21" i="6" a="1"/>
  <c r="I21" i="6" s="1"/>
  <c r="C22" i="6" a="1"/>
  <c r="C22" i="6" s="1"/>
  <c r="K22" i="6" a="1"/>
  <c r="K22" i="6" s="1"/>
  <c r="E23" i="6" a="1"/>
  <c r="E23" i="6" s="1"/>
  <c r="M23" i="6" a="1"/>
  <c r="M23" i="6" s="1"/>
  <c r="G24" i="6" a="1"/>
  <c r="G24" i="6" s="1"/>
  <c r="O24" i="6" a="1"/>
  <c r="O24" i="6" s="1"/>
  <c r="I25" i="6" a="1"/>
  <c r="I25" i="6" s="1"/>
  <c r="C26" i="6" a="1"/>
  <c r="C26" i="6" s="1"/>
  <c r="K26" i="6" a="1"/>
  <c r="K26" i="6" s="1"/>
  <c r="E27" i="6" a="1"/>
  <c r="E27" i="6" s="1"/>
  <c r="M27" i="6" a="1"/>
  <c r="M27" i="6" s="1"/>
  <c r="G28" i="6" a="1"/>
  <c r="G28" i="6" s="1"/>
  <c r="O28" i="6" a="1"/>
  <c r="O28" i="6" s="1"/>
  <c r="I29" i="6" a="1"/>
  <c r="I29" i="6" s="1"/>
  <c r="C30" i="6" a="1"/>
  <c r="C30" i="6" s="1"/>
  <c r="K30" i="6" a="1"/>
  <c r="K30" i="6" s="1"/>
  <c r="E31" i="6" a="1"/>
  <c r="E31" i="6" s="1"/>
  <c r="M31" i="6" a="1"/>
  <c r="M31" i="6" s="1"/>
  <c r="G32" i="6" a="1"/>
  <c r="G32" i="6" s="1"/>
  <c r="O32" i="6" a="1"/>
  <c r="O32" i="6" s="1"/>
  <c r="I33" i="6" a="1"/>
  <c r="I33" i="6" s="1"/>
  <c r="C34" i="6" a="1"/>
  <c r="C34" i="6" s="1"/>
  <c r="K34" i="6" a="1"/>
  <c r="K34" i="6" s="1"/>
  <c r="E35" i="6" a="1"/>
  <c r="E35" i="6" s="1"/>
  <c r="M35" i="6" a="1"/>
  <c r="M35" i="6" s="1"/>
  <c r="G36" i="6" a="1"/>
  <c r="G36" i="6" s="1"/>
  <c r="O36" i="6" a="1"/>
  <c r="O36" i="6" s="1"/>
  <c r="I37" i="6" a="1"/>
  <c r="I37" i="6" s="1"/>
  <c r="C38" i="6" a="1"/>
  <c r="C38" i="6" s="1"/>
  <c r="K38" i="6" a="1"/>
  <c r="K38" i="6" s="1"/>
  <c r="E39" i="6" a="1"/>
  <c r="E39" i="6" s="1"/>
  <c r="M39" i="6" a="1"/>
  <c r="M39" i="6" s="1"/>
  <c r="G40" i="6" a="1"/>
  <c r="G40" i="6" s="1"/>
  <c r="O40" i="6" a="1"/>
  <c r="O40" i="6" s="1"/>
  <c r="I41" i="6" a="1"/>
  <c r="I41" i="6" s="1"/>
  <c r="C42" i="6" a="1"/>
  <c r="C42" i="6" s="1"/>
  <c r="K42" i="6" a="1"/>
  <c r="K42" i="6" s="1"/>
  <c r="E43" i="6" a="1"/>
  <c r="E43" i="6" s="1"/>
  <c r="M43" i="6" a="1"/>
  <c r="M43" i="6" s="1"/>
  <c r="G44" i="6" a="1"/>
  <c r="G44" i="6" s="1"/>
  <c r="O44" i="6" a="1"/>
  <c r="O44" i="6" s="1"/>
  <c r="I45" i="6" a="1"/>
  <c r="I45" i="6" s="1"/>
  <c r="C46" i="6" a="1"/>
  <c r="C46" i="6" s="1"/>
  <c r="K46" i="6" a="1"/>
  <c r="K46" i="6" s="1"/>
  <c r="E47" i="6" a="1"/>
  <c r="E47" i="6" s="1"/>
  <c r="M47" i="6" a="1"/>
  <c r="M47" i="6" s="1"/>
  <c r="G48" i="6" a="1"/>
  <c r="G48" i="6" s="1"/>
  <c r="O48" i="6" a="1"/>
  <c r="O48" i="6" s="1"/>
  <c r="I49" i="6" a="1"/>
  <c r="I49" i="6" s="1"/>
  <c r="C50" i="6" a="1"/>
  <c r="C50" i="6" s="1"/>
  <c r="K50" i="6" a="1"/>
  <c r="K50" i="6" s="1"/>
  <c r="E51" i="6" a="1"/>
  <c r="E51" i="6" s="1"/>
  <c r="M51" i="6" a="1"/>
  <c r="M51" i="6" s="1"/>
  <c r="G52" i="6" a="1"/>
  <c r="G52" i="6" s="1"/>
  <c r="O52" i="6" a="1"/>
  <c r="O52" i="6" s="1"/>
  <c r="I53" i="6" a="1"/>
  <c r="I53" i="6" s="1"/>
  <c r="C54" i="6" a="1"/>
  <c r="C54" i="6" s="1"/>
  <c r="K54" i="6" a="1"/>
  <c r="K54" i="6" s="1"/>
  <c r="E55" i="6" a="1"/>
  <c r="E55" i="6" s="1"/>
  <c r="M55" i="6" a="1"/>
  <c r="M55" i="6" s="1"/>
  <c r="G56" i="6" a="1"/>
  <c r="G56" i="6" s="1"/>
  <c r="O56" i="6" a="1"/>
  <c r="O56" i="6" s="1"/>
  <c r="I57" i="6" a="1"/>
  <c r="I57" i="6" s="1"/>
  <c r="C58" i="6" a="1"/>
  <c r="C58" i="6" s="1"/>
  <c r="K58" i="6" a="1"/>
  <c r="K58" i="6" s="1"/>
  <c r="E59" i="6" a="1"/>
  <c r="E59" i="6" s="1"/>
  <c r="M59" i="6" a="1"/>
  <c r="M59" i="6" s="1"/>
  <c r="G60" i="6" a="1"/>
  <c r="G60" i="6" s="1"/>
  <c r="O60" i="6" a="1"/>
  <c r="O60" i="6" s="1"/>
  <c r="I61" i="6" a="1"/>
  <c r="I61" i="6" s="1"/>
  <c r="C62" i="6" a="1"/>
  <c r="C62" i="6" s="1"/>
  <c r="K62" i="6" a="1"/>
  <c r="K62" i="6" s="1"/>
  <c r="E63" i="6" a="1"/>
  <c r="E63" i="6" s="1"/>
  <c r="M63" i="6" a="1"/>
  <c r="M63" i="6" s="1"/>
  <c r="G64" i="6" a="1"/>
  <c r="G64" i="6" s="1"/>
  <c r="O64" i="6" a="1"/>
  <c r="O64" i="6" s="1"/>
  <c r="I65" i="6" a="1"/>
  <c r="I65" i="6" s="1"/>
  <c r="C66" i="6" a="1"/>
  <c r="C66" i="6" s="1"/>
  <c r="K66" i="6" a="1"/>
  <c r="K66" i="6" s="1"/>
  <c r="B68" i="6" a="1"/>
  <c r="B68" i="6" s="1"/>
  <c r="F70" i="6" a="1"/>
  <c r="F70" i="6" s="1"/>
  <c r="J72" i="6" a="1"/>
  <c r="J72" i="6" s="1"/>
  <c r="N74" i="6" a="1"/>
  <c r="N74" i="6" s="1"/>
  <c r="D77" i="6" a="1"/>
  <c r="D77" i="6" s="1"/>
  <c r="H79" i="6" a="1"/>
  <c r="H79" i="6" s="1"/>
  <c r="L81" i="6" a="1"/>
  <c r="L81" i="6" s="1"/>
  <c r="G84" i="6" a="1"/>
  <c r="G84" i="6" s="1"/>
  <c r="L91" i="6" a="1"/>
  <c r="L91" i="6" s="1"/>
  <c r="G95" i="6" a="1"/>
  <c r="G95" i="6" s="1"/>
  <c r="B99" i="6" a="1"/>
  <c r="B99" i="6" s="1"/>
  <c r="K102" i="6" a="1"/>
  <c r="K102" i="6" s="1"/>
  <c r="M119" i="6" a="1"/>
  <c r="M119" i="6" s="1"/>
  <c r="O276" i="6" a="1"/>
  <c r="O276" i="6" s="1"/>
  <c r="G276" i="6" a="1"/>
  <c r="G276" i="6" s="1"/>
  <c r="M275" i="6" a="1"/>
  <c r="M275" i="6" s="1"/>
  <c r="E275" i="6" a="1"/>
  <c r="E275" i="6" s="1"/>
  <c r="K274" i="6" a="1"/>
  <c r="K274" i="6" s="1"/>
  <c r="C274" i="6" a="1"/>
  <c r="C274" i="6" s="1"/>
  <c r="I273" i="6" a="1"/>
  <c r="I273" i="6" s="1"/>
  <c r="O272" i="6" a="1"/>
  <c r="O272" i="6" s="1"/>
  <c r="G272" i="6" a="1"/>
  <c r="G272" i="6" s="1"/>
  <c r="M271" i="6" a="1"/>
  <c r="M271" i="6" s="1"/>
  <c r="E271" i="6" a="1"/>
  <c r="E271" i="6" s="1"/>
  <c r="K270" i="6" a="1"/>
  <c r="K270" i="6" s="1"/>
  <c r="C270" i="6" a="1"/>
  <c r="C270" i="6" s="1"/>
  <c r="I269" i="6" a="1"/>
  <c r="I269" i="6" s="1"/>
  <c r="O268" i="6" a="1"/>
  <c r="O268" i="6" s="1"/>
  <c r="G268" i="6" a="1"/>
  <c r="G268" i="6" s="1"/>
  <c r="M267" i="6" a="1"/>
  <c r="M267" i="6" s="1"/>
  <c r="E267" i="6" a="1"/>
  <c r="E267" i="6" s="1"/>
  <c r="K266" i="6" a="1"/>
  <c r="K266" i="6" s="1"/>
  <c r="C266" i="6" a="1"/>
  <c r="C266" i="6" s="1"/>
  <c r="I265" i="6" a="1"/>
  <c r="I265" i="6" s="1"/>
  <c r="O264" i="6" a="1"/>
  <c r="O264" i="6" s="1"/>
  <c r="G264" i="6" a="1"/>
  <c r="G264" i="6" s="1"/>
  <c r="M263" i="6" a="1"/>
  <c r="M263" i="6" s="1"/>
  <c r="E263" i="6" a="1"/>
  <c r="E263" i="6" s="1"/>
  <c r="K262" i="6" a="1"/>
  <c r="K262" i="6" s="1"/>
  <c r="C262" i="6" a="1"/>
  <c r="C262" i="6" s="1"/>
  <c r="I261" i="6" a="1"/>
  <c r="I261" i="6" s="1"/>
  <c r="O260" i="6" a="1"/>
  <c r="O260" i="6" s="1"/>
  <c r="G260" i="6" a="1"/>
  <c r="G260" i="6" s="1"/>
  <c r="M259" i="6" a="1"/>
  <c r="M259" i="6" s="1"/>
  <c r="E259" i="6" a="1"/>
  <c r="E259" i="6" s="1"/>
  <c r="K258" i="6" a="1"/>
  <c r="K258" i="6" s="1"/>
  <c r="C258" i="6" a="1"/>
  <c r="C258" i="6" s="1"/>
  <c r="I257" i="6" a="1"/>
  <c r="I257" i="6" s="1"/>
  <c r="O256" i="6" a="1"/>
  <c r="O256" i="6" s="1"/>
  <c r="G256" i="6" a="1"/>
  <c r="G256" i="6" s="1"/>
  <c r="M255" i="6" a="1"/>
  <c r="M255" i="6" s="1"/>
  <c r="E255" i="6" a="1"/>
  <c r="E255" i="6" s="1"/>
  <c r="K254" i="6" a="1"/>
  <c r="K254" i="6" s="1"/>
  <c r="C254" i="6" a="1"/>
  <c r="C254" i="6" s="1"/>
  <c r="I253" i="6" a="1"/>
  <c r="I253" i="6" s="1"/>
  <c r="O252" i="6" a="1"/>
  <c r="O252" i="6" s="1"/>
  <c r="G252" i="6" a="1"/>
  <c r="G252" i="6" s="1"/>
  <c r="M251" i="6" a="1"/>
  <c r="M251" i="6" s="1"/>
  <c r="E251" i="6" a="1"/>
  <c r="E251" i="6" s="1"/>
  <c r="K250" i="6" a="1"/>
  <c r="K250" i="6" s="1"/>
  <c r="C250" i="6" a="1"/>
  <c r="C250" i="6" s="1"/>
  <c r="N276" i="6" a="1"/>
  <c r="N276" i="6" s="1"/>
  <c r="F276" i="6" a="1"/>
  <c r="F276" i="6" s="1"/>
  <c r="L275" i="6" a="1"/>
  <c r="L275" i="6" s="1"/>
  <c r="D275" i="6" a="1"/>
  <c r="D275" i="6" s="1"/>
  <c r="J274" i="6" a="1"/>
  <c r="J274" i="6" s="1"/>
  <c r="B274" i="6" a="1"/>
  <c r="B274" i="6" s="1"/>
  <c r="H273" i="6" a="1"/>
  <c r="H273" i="6" s="1"/>
  <c r="N272" i="6" a="1"/>
  <c r="N272" i="6" s="1"/>
  <c r="F272" i="6" a="1"/>
  <c r="F272" i="6" s="1"/>
  <c r="L271" i="6" a="1"/>
  <c r="L271" i="6" s="1"/>
  <c r="D271" i="6" a="1"/>
  <c r="D271" i="6" s="1"/>
  <c r="J270" i="6" a="1"/>
  <c r="J270" i="6" s="1"/>
  <c r="B270" i="6" a="1"/>
  <c r="B270" i="6" s="1"/>
  <c r="H269" i="6" a="1"/>
  <c r="H269" i="6" s="1"/>
  <c r="N268" i="6" a="1"/>
  <c r="N268" i="6" s="1"/>
  <c r="F268" i="6" a="1"/>
  <c r="F268" i="6" s="1"/>
  <c r="L267" i="6" a="1"/>
  <c r="L267" i="6" s="1"/>
  <c r="D267" i="6" a="1"/>
  <c r="D267" i="6" s="1"/>
  <c r="J266" i="6" a="1"/>
  <c r="J266" i="6" s="1"/>
  <c r="B266" i="6" a="1"/>
  <c r="B266" i="6" s="1"/>
  <c r="H265" i="6" a="1"/>
  <c r="H265" i="6" s="1"/>
  <c r="N264" i="6" a="1"/>
  <c r="N264" i="6" s="1"/>
  <c r="F264" i="6" a="1"/>
  <c r="F264" i="6" s="1"/>
  <c r="L263" i="6" a="1"/>
  <c r="L263" i="6" s="1"/>
  <c r="D263" i="6" a="1"/>
  <c r="D263" i="6" s="1"/>
  <c r="J262" i="6" a="1"/>
  <c r="J262" i="6" s="1"/>
  <c r="B262" i="6" a="1"/>
  <c r="B262" i="6" s="1"/>
  <c r="H261" i="6" a="1"/>
  <c r="H261" i="6" s="1"/>
  <c r="N260" i="6" a="1"/>
  <c r="N260" i="6" s="1"/>
  <c r="F260" i="6" a="1"/>
  <c r="F260" i="6" s="1"/>
  <c r="L259" i="6" a="1"/>
  <c r="L259" i="6" s="1"/>
  <c r="D259" i="6" a="1"/>
  <c r="D259" i="6" s="1"/>
  <c r="J258" i="6" a="1"/>
  <c r="J258" i="6" s="1"/>
  <c r="B258" i="6" a="1"/>
  <c r="B258" i="6" s="1"/>
  <c r="H257" i="6" a="1"/>
  <c r="H257" i="6" s="1"/>
  <c r="N256" i="6" a="1"/>
  <c r="N256" i="6" s="1"/>
  <c r="F256" i="6" a="1"/>
  <c r="F256" i="6" s="1"/>
  <c r="L255" i="6" a="1"/>
  <c r="L255" i="6" s="1"/>
  <c r="D255" i="6" a="1"/>
  <c r="D255" i="6" s="1"/>
  <c r="J254" i="6" a="1"/>
  <c r="J254" i="6" s="1"/>
  <c r="B254" i="6" a="1"/>
  <c r="B254" i="6" s="1"/>
  <c r="H253" i="6" a="1"/>
  <c r="H253" i="6" s="1"/>
  <c r="N252" i="6" a="1"/>
  <c r="N252" i="6" s="1"/>
  <c r="F252" i="6" a="1"/>
  <c r="F252" i="6" s="1"/>
  <c r="L251" i="6" a="1"/>
  <c r="L251" i="6" s="1"/>
  <c r="D251" i="6" a="1"/>
  <c r="D251" i="6" s="1"/>
  <c r="J250" i="6" a="1"/>
  <c r="J250" i="6" s="1"/>
  <c r="B250" i="6" a="1"/>
  <c r="B250" i="6" s="1"/>
  <c r="I249" i="6" a="1"/>
  <c r="I249" i="6" s="1"/>
  <c r="E249" i="6" a="1"/>
  <c r="E249" i="6" s="1"/>
  <c r="O248" i="6" a="1"/>
  <c r="O248" i="6" s="1"/>
  <c r="K248" i="6" a="1"/>
  <c r="K248" i="6" s="1"/>
  <c r="G248" i="6" a="1"/>
  <c r="G248" i="6" s="1"/>
  <c r="C248" i="6" a="1"/>
  <c r="C248" i="6" s="1"/>
  <c r="M247" i="6" a="1"/>
  <c r="M247" i="6" s="1"/>
  <c r="I247" i="6" a="1"/>
  <c r="I247" i="6" s="1"/>
  <c r="E247" i="6" a="1"/>
  <c r="E247" i="6" s="1"/>
  <c r="O246" i="6" a="1"/>
  <c r="O246" i="6" s="1"/>
  <c r="K246" i="6" a="1"/>
  <c r="K246" i="6" s="1"/>
  <c r="G246" i="6" a="1"/>
  <c r="G246" i="6" s="1"/>
  <c r="C246" i="6" a="1"/>
  <c r="C246" i="6" s="1"/>
  <c r="M245" i="6" a="1"/>
  <c r="M245" i="6" s="1"/>
  <c r="I245" i="6" a="1"/>
  <c r="I245" i="6" s="1"/>
  <c r="E245" i="6" a="1"/>
  <c r="E245" i="6" s="1"/>
  <c r="O244" i="6" a="1"/>
  <c r="O244" i="6" s="1"/>
  <c r="M276" i="6" a="1"/>
  <c r="M276" i="6" s="1"/>
  <c r="E276" i="6" a="1"/>
  <c r="E276" i="6" s="1"/>
  <c r="K275" i="6" a="1"/>
  <c r="K275" i="6" s="1"/>
  <c r="C275" i="6" a="1"/>
  <c r="C275" i="6" s="1"/>
  <c r="I274" i="6" a="1"/>
  <c r="I274" i="6" s="1"/>
  <c r="O273" i="6" a="1"/>
  <c r="O273" i="6" s="1"/>
  <c r="G273" i="6" a="1"/>
  <c r="G273" i="6" s="1"/>
  <c r="M272" i="6" a="1"/>
  <c r="M272" i="6" s="1"/>
  <c r="E272" i="6" a="1"/>
  <c r="E272" i="6" s="1"/>
  <c r="K271" i="6" a="1"/>
  <c r="K271" i="6" s="1"/>
  <c r="C271" i="6" a="1"/>
  <c r="C271" i="6" s="1"/>
  <c r="I270" i="6" a="1"/>
  <c r="I270" i="6" s="1"/>
  <c r="O269" i="6" a="1"/>
  <c r="O269" i="6" s="1"/>
  <c r="G269" i="6" a="1"/>
  <c r="G269" i="6" s="1"/>
  <c r="M268" i="6" a="1"/>
  <c r="M268" i="6" s="1"/>
  <c r="E268" i="6" a="1"/>
  <c r="E268" i="6" s="1"/>
  <c r="K267" i="6" a="1"/>
  <c r="K267" i="6" s="1"/>
  <c r="C267" i="6" a="1"/>
  <c r="C267" i="6" s="1"/>
  <c r="I266" i="6" a="1"/>
  <c r="I266" i="6" s="1"/>
  <c r="O265" i="6" a="1"/>
  <c r="O265" i="6" s="1"/>
  <c r="G265" i="6" a="1"/>
  <c r="G265" i="6" s="1"/>
  <c r="M264" i="6" a="1"/>
  <c r="M264" i="6" s="1"/>
  <c r="E264" i="6" a="1"/>
  <c r="E264" i="6" s="1"/>
  <c r="K263" i="6" a="1"/>
  <c r="K263" i="6" s="1"/>
  <c r="C263" i="6" a="1"/>
  <c r="C263" i="6" s="1"/>
  <c r="I262" i="6" a="1"/>
  <c r="I262" i="6" s="1"/>
  <c r="O261" i="6" a="1"/>
  <c r="O261" i="6" s="1"/>
  <c r="G261" i="6" a="1"/>
  <c r="G261" i="6" s="1"/>
  <c r="M260" i="6" a="1"/>
  <c r="M260" i="6" s="1"/>
  <c r="E260" i="6" a="1"/>
  <c r="E260" i="6" s="1"/>
  <c r="K259" i="6" a="1"/>
  <c r="K259" i="6" s="1"/>
  <c r="C259" i="6" a="1"/>
  <c r="C259" i="6" s="1"/>
  <c r="I258" i="6" a="1"/>
  <c r="I258" i="6" s="1"/>
  <c r="O257" i="6" a="1"/>
  <c r="O257" i="6" s="1"/>
  <c r="G257" i="6" a="1"/>
  <c r="G257" i="6" s="1"/>
  <c r="M256" i="6" a="1"/>
  <c r="M256" i="6" s="1"/>
  <c r="E256" i="6" a="1"/>
  <c r="E256" i="6" s="1"/>
  <c r="K255" i="6" a="1"/>
  <c r="K255" i="6" s="1"/>
  <c r="C255" i="6" a="1"/>
  <c r="C255" i="6" s="1"/>
  <c r="I254" i="6" a="1"/>
  <c r="I254" i="6" s="1"/>
  <c r="O253" i="6" a="1"/>
  <c r="O253" i="6" s="1"/>
  <c r="G253" i="6" a="1"/>
  <c r="G253" i="6" s="1"/>
  <c r="M252" i="6" a="1"/>
  <c r="M252" i="6" s="1"/>
  <c r="E252" i="6" a="1"/>
  <c r="E252" i="6" s="1"/>
  <c r="K251" i="6" a="1"/>
  <c r="K251" i="6" s="1"/>
  <c r="C251" i="6" a="1"/>
  <c r="C251" i="6" s="1"/>
  <c r="I250" i="6" a="1"/>
  <c r="I250" i="6" s="1"/>
  <c r="O249" i="6" a="1"/>
  <c r="O249" i="6" s="1"/>
  <c r="L276" i="6" a="1"/>
  <c r="L276" i="6" s="1"/>
  <c r="D276" i="6" a="1"/>
  <c r="D276" i="6" s="1"/>
  <c r="J275" i="6" a="1"/>
  <c r="J275" i="6" s="1"/>
  <c r="B275" i="6" a="1"/>
  <c r="B275" i="6" s="1"/>
  <c r="H274" i="6" a="1"/>
  <c r="H274" i="6" s="1"/>
  <c r="N273" i="6" a="1"/>
  <c r="N273" i="6" s="1"/>
  <c r="F273" i="6" a="1"/>
  <c r="F273" i="6" s="1"/>
  <c r="L272" i="6" a="1"/>
  <c r="L272" i="6" s="1"/>
  <c r="D272" i="6" a="1"/>
  <c r="D272" i="6" s="1"/>
  <c r="J271" i="6" a="1"/>
  <c r="J271" i="6" s="1"/>
  <c r="B271" i="6" a="1"/>
  <c r="B271" i="6" s="1"/>
  <c r="H270" i="6" a="1"/>
  <c r="H270" i="6" s="1"/>
  <c r="N269" i="6" a="1"/>
  <c r="N269" i="6" s="1"/>
  <c r="F269" i="6" a="1"/>
  <c r="F269" i="6" s="1"/>
  <c r="L268" i="6" a="1"/>
  <c r="L268" i="6" s="1"/>
  <c r="D268" i="6" a="1"/>
  <c r="D268" i="6" s="1"/>
  <c r="J267" i="6" a="1"/>
  <c r="J267" i="6" s="1"/>
  <c r="B267" i="6" a="1"/>
  <c r="B267" i="6" s="1"/>
  <c r="H266" i="6" a="1"/>
  <c r="H266" i="6" s="1"/>
  <c r="N265" i="6" a="1"/>
  <c r="N265" i="6" s="1"/>
  <c r="F265" i="6" a="1"/>
  <c r="F265" i="6" s="1"/>
  <c r="L264" i="6" a="1"/>
  <c r="L264" i="6" s="1"/>
  <c r="D264" i="6" a="1"/>
  <c r="D264" i="6" s="1"/>
  <c r="J263" i="6" a="1"/>
  <c r="J263" i="6" s="1"/>
  <c r="B263" i="6" a="1"/>
  <c r="B263" i="6" s="1"/>
  <c r="H262" i="6" a="1"/>
  <c r="H262" i="6" s="1"/>
  <c r="N261" i="6" a="1"/>
  <c r="N261" i="6" s="1"/>
  <c r="F261" i="6" a="1"/>
  <c r="F261" i="6" s="1"/>
  <c r="L260" i="6" a="1"/>
  <c r="L260" i="6" s="1"/>
  <c r="D260" i="6" a="1"/>
  <c r="D260" i="6" s="1"/>
  <c r="J259" i="6" a="1"/>
  <c r="J259" i="6" s="1"/>
  <c r="B259" i="6" a="1"/>
  <c r="B259" i="6" s="1"/>
  <c r="H258" i="6" a="1"/>
  <c r="H258" i="6" s="1"/>
  <c r="N257" i="6" a="1"/>
  <c r="N257" i="6" s="1"/>
  <c r="F257" i="6" a="1"/>
  <c r="F257" i="6" s="1"/>
  <c r="L256" i="6" a="1"/>
  <c r="L256" i="6" s="1"/>
  <c r="D256" i="6" a="1"/>
  <c r="D256" i="6" s="1"/>
  <c r="J255" i="6" a="1"/>
  <c r="J255" i="6" s="1"/>
  <c r="B255" i="6" a="1"/>
  <c r="B255" i="6" s="1"/>
  <c r="H254" i="6" a="1"/>
  <c r="H254" i="6" s="1"/>
  <c r="N253" i="6" a="1"/>
  <c r="N253" i="6" s="1"/>
  <c r="F253" i="6" a="1"/>
  <c r="F253" i="6" s="1"/>
  <c r="L252" i="6" a="1"/>
  <c r="L252" i="6" s="1"/>
  <c r="D252" i="6" a="1"/>
  <c r="D252" i="6" s="1"/>
  <c r="J251" i="6" a="1"/>
  <c r="J251" i="6" s="1"/>
  <c r="B251" i="6" a="1"/>
  <c r="B251" i="6" s="1"/>
  <c r="H250" i="6" a="1"/>
  <c r="H250" i="6" s="1"/>
  <c r="N249" i="6" a="1"/>
  <c r="N249" i="6" s="1"/>
  <c r="H249" i="6" a="1"/>
  <c r="H249" i="6" s="1"/>
  <c r="D249" i="6" a="1"/>
  <c r="D249" i="6" s="1"/>
  <c r="N248" i="6" a="1"/>
  <c r="N248" i="6" s="1"/>
  <c r="J248" i="6" a="1"/>
  <c r="J248" i="6" s="1"/>
  <c r="F248" i="6" a="1"/>
  <c r="F248" i="6" s="1"/>
  <c r="B248" i="6" a="1"/>
  <c r="B248" i="6" s="1"/>
  <c r="L247" i="6" a="1"/>
  <c r="L247" i="6" s="1"/>
  <c r="H247" i="6" a="1"/>
  <c r="H247" i="6" s="1"/>
  <c r="D247" i="6" a="1"/>
  <c r="D247" i="6" s="1"/>
  <c r="N246" i="6" a="1"/>
  <c r="N246" i="6" s="1"/>
  <c r="J246" i="6" a="1"/>
  <c r="J246" i="6" s="1"/>
  <c r="F246" i="6" a="1"/>
  <c r="F246" i="6" s="1"/>
  <c r="B246" i="6" a="1"/>
  <c r="B246" i="6" s="1"/>
  <c r="L245" i="6" a="1"/>
  <c r="L245" i="6" s="1"/>
  <c r="H245" i="6" a="1"/>
  <c r="H245" i="6" s="1"/>
  <c r="D245" i="6" a="1"/>
  <c r="D245" i="6" s="1"/>
  <c r="K276" i="6" a="1"/>
  <c r="K276" i="6" s="1"/>
  <c r="C276" i="6" a="1"/>
  <c r="C276" i="6" s="1"/>
  <c r="I275" i="6" a="1"/>
  <c r="I275" i="6" s="1"/>
  <c r="O274" i="6" a="1"/>
  <c r="O274" i="6" s="1"/>
  <c r="G274" i="6" a="1"/>
  <c r="G274" i="6" s="1"/>
  <c r="M273" i="6" a="1"/>
  <c r="M273" i="6" s="1"/>
  <c r="E273" i="6" a="1"/>
  <c r="E273" i="6" s="1"/>
  <c r="K272" i="6" a="1"/>
  <c r="K272" i="6" s="1"/>
  <c r="C272" i="6" a="1"/>
  <c r="C272" i="6" s="1"/>
  <c r="I271" i="6" a="1"/>
  <c r="I271" i="6" s="1"/>
  <c r="O270" i="6" a="1"/>
  <c r="O270" i="6" s="1"/>
  <c r="G270" i="6" a="1"/>
  <c r="G270" i="6" s="1"/>
  <c r="M269" i="6" a="1"/>
  <c r="M269" i="6" s="1"/>
  <c r="E269" i="6" a="1"/>
  <c r="E269" i="6" s="1"/>
  <c r="K268" i="6" a="1"/>
  <c r="K268" i="6" s="1"/>
  <c r="C268" i="6" a="1"/>
  <c r="C268" i="6" s="1"/>
  <c r="I267" i="6" a="1"/>
  <c r="I267" i="6" s="1"/>
  <c r="O266" i="6" a="1"/>
  <c r="O266" i="6" s="1"/>
  <c r="G266" i="6" a="1"/>
  <c r="G266" i="6" s="1"/>
  <c r="M265" i="6" a="1"/>
  <c r="M265" i="6" s="1"/>
  <c r="E265" i="6" a="1"/>
  <c r="E265" i="6" s="1"/>
  <c r="K264" i="6" a="1"/>
  <c r="K264" i="6" s="1"/>
  <c r="C264" i="6" a="1"/>
  <c r="C264" i="6" s="1"/>
  <c r="I263" i="6" a="1"/>
  <c r="I263" i="6" s="1"/>
  <c r="O262" i="6" a="1"/>
  <c r="O262" i="6" s="1"/>
  <c r="G262" i="6" a="1"/>
  <c r="G262" i="6" s="1"/>
  <c r="M261" i="6" a="1"/>
  <c r="M261" i="6" s="1"/>
  <c r="E261" i="6" a="1"/>
  <c r="E261" i="6" s="1"/>
  <c r="K260" i="6" a="1"/>
  <c r="K260" i="6" s="1"/>
  <c r="C260" i="6" a="1"/>
  <c r="C260" i="6" s="1"/>
  <c r="I259" i="6" a="1"/>
  <c r="I259" i="6" s="1"/>
  <c r="O258" i="6" a="1"/>
  <c r="O258" i="6" s="1"/>
  <c r="G258" i="6" a="1"/>
  <c r="G258" i="6" s="1"/>
  <c r="M257" i="6" a="1"/>
  <c r="M257" i="6" s="1"/>
  <c r="E257" i="6" a="1"/>
  <c r="E257" i="6" s="1"/>
  <c r="K256" i="6" a="1"/>
  <c r="K256" i="6" s="1"/>
  <c r="C256" i="6" a="1"/>
  <c r="C256" i="6" s="1"/>
  <c r="I255" i="6" a="1"/>
  <c r="I255" i="6" s="1"/>
  <c r="O254" i="6" a="1"/>
  <c r="O254" i="6" s="1"/>
  <c r="G254" i="6" a="1"/>
  <c r="G254" i="6" s="1"/>
  <c r="M253" i="6" a="1"/>
  <c r="M253" i="6" s="1"/>
  <c r="E253" i="6" a="1"/>
  <c r="E253" i="6" s="1"/>
  <c r="K252" i="6" a="1"/>
  <c r="K252" i="6" s="1"/>
  <c r="C252" i="6" a="1"/>
  <c r="C252" i="6" s="1"/>
  <c r="I251" i="6" a="1"/>
  <c r="I251" i="6" s="1"/>
  <c r="O250" i="6" a="1"/>
  <c r="O250" i="6" s="1"/>
  <c r="G250" i="6" a="1"/>
  <c r="G250" i="6" s="1"/>
  <c r="M249" i="6" a="1"/>
  <c r="M249" i="6" s="1"/>
  <c r="J276" i="6" a="1"/>
  <c r="J276" i="6" s="1"/>
  <c r="B276" i="6" a="1"/>
  <c r="B276" i="6" s="1"/>
  <c r="H275" i="6" a="1"/>
  <c r="H275" i="6" s="1"/>
  <c r="N274" i="6" a="1"/>
  <c r="N274" i="6" s="1"/>
  <c r="F274" i="6" a="1"/>
  <c r="F274" i="6" s="1"/>
  <c r="L273" i="6" a="1"/>
  <c r="L273" i="6" s="1"/>
  <c r="D273" i="6" a="1"/>
  <c r="D273" i="6" s="1"/>
  <c r="J272" i="6" a="1"/>
  <c r="J272" i="6" s="1"/>
  <c r="B272" i="6" a="1"/>
  <c r="B272" i="6" s="1"/>
  <c r="H271" i="6" a="1"/>
  <c r="H271" i="6" s="1"/>
  <c r="N270" i="6" a="1"/>
  <c r="N270" i="6" s="1"/>
  <c r="F270" i="6" a="1"/>
  <c r="F270" i="6" s="1"/>
  <c r="L269" i="6" a="1"/>
  <c r="L269" i="6" s="1"/>
  <c r="D269" i="6" a="1"/>
  <c r="D269" i="6" s="1"/>
  <c r="J268" i="6" a="1"/>
  <c r="J268" i="6" s="1"/>
  <c r="B268" i="6" a="1"/>
  <c r="B268" i="6" s="1"/>
  <c r="H267" i="6" a="1"/>
  <c r="H267" i="6" s="1"/>
  <c r="N266" i="6" a="1"/>
  <c r="N266" i="6" s="1"/>
  <c r="F266" i="6" a="1"/>
  <c r="F266" i="6" s="1"/>
  <c r="L265" i="6" a="1"/>
  <c r="L265" i="6" s="1"/>
  <c r="D265" i="6" a="1"/>
  <c r="D265" i="6" s="1"/>
  <c r="J264" i="6" a="1"/>
  <c r="J264" i="6" s="1"/>
  <c r="B264" i="6" a="1"/>
  <c r="B264" i="6" s="1"/>
  <c r="H263" i="6" a="1"/>
  <c r="H263" i="6" s="1"/>
  <c r="N262" i="6" a="1"/>
  <c r="N262" i="6" s="1"/>
  <c r="F262" i="6" a="1"/>
  <c r="F262" i="6" s="1"/>
  <c r="L261" i="6" a="1"/>
  <c r="L261" i="6" s="1"/>
  <c r="D261" i="6" a="1"/>
  <c r="D261" i="6" s="1"/>
  <c r="J260" i="6" a="1"/>
  <c r="J260" i="6" s="1"/>
  <c r="B260" i="6" a="1"/>
  <c r="B260" i="6" s="1"/>
  <c r="H259" i="6" a="1"/>
  <c r="H259" i="6" s="1"/>
  <c r="N258" i="6" a="1"/>
  <c r="N258" i="6" s="1"/>
  <c r="F258" i="6" a="1"/>
  <c r="F258" i="6" s="1"/>
  <c r="L257" i="6" a="1"/>
  <c r="L257" i="6" s="1"/>
  <c r="D257" i="6" a="1"/>
  <c r="D257" i="6" s="1"/>
  <c r="J256" i="6" a="1"/>
  <c r="J256" i="6" s="1"/>
  <c r="B256" i="6" a="1"/>
  <c r="B256" i="6" s="1"/>
  <c r="H255" i="6" a="1"/>
  <c r="H255" i="6" s="1"/>
  <c r="N254" i="6" a="1"/>
  <c r="N254" i="6" s="1"/>
  <c r="F254" i="6" a="1"/>
  <c r="F254" i="6" s="1"/>
  <c r="L253" i="6" a="1"/>
  <c r="L253" i="6" s="1"/>
  <c r="D253" i="6" a="1"/>
  <c r="D253" i="6" s="1"/>
  <c r="J252" i="6" a="1"/>
  <c r="J252" i="6" s="1"/>
  <c r="B252" i="6" a="1"/>
  <c r="B252" i="6" s="1"/>
  <c r="H251" i="6" a="1"/>
  <c r="H251" i="6" s="1"/>
  <c r="N250" i="6" a="1"/>
  <c r="N250" i="6" s="1"/>
  <c r="F250" i="6" a="1"/>
  <c r="F250" i="6" s="1"/>
  <c r="L249" i="6" a="1"/>
  <c r="L249" i="6" s="1"/>
  <c r="G249" i="6" a="1"/>
  <c r="G249" i="6" s="1"/>
  <c r="C249" i="6" a="1"/>
  <c r="C249" i="6" s="1"/>
  <c r="M248" i="6" a="1"/>
  <c r="M248" i="6" s="1"/>
  <c r="I248" i="6" a="1"/>
  <c r="I248" i="6" s="1"/>
  <c r="E248" i="6" a="1"/>
  <c r="E248" i="6" s="1"/>
  <c r="O247" i="6" a="1"/>
  <c r="O247" i="6" s="1"/>
  <c r="K247" i="6" a="1"/>
  <c r="K247" i="6" s="1"/>
  <c r="G247" i="6" a="1"/>
  <c r="G247" i="6" s="1"/>
  <c r="C247" i="6" a="1"/>
  <c r="C247" i="6" s="1"/>
  <c r="M246" i="6" a="1"/>
  <c r="M246" i="6" s="1"/>
  <c r="I246" i="6" a="1"/>
  <c r="I246" i="6" s="1"/>
  <c r="E246" i="6" a="1"/>
  <c r="E246" i="6" s="1"/>
  <c r="O245" i="6" a="1"/>
  <c r="O245" i="6" s="1"/>
  <c r="K245" i="6" a="1"/>
  <c r="K245" i="6" s="1"/>
  <c r="G245" i="6" a="1"/>
  <c r="G245" i="6" s="1"/>
  <c r="C245" i="6" a="1"/>
  <c r="C245" i="6" s="1"/>
  <c r="I276" i="6" a="1"/>
  <c r="I276" i="6" s="1"/>
  <c r="O275" i="6" a="1"/>
  <c r="O275" i="6" s="1"/>
  <c r="G275" i="6" a="1"/>
  <c r="G275" i="6" s="1"/>
  <c r="M274" i="6" a="1"/>
  <c r="M274" i="6" s="1"/>
  <c r="E274" i="6" a="1"/>
  <c r="E274" i="6" s="1"/>
  <c r="K273" i="6" a="1"/>
  <c r="K273" i="6" s="1"/>
  <c r="C273" i="6" a="1"/>
  <c r="C273" i="6" s="1"/>
  <c r="I272" i="6" a="1"/>
  <c r="I272" i="6" s="1"/>
  <c r="O271" i="6" a="1"/>
  <c r="O271" i="6" s="1"/>
  <c r="G271" i="6" a="1"/>
  <c r="G271" i="6" s="1"/>
  <c r="M270" i="6" a="1"/>
  <c r="M270" i="6" s="1"/>
  <c r="E270" i="6" a="1"/>
  <c r="E270" i="6" s="1"/>
  <c r="K269" i="6" a="1"/>
  <c r="K269" i="6" s="1"/>
  <c r="C269" i="6" a="1"/>
  <c r="C269" i="6" s="1"/>
  <c r="I268" i="6" a="1"/>
  <c r="I268" i="6" s="1"/>
  <c r="O267" i="6" a="1"/>
  <c r="O267" i="6" s="1"/>
  <c r="G267" i="6" a="1"/>
  <c r="G267" i="6" s="1"/>
  <c r="M266" i="6" a="1"/>
  <c r="M266" i="6" s="1"/>
  <c r="E266" i="6" a="1"/>
  <c r="E266" i="6" s="1"/>
  <c r="K265" i="6" a="1"/>
  <c r="K265" i="6" s="1"/>
  <c r="C265" i="6" a="1"/>
  <c r="C265" i="6" s="1"/>
  <c r="I264" i="6" a="1"/>
  <c r="I264" i="6" s="1"/>
  <c r="O263" i="6" a="1"/>
  <c r="O263" i="6" s="1"/>
  <c r="G263" i="6" a="1"/>
  <c r="G263" i="6" s="1"/>
  <c r="M262" i="6" a="1"/>
  <c r="M262" i="6" s="1"/>
  <c r="E262" i="6" a="1"/>
  <c r="E262" i="6" s="1"/>
  <c r="K261" i="6" a="1"/>
  <c r="K261" i="6" s="1"/>
  <c r="C261" i="6" a="1"/>
  <c r="C261" i="6" s="1"/>
  <c r="I260" i="6" a="1"/>
  <c r="I260" i="6" s="1"/>
  <c r="O259" i="6" a="1"/>
  <c r="O259" i="6" s="1"/>
  <c r="G259" i="6" a="1"/>
  <c r="G259" i="6" s="1"/>
  <c r="M258" i="6" a="1"/>
  <c r="M258" i="6" s="1"/>
  <c r="E258" i="6" a="1"/>
  <c r="E258" i="6" s="1"/>
  <c r="K257" i="6" a="1"/>
  <c r="K257" i="6" s="1"/>
  <c r="C257" i="6" a="1"/>
  <c r="C257" i="6" s="1"/>
  <c r="I256" i="6" a="1"/>
  <c r="I256" i="6" s="1"/>
  <c r="O255" i="6" a="1"/>
  <c r="O255" i="6" s="1"/>
  <c r="G255" i="6" a="1"/>
  <c r="G255" i="6" s="1"/>
  <c r="M254" i="6" a="1"/>
  <c r="M254" i="6" s="1"/>
  <c r="E254" i="6" a="1"/>
  <c r="E254" i="6" s="1"/>
  <c r="K253" i="6" a="1"/>
  <c r="K253" i="6" s="1"/>
  <c r="C253" i="6" a="1"/>
  <c r="C253" i="6" s="1"/>
  <c r="I252" i="6" a="1"/>
  <c r="I252" i="6" s="1"/>
  <c r="O251" i="6" a="1"/>
  <c r="O251" i="6" s="1"/>
  <c r="G251" i="6" a="1"/>
  <c r="G251" i="6" s="1"/>
  <c r="M250" i="6" a="1"/>
  <c r="M250" i="6" s="1"/>
  <c r="E250" i="6" a="1"/>
  <c r="E250" i="6" s="1"/>
  <c r="K249" i="6" a="1"/>
  <c r="K249" i="6" s="1"/>
  <c r="D274" i="6" a="1"/>
  <c r="D274" i="6" s="1"/>
  <c r="J269" i="6" a="1"/>
  <c r="J269" i="6" s="1"/>
  <c r="B265" i="6" a="1"/>
  <c r="B265" i="6" s="1"/>
  <c r="H260" i="6" a="1"/>
  <c r="H260" i="6" s="1"/>
  <c r="N255" i="6" a="1"/>
  <c r="N255" i="6" s="1"/>
  <c r="F251" i="6" a="1"/>
  <c r="F251" i="6" s="1"/>
  <c r="D248" i="6" a="1"/>
  <c r="D248" i="6" s="1"/>
  <c r="N245" i="6" a="1"/>
  <c r="N245" i="6" s="1"/>
  <c r="J244" i="6" a="1"/>
  <c r="J244" i="6" s="1"/>
  <c r="B244" i="6" a="1"/>
  <c r="B244" i="6" s="1"/>
  <c r="H243" i="6" a="1"/>
  <c r="H243" i="6" s="1"/>
  <c r="N242" i="6" a="1"/>
  <c r="N242" i="6" s="1"/>
  <c r="F242" i="6" a="1"/>
  <c r="F242" i="6" s="1"/>
  <c r="L241" i="6" a="1"/>
  <c r="L241" i="6" s="1"/>
  <c r="D241" i="6" a="1"/>
  <c r="D241" i="6" s="1"/>
  <c r="J240" i="6" a="1"/>
  <c r="J240" i="6" s="1"/>
  <c r="B240" i="6" a="1"/>
  <c r="B240" i="6" s="1"/>
  <c r="H239" i="6" a="1"/>
  <c r="H239" i="6" s="1"/>
  <c r="N238" i="6" a="1"/>
  <c r="N238" i="6" s="1"/>
  <c r="F238" i="6" a="1"/>
  <c r="F238" i="6" s="1"/>
  <c r="L237" i="6" a="1"/>
  <c r="L237" i="6" s="1"/>
  <c r="D237" i="6" a="1"/>
  <c r="D237" i="6" s="1"/>
  <c r="J236" i="6" a="1"/>
  <c r="J236" i="6" s="1"/>
  <c r="B236" i="6" a="1"/>
  <c r="B236" i="6" s="1"/>
  <c r="H235" i="6" a="1"/>
  <c r="H235" i="6" s="1"/>
  <c r="N234" i="6" a="1"/>
  <c r="N234" i="6" s="1"/>
  <c r="F234" i="6" a="1"/>
  <c r="F234" i="6" s="1"/>
  <c r="L233" i="6" a="1"/>
  <c r="L233" i="6" s="1"/>
  <c r="D233" i="6" a="1"/>
  <c r="D233" i="6" s="1"/>
  <c r="J232" i="6" a="1"/>
  <c r="J232" i="6" s="1"/>
  <c r="B232" i="6" a="1"/>
  <c r="B232" i="6" s="1"/>
  <c r="H231" i="6" a="1"/>
  <c r="H231" i="6" s="1"/>
  <c r="N230" i="6" a="1"/>
  <c r="N230" i="6" s="1"/>
  <c r="F230" i="6" a="1"/>
  <c r="F230" i="6" s="1"/>
  <c r="L229" i="6" a="1"/>
  <c r="L229" i="6" s="1"/>
  <c r="D229" i="6" a="1"/>
  <c r="D229" i="6" s="1"/>
  <c r="J228" i="6" a="1"/>
  <c r="J228" i="6" s="1"/>
  <c r="B228" i="6" a="1"/>
  <c r="B228" i="6" s="1"/>
  <c r="H227" i="6" a="1"/>
  <c r="H227" i="6" s="1"/>
  <c r="N226" i="6" a="1"/>
  <c r="N226" i="6" s="1"/>
  <c r="F226" i="6" a="1"/>
  <c r="F226" i="6" s="1"/>
  <c r="L225" i="6" a="1"/>
  <c r="L225" i="6" s="1"/>
  <c r="D225" i="6" a="1"/>
  <c r="D225" i="6" s="1"/>
  <c r="J224" i="6" a="1"/>
  <c r="J224" i="6" s="1"/>
  <c r="B224" i="6" a="1"/>
  <c r="B224" i="6" s="1"/>
  <c r="H223" i="6" a="1"/>
  <c r="H223" i="6" s="1"/>
  <c r="O222" i="6" a="1"/>
  <c r="O222" i="6" s="1"/>
  <c r="H222" i="6" a="1"/>
  <c r="H222" i="6" s="1"/>
  <c r="B222" i="6" a="1"/>
  <c r="B222" i="6" s="1"/>
  <c r="C221" i="6" a="1"/>
  <c r="C221" i="6" s="1"/>
  <c r="K220" i="6" a="1"/>
  <c r="K220" i="6" s="1"/>
  <c r="J273" i="6" a="1"/>
  <c r="J273" i="6" s="1"/>
  <c r="B269" i="6" a="1"/>
  <c r="B269" i="6" s="1"/>
  <c r="H264" i="6" a="1"/>
  <c r="H264" i="6" s="1"/>
  <c r="N259" i="6" a="1"/>
  <c r="N259" i="6" s="1"/>
  <c r="F255" i="6" a="1"/>
  <c r="F255" i="6" s="1"/>
  <c r="L250" i="6" a="1"/>
  <c r="L250" i="6" s="1"/>
  <c r="N247" i="6" a="1"/>
  <c r="N247" i="6" s="1"/>
  <c r="J245" i="6" a="1"/>
  <c r="J245" i="6" s="1"/>
  <c r="I244" i="6" a="1"/>
  <c r="I244" i="6" s="1"/>
  <c r="O243" i="6" a="1"/>
  <c r="O243" i="6" s="1"/>
  <c r="G243" i="6" a="1"/>
  <c r="G243" i="6" s="1"/>
  <c r="M242" i="6" a="1"/>
  <c r="M242" i="6" s="1"/>
  <c r="E242" i="6" a="1"/>
  <c r="E242" i="6" s="1"/>
  <c r="K241" i="6" a="1"/>
  <c r="K241" i="6" s="1"/>
  <c r="C241" i="6" a="1"/>
  <c r="C241" i="6" s="1"/>
  <c r="I240" i="6" a="1"/>
  <c r="I240" i="6" s="1"/>
  <c r="O239" i="6" a="1"/>
  <c r="O239" i="6" s="1"/>
  <c r="G239" i="6" a="1"/>
  <c r="G239" i="6" s="1"/>
  <c r="M238" i="6" a="1"/>
  <c r="M238" i="6" s="1"/>
  <c r="E238" i="6" a="1"/>
  <c r="E238" i="6" s="1"/>
  <c r="K237" i="6" a="1"/>
  <c r="K237" i="6" s="1"/>
  <c r="C237" i="6" a="1"/>
  <c r="C237" i="6" s="1"/>
  <c r="I236" i="6" a="1"/>
  <c r="I236" i="6" s="1"/>
  <c r="O235" i="6" a="1"/>
  <c r="O235" i="6" s="1"/>
  <c r="G235" i="6" a="1"/>
  <c r="G235" i="6" s="1"/>
  <c r="M234" i="6" a="1"/>
  <c r="M234" i="6" s="1"/>
  <c r="E234" i="6" a="1"/>
  <c r="E234" i="6" s="1"/>
  <c r="K233" i="6" a="1"/>
  <c r="K233" i="6" s="1"/>
  <c r="C233" i="6" a="1"/>
  <c r="C233" i="6" s="1"/>
  <c r="I232" i="6" a="1"/>
  <c r="I232" i="6" s="1"/>
  <c r="O231" i="6" a="1"/>
  <c r="O231" i="6" s="1"/>
  <c r="G231" i="6" a="1"/>
  <c r="G231" i="6" s="1"/>
  <c r="M230" i="6" a="1"/>
  <c r="M230" i="6" s="1"/>
  <c r="E230" i="6" a="1"/>
  <c r="E230" i="6" s="1"/>
  <c r="K229" i="6" a="1"/>
  <c r="K229" i="6" s="1"/>
  <c r="C229" i="6" a="1"/>
  <c r="C229" i="6" s="1"/>
  <c r="I228" i="6" a="1"/>
  <c r="I228" i="6" s="1"/>
  <c r="O227" i="6" a="1"/>
  <c r="O227" i="6" s="1"/>
  <c r="G227" i="6" a="1"/>
  <c r="G227" i="6" s="1"/>
  <c r="M226" i="6" a="1"/>
  <c r="M226" i="6" s="1"/>
  <c r="E226" i="6" a="1"/>
  <c r="E226" i="6" s="1"/>
  <c r="K225" i="6" a="1"/>
  <c r="K225" i="6" s="1"/>
  <c r="C225" i="6" a="1"/>
  <c r="C225" i="6" s="1"/>
  <c r="I224" i="6" a="1"/>
  <c r="I224" i="6" s="1"/>
  <c r="O223" i="6" a="1"/>
  <c r="O223" i="6" s="1"/>
  <c r="G223" i="6" a="1"/>
  <c r="G223" i="6" s="1"/>
  <c r="N222" i="6" a="1"/>
  <c r="N222" i="6" s="1"/>
  <c r="O221" i="6" a="1"/>
  <c r="O221" i="6" s="1"/>
  <c r="I221" i="6" a="1"/>
  <c r="I221" i="6" s="1"/>
  <c r="B221" i="6" a="1"/>
  <c r="B221" i="6" s="1"/>
  <c r="J220" i="6" a="1"/>
  <c r="J220" i="6" s="1"/>
  <c r="E220" i="6" a="1"/>
  <c r="E220" i="6" s="1"/>
  <c r="O219" i="6" a="1"/>
  <c r="O219" i="6" s="1"/>
  <c r="K219" i="6" a="1"/>
  <c r="K219" i="6" s="1"/>
  <c r="G219" i="6" a="1"/>
  <c r="G219" i="6" s="1"/>
  <c r="C219" i="6" a="1"/>
  <c r="C219" i="6" s="1"/>
  <c r="M218" i="6" a="1"/>
  <c r="M218" i="6" s="1"/>
  <c r="I218" i="6" a="1"/>
  <c r="I218" i="6" s="1"/>
  <c r="E218" i="6" a="1"/>
  <c r="E218" i="6" s="1"/>
  <c r="O217" i="6" a="1"/>
  <c r="O217" i="6" s="1"/>
  <c r="K217" i="6" a="1"/>
  <c r="K217" i="6" s="1"/>
  <c r="G217" i="6" a="1"/>
  <c r="G217" i="6" s="1"/>
  <c r="C217" i="6" a="1"/>
  <c r="C217" i="6" s="1"/>
  <c r="M216" i="6" a="1"/>
  <c r="M216" i="6" s="1"/>
  <c r="I216" i="6" a="1"/>
  <c r="I216" i="6" s="1"/>
  <c r="E216" i="6" a="1"/>
  <c r="E216" i="6" s="1"/>
  <c r="O215" i="6" a="1"/>
  <c r="O215" i="6" s="1"/>
  <c r="K215" i="6" a="1"/>
  <c r="K215" i="6" s="1"/>
  <c r="B273" i="6" a="1"/>
  <c r="B273" i="6" s="1"/>
  <c r="H268" i="6" a="1"/>
  <c r="H268" i="6" s="1"/>
  <c r="N263" i="6" a="1"/>
  <c r="N263" i="6" s="1"/>
  <c r="F259" i="6" a="1"/>
  <c r="F259" i="6" s="1"/>
  <c r="L254" i="6" a="1"/>
  <c r="L254" i="6" s="1"/>
  <c r="D250" i="6" a="1"/>
  <c r="D250" i="6" s="1"/>
  <c r="J247" i="6" a="1"/>
  <c r="J247" i="6" s="1"/>
  <c r="F245" i="6" a="1"/>
  <c r="F245" i="6" s="1"/>
  <c r="H244" i="6" a="1"/>
  <c r="H244" i="6" s="1"/>
  <c r="N243" i="6" a="1"/>
  <c r="N243" i="6" s="1"/>
  <c r="F243" i="6" a="1"/>
  <c r="F243" i="6" s="1"/>
  <c r="L242" i="6" a="1"/>
  <c r="L242" i="6" s="1"/>
  <c r="D242" i="6" a="1"/>
  <c r="D242" i="6" s="1"/>
  <c r="J241" i="6" a="1"/>
  <c r="J241" i="6" s="1"/>
  <c r="B241" i="6" a="1"/>
  <c r="B241" i="6" s="1"/>
  <c r="H240" i="6" a="1"/>
  <c r="H240" i="6" s="1"/>
  <c r="N239" i="6" a="1"/>
  <c r="N239" i="6" s="1"/>
  <c r="F239" i="6" a="1"/>
  <c r="F239" i="6" s="1"/>
  <c r="L238" i="6" a="1"/>
  <c r="L238" i="6" s="1"/>
  <c r="D238" i="6" a="1"/>
  <c r="D238" i="6" s="1"/>
  <c r="J237" i="6" a="1"/>
  <c r="J237" i="6" s="1"/>
  <c r="B237" i="6" a="1"/>
  <c r="B237" i="6" s="1"/>
  <c r="H236" i="6" a="1"/>
  <c r="H236" i="6" s="1"/>
  <c r="N235" i="6" a="1"/>
  <c r="N235" i="6" s="1"/>
  <c r="F235" i="6" a="1"/>
  <c r="F235" i="6" s="1"/>
  <c r="L234" i="6" a="1"/>
  <c r="L234" i="6" s="1"/>
  <c r="D234" i="6" a="1"/>
  <c r="D234" i="6" s="1"/>
  <c r="J233" i="6" a="1"/>
  <c r="J233" i="6" s="1"/>
  <c r="B233" i="6" a="1"/>
  <c r="B233" i="6" s="1"/>
  <c r="H232" i="6" a="1"/>
  <c r="H232" i="6" s="1"/>
  <c r="N231" i="6" a="1"/>
  <c r="N231" i="6" s="1"/>
  <c r="F231" i="6" a="1"/>
  <c r="F231" i="6" s="1"/>
  <c r="L230" i="6" a="1"/>
  <c r="L230" i="6" s="1"/>
  <c r="D230" i="6" a="1"/>
  <c r="D230" i="6" s="1"/>
  <c r="J229" i="6" a="1"/>
  <c r="J229" i="6" s="1"/>
  <c r="B229" i="6" a="1"/>
  <c r="B229" i="6" s="1"/>
  <c r="H228" i="6" a="1"/>
  <c r="H228" i="6" s="1"/>
  <c r="N227" i="6" a="1"/>
  <c r="N227" i="6" s="1"/>
  <c r="F227" i="6" a="1"/>
  <c r="F227" i="6" s="1"/>
  <c r="L226" i="6" a="1"/>
  <c r="L226" i="6" s="1"/>
  <c r="D226" i="6" a="1"/>
  <c r="D226" i="6" s="1"/>
  <c r="J225" i="6" a="1"/>
  <c r="J225" i="6" s="1"/>
  <c r="B225" i="6" a="1"/>
  <c r="B225" i="6" s="1"/>
  <c r="H224" i="6" a="1"/>
  <c r="H224" i="6" s="1"/>
  <c r="N223" i="6" a="1"/>
  <c r="N223" i="6" s="1"/>
  <c r="F223" i="6" a="1"/>
  <c r="F223" i="6" s="1"/>
  <c r="M222" i="6" a="1"/>
  <c r="M222" i="6" s="1"/>
  <c r="G222" i="6" a="1"/>
  <c r="G222" i="6" s="1"/>
  <c r="N221" i="6" a="1"/>
  <c r="N221" i="6" s="1"/>
  <c r="H221" i="6" a="1"/>
  <c r="H221" i="6" s="1"/>
  <c r="I220" i="6" a="1"/>
  <c r="I220" i="6" s="1"/>
  <c r="H272" i="6" a="1"/>
  <c r="H272" i="6" s="1"/>
  <c r="N267" i="6" a="1"/>
  <c r="N267" i="6" s="1"/>
  <c r="F263" i="6" a="1"/>
  <c r="F263" i="6" s="1"/>
  <c r="L258" i="6" a="1"/>
  <c r="L258" i="6" s="1"/>
  <c r="D254" i="6" a="1"/>
  <c r="D254" i="6" s="1"/>
  <c r="J249" i="6" a="1"/>
  <c r="J249" i="6" s="1"/>
  <c r="F247" i="6" a="1"/>
  <c r="F247" i="6" s="1"/>
  <c r="B245" i="6" a="1"/>
  <c r="B245" i="6" s="1"/>
  <c r="G244" i="6" a="1"/>
  <c r="G244" i="6" s="1"/>
  <c r="M243" i="6" a="1"/>
  <c r="M243" i="6" s="1"/>
  <c r="E243" i="6" a="1"/>
  <c r="E243" i="6" s="1"/>
  <c r="K242" i="6" a="1"/>
  <c r="K242" i="6" s="1"/>
  <c r="C242" i="6" a="1"/>
  <c r="C242" i="6" s="1"/>
  <c r="I241" i="6" a="1"/>
  <c r="I241" i="6" s="1"/>
  <c r="O240" i="6" a="1"/>
  <c r="O240" i="6" s="1"/>
  <c r="G240" i="6" a="1"/>
  <c r="G240" i="6" s="1"/>
  <c r="M239" i="6" a="1"/>
  <c r="M239" i="6" s="1"/>
  <c r="E239" i="6" a="1"/>
  <c r="E239" i="6" s="1"/>
  <c r="K238" i="6" a="1"/>
  <c r="K238" i="6" s="1"/>
  <c r="C238" i="6" a="1"/>
  <c r="C238" i="6" s="1"/>
  <c r="I237" i="6" a="1"/>
  <c r="I237" i="6" s="1"/>
  <c r="O236" i="6" a="1"/>
  <c r="O236" i="6" s="1"/>
  <c r="G236" i="6" a="1"/>
  <c r="G236" i="6" s="1"/>
  <c r="M235" i="6" a="1"/>
  <c r="M235" i="6" s="1"/>
  <c r="E235" i="6" a="1"/>
  <c r="E235" i="6" s="1"/>
  <c r="K234" i="6" a="1"/>
  <c r="K234" i="6" s="1"/>
  <c r="C234" i="6" a="1"/>
  <c r="C234" i="6" s="1"/>
  <c r="I233" i="6" a="1"/>
  <c r="I233" i="6" s="1"/>
  <c r="O232" i="6" a="1"/>
  <c r="O232" i="6" s="1"/>
  <c r="G232" i="6" a="1"/>
  <c r="G232" i="6" s="1"/>
  <c r="M231" i="6" a="1"/>
  <c r="M231" i="6" s="1"/>
  <c r="E231" i="6" a="1"/>
  <c r="E231" i="6" s="1"/>
  <c r="K230" i="6" a="1"/>
  <c r="K230" i="6" s="1"/>
  <c r="C230" i="6" a="1"/>
  <c r="C230" i="6" s="1"/>
  <c r="I229" i="6" a="1"/>
  <c r="I229" i="6" s="1"/>
  <c r="O228" i="6" a="1"/>
  <c r="O228" i="6" s="1"/>
  <c r="G228" i="6" a="1"/>
  <c r="G228" i="6" s="1"/>
  <c r="M227" i="6" a="1"/>
  <c r="M227" i="6" s="1"/>
  <c r="E227" i="6" a="1"/>
  <c r="E227" i="6" s="1"/>
  <c r="K226" i="6" a="1"/>
  <c r="K226" i="6" s="1"/>
  <c r="C226" i="6" a="1"/>
  <c r="C226" i="6" s="1"/>
  <c r="I225" i="6" a="1"/>
  <c r="I225" i="6" s="1"/>
  <c r="O224" i="6" a="1"/>
  <c r="O224" i="6" s="1"/>
  <c r="G224" i="6" a="1"/>
  <c r="G224" i="6" s="1"/>
  <c r="M223" i="6" a="1"/>
  <c r="M223" i="6" s="1"/>
  <c r="E223" i="6" a="1"/>
  <c r="E223" i="6" s="1"/>
  <c r="L222" i="6" a="1"/>
  <c r="L222" i="6" s="1"/>
  <c r="F222" i="6" a="1"/>
  <c r="F222" i="6" s="1"/>
  <c r="G221" i="6" a="1"/>
  <c r="G221" i="6" s="1"/>
  <c r="O220" i="6" a="1"/>
  <c r="O220" i="6" s="1"/>
  <c r="H220" i="6" a="1"/>
  <c r="H220" i="6" s="1"/>
  <c r="D220" i="6" a="1"/>
  <c r="D220" i="6" s="1"/>
  <c r="N219" i="6" a="1"/>
  <c r="N219" i="6" s="1"/>
  <c r="J219" i="6" a="1"/>
  <c r="J219" i="6" s="1"/>
  <c r="F219" i="6" a="1"/>
  <c r="F219" i="6" s="1"/>
  <c r="B219" i="6" a="1"/>
  <c r="B219" i="6" s="1"/>
  <c r="L218" i="6" a="1"/>
  <c r="L218" i="6" s="1"/>
  <c r="H218" i="6" a="1"/>
  <c r="H218" i="6" s="1"/>
  <c r="D218" i="6" a="1"/>
  <c r="D218" i="6" s="1"/>
  <c r="N217" i="6" a="1"/>
  <c r="N217" i="6" s="1"/>
  <c r="J217" i="6" a="1"/>
  <c r="J217" i="6" s="1"/>
  <c r="F217" i="6" a="1"/>
  <c r="F217" i="6" s="1"/>
  <c r="B217" i="6" a="1"/>
  <c r="B217" i="6" s="1"/>
  <c r="L216" i="6" a="1"/>
  <c r="L216" i="6" s="1"/>
  <c r="H216" i="6" a="1"/>
  <c r="H216" i="6" s="1"/>
  <c r="D216" i="6" a="1"/>
  <c r="D216" i="6" s="1"/>
  <c r="N215" i="6" a="1"/>
  <c r="N215" i="6" s="1"/>
  <c r="J215" i="6" a="1"/>
  <c r="J215" i="6" s="1"/>
  <c r="H276" i="6" a="1"/>
  <c r="H276" i="6" s="1"/>
  <c r="N271" i="6" a="1"/>
  <c r="N271" i="6" s="1"/>
  <c r="F267" i="6" a="1"/>
  <c r="F267" i="6" s="1"/>
  <c r="L262" i="6" a="1"/>
  <c r="L262" i="6" s="1"/>
  <c r="D258" i="6" a="1"/>
  <c r="D258" i="6" s="1"/>
  <c r="J253" i="6" a="1"/>
  <c r="J253" i="6" s="1"/>
  <c r="F249" i="6" a="1"/>
  <c r="F249" i="6" s="1"/>
  <c r="B247" i="6" a="1"/>
  <c r="B247" i="6" s="1"/>
  <c r="N244" i="6" a="1"/>
  <c r="N244" i="6" s="1"/>
  <c r="F244" i="6" a="1"/>
  <c r="F244" i="6" s="1"/>
  <c r="L243" i="6" a="1"/>
  <c r="L243" i="6" s="1"/>
  <c r="D243" i="6" a="1"/>
  <c r="D243" i="6" s="1"/>
  <c r="J242" i="6" a="1"/>
  <c r="J242" i="6" s="1"/>
  <c r="B242" i="6" a="1"/>
  <c r="B242" i="6" s="1"/>
  <c r="H241" i="6" a="1"/>
  <c r="H241" i="6" s="1"/>
  <c r="N240" i="6" a="1"/>
  <c r="N240" i="6" s="1"/>
  <c r="F240" i="6" a="1"/>
  <c r="F240" i="6" s="1"/>
  <c r="L239" i="6" a="1"/>
  <c r="L239" i="6" s="1"/>
  <c r="D239" i="6" a="1"/>
  <c r="D239" i="6" s="1"/>
  <c r="J238" i="6" a="1"/>
  <c r="J238" i="6" s="1"/>
  <c r="B238" i="6" a="1"/>
  <c r="B238" i="6" s="1"/>
  <c r="H237" i="6" a="1"/>
  <c r="H237" i="6" s="1"/>
  <c r="N236" i="6" a="1"/>
  <c r="N236" i="6" s="1"/>
  <c r="F236" i="6" a="1"/>
  <c r="F236" i="6" s="1"/>
  <c r="L235" i="6" a="1"/>
  <c r="L235" i="6" s="1"/>
  <c r="D235" i="6" a="1"/>
  <c r="D235" i="6" s="1"/>
  <c r="J234" i="6" a="1"/>
  <c r="J234" i="6" s="1"/>
  <c r="B234" i="6" a="1"/>
  <c r="B234" i="6" s="1"/>
  <c r="H233" i="6" a="1"/>
  <c r="H233" i="6" s="1"/>
  <c r="N232" i="6" a="1"/>
  <c r="N232" i="6" s="1"/>
  <c r="F232" i="6" a="1"/>
  <c r="F232" i="6" s="1"/>
  <c r="L231" i="6" a="1"/>
  <c r="L231" i="6" s="1"/>
  <c r="D231" i="6" a="1"/>
  <c r="D231" i="6" s="1"/>
  <c r="J230" i="6" a="1"/>
  <c r="J230" i="6" s="1"/>
  <c r="B230" i="6" a="1"/>
  <c r="B230" i="6" s="1"/>
  <c r="H229" i="6" a="1"/>
  <c r="H229" i="6" s="1"/>
  <c r="N228" i="6" a="1"/>
  <c r="N228" i="6" s="1"/>
  <c r="F228" i="6" a="1"/>
  <c r="F228" i="6" s="1"/>
  <c r="L227" i="6" a="1"/>
  <c r="L227" i="6" s="1"/>
  <c r="D227" i="6" a="1"/>
  <c r="D227" i="6" s="1"/>
  <c r="J226" i="6" a="1"/>
  <c r="J226" i="6" s="1"/>
  <c r="B226" i="6" a="1"/>
  <c r="B226" i="6" s="1"/>
  <c r="H225" i="6" a="1"/>
  <c r="H225" i="6" s="1"/>
  <c r="N224" i="6" a="1"/>
  <c r="N224" i="6" s="1"/>
  <c r="F224" i="6" a="1"/>
  <c r="F224" i="6" s="1"/>
  <c r="L223" i="6" a="1"/>
  <c r="L223" i="6" s="1"/>
  <c r="D223" i="6" a="1"/>
  <c r="D223" i="6" s="1"/>
  <c r="E222" i="6" a="1"/>
  <c r="E222" i="6" s="1"/>
  <c r="M221" i="6" a="1"/>
  <c r="M221" i="6" s="1"/>
  <c r="F221" i="6" a="1"/>
  <c r="F221" i="6" s="1"/>
  <c r="N220" i="6" a="1"/>
  <c r="N220" i="6" s="1"/>
  <c r="N275" i="6" a="1"/>
  <c r="N275" i="6" s="1"/>
  <c r="F271" i="6" a="1"/>
  <c r="F271" i="6" s="1"/>
  <c r="L266" i="6" a="1"/>
  <c r="L266" i="6" s="1"/>
  <c r="D262" i="6" a="1"/>
  <c r="D262" i="6" s="1"/>
  <c r="J257" i="6" a="1"/>
  <c r="J257" i="6" s="1"/>
  <c r="B253" i="6" a="1"/>
  <c r="B253" i="6" s="1"/>
  <c r="B249" i="6" a="1"/>
  <c r="B249" i="6" s="1"/>
  <c r="L246" i="6" a="1"/>
  <c r="L246" i="6" s="1"/>
  <c r="M244" i="6" a="1"/>
  <c r="M244" i="6" s="1"/>
  <c r="E244" i="6" a="1"/>
  <c r="E244" i="6" s="1"/>
  <c r="K243" i="6" a="1"/>
  <c r="K243" i="6" s="1"/>
  <c r="C243" i="6" a="1"/>
  <c r="C243" i="6" s="1"/>
  <c r="I242" i="6" a="1"/>
  <c r="I242" i="6" s="1"/>
  <c r="O241" i="6" a="1"/>
  <c r="O241" i="6" s="1"/>
  <c r="G241" i="6" a="1"/>
  <c r="G241" i="6" s="1"/>
  <c r="M240" i="6" a="1"/>
  <c r="M240" i="6" s="1"/>
  <c r="E240" i="6" a="1"/>
  <c r="E240" i="6" s="1"/>
  <c r="K239" i="6" a="1"/>
  <c r="K239" i="6" s="1"/>
  <c r="C239" i="6" a="1"/>
  <c r="C239" i="6" s="1"/>
  <c r="I238" i="6" a="1"/>
  <c r="I238" i="6" s="1"/>
  <c r="O237" i="6" a="1"/>
  <c r="O237" i="6" s="1"/>
  <c r="G237" i="6" a="1"/>
  <c r="G237" i="6" s="1"/>
  <c r="M236" i="6" a="1"/>
  <c r="M236" i="6" s="1"/>
  <c r="E236" i="6" a="1"/>
  <c r="E236" i="6" s="1"/>
  <c r="K235" i="6" a="1"/>
  <c r="K235" i="6" s="1"/>
  <c r="C235" i="6" a="1"/>
  <c r="C235" i="6" s="1"/>
  <c r="I234" i="6" a="1"/>
  <c r="I234" i="6" s="1"/>
  <c r="O233" i="6" a="1"/>
  <c r="O233" i="6" s="1"/>
  <c r="G233" i="6" a="1"/>
  <c r="G233" i="6" s="1"/>
  <c r="M232" i="6" a="1"/>
  <c r="M232" i="6" s="1"/>
  <c r="E232" i="6" a="1"/>
  <c r="E232" i="6" s="1"/>
  <c r="K231" i="6" a="1"/>
  <c r="K231" i="6" s="1"/>
  <c r="C231" i="6" a="1"/>
  <c r="C231" i="6" s="1"/>
  <c r="I230" i="6" a="1"/>
  <c r="I230" i="6" s="1"/>
  <c r="O229" i="6" a="1"/>
  <c r="O229" i="6" s="1"/>
  <c r="G229" i="6" a="1"/>
  <c r="G229" i="6" s="1"/>
  <c r="M228" i="6" a="1"/>
  <c r="M228" i="6" s="1"/>
  <c r="E228" i="6" a="1"/>
  <c r="E228" i="6" s="1"/>
  <c r="K227" i="6" a="1"/>
  <c r="K227" i="6" s="1"/>
  <c r="C227" i="6" a="1"/>
  <c r="C227" i="6" s="1"/>
  <c r="I226" i="6" a="1"/>
  <c r="I226" i="6" s="1"/>
  <c r="O225" i="6" a="1"/>
  <c r="O225" i="6" s="1"/>
  <c r="G225" i="6" a="1"/>
  <c r="G225" i="6" s="1"/>
  <c r="M224" i="6" a="1"/>
  <c r="M224" i="6" s="1"/>
  <c r="E224" i="6" a="1"/>
  <c r="E224" i="6" s="1"/>
  <c r="K223" i="6" a="1"/>
  <c r="K223" i="6" s="1"/>
  <c r="C223" i="6" a="1"/>
  <c r="C223" i="6" s="1"/>
  <c r="K222" i="6" a="1"/>
  <c r="K222" i="6" s="1"/>
  <c r="D222" i="6" a="1"/>
  <c r="D222" i="6" s="1"/>
  <c r="L221" i="6" a="1"/>
  <c r="L221" i="6" s="1"/>
  <c r="M220" i="6" a="1"/>
  <c r="M220" i="6" s="1"/>
  <c r="G220" i="6" a="1"/>
  <c r="G220" i="6" s="1"/>
  <c r="C220" i="6" a="1"/>
  <c r="C220" i="6" s="1"/>
  <c r="M219" i="6" a="1"/>
  <c r="M219" i="6" s="1"/>
  <c r="I219" i="6" a="1"/>
  <c r="I219" i="6" s="1"/>
  <c r="E219" i="6" a="1"/>
  <c r="E219" i="6" s="1"/>
  <c r="O218" i="6" a="1"/>
  <c r="O218" i="6" s="1"/>
  <c r="K218" i="6" a="1"/>
  <c r="K218" i="6" s="1"/>
  <c r="G218" i="6" a="1"/>
  <c r="G218" i="6" s="1"/>
  <c r="C218" i="6" a="1"/>
  <c r="C218" i="6" s="1"/>
  <c r="M217" i="6" a="1"/>
  <c r="M217" i="6" s="1"/>
  <c r="I217" i="6" a="1"/>
  <c r="I217" i="6" s="1"/>
  <c r="E217" i="6" a="1"/>
  <c r="E217" i="6" s="1"/>
  <c r="O216" i="6" a="1"/>
  <c r="O216" i="6" s="1"/>
  <c r="K216" i="6" a="1"/>
  <c r="K216" i="6" s="1"/>
  <c r="G216" i="6" a="1"/>
  <c r="G216" i="6" s="1"/>
  <c r="C216" i="6" a="1"/>
  <c r="C216" i="6" s="1"/>
  <c r="M215" i="6" a="1"/>
  <c r="M215" i="6" s="1"/>
  <c r="I215" i="6" a="1"/>
  <c r="I215" i="6" s="1"/>
  <c r="F275" i="6" a="1"/>
  <c r="F275" i="6" s="1"/>
  <c r="L270" i="6" a="1"/>
  <c r="L270" i="6" s="1"/>
  <c r="D266" i="6" a="1"/>
  <c r="D266" i="6" s="1"/>
  <c r="J261" i="6" a="1"/>
  <c r="J261" i="6" s="1"/>
  <c r="B257" i="6" a="1"/>
  <c r="B257" i="6" s="1"/>
  <c r="H252" i="6" a="1"/>
  <c r="H252" i="6" s="1"/>
  <c r="L248" i="6" a="1"/>
  <c r="L248" i="6" s="1"/>
  <c r="H246" i="6" a="1"/>
  <c r="H246" i="6" s="1"/>
  <c r="L244" i="6" a="1"/>
  <c r="L244" i="6" s="1"/>
  <c r="D244" i="6" a="1"/>
  <c r="D244" i="6" s="1"/>
  <c r="J243" i="6" a="1"/>
  <c r="J243" i="6" s="1"/>
  <c r="B243" i="6" a="1"/>
  <c r="B243" i="6" s="1"/>
  <c r="H242" i="6" a="1"/>
  <c r="H242" i="6" s="1"/>
  <c r="N241" i="6" a="1"/>
  <c r="N241" i="6" s="1"/>
  <c r="F241" i="6" a="1"/>
  <c r="F241" i="6" s="1"/>
  <c r="L240" i="6" a="1"/>
  <c r="L240" i="6" s="1"/>
  <c r="D240" i="6" a="1"/>
  <c r="D240" i="6" s="1"/>
  <c r="J239" i="6" a="1"/>
  <c r="J239" i="6" s="1"/>
  <c r="B239" i="6" a="1"/>
  <c r="B239" i="6" s="1"/>
  <c r="H238" i="6" a="1"/>
  <c r="H238" i="6" s="1"/>
  <c r="N237" i="6" a="1"/>
  <c r="N237" i="6" s="1"/>
  <c r="F237" i="6" a="1"/>
  <c r="F237" i="6" s="1"/>
  <c r="L236" i="6" a="1"/>
  <c r="L236" i="6" s="1"/>
  <c r="D236" i="6" a="1"/>
  <c r="D236" i="6" s="1"/>
  <c r="J235" i="6" a="1"/>
  <c r="J235" i="6" s="1"/>
  <c r="B235" i="6" a="1"/>
  <c r="B235" i="6" s="1"/>
  <c r="H234" i="6" a="1"/>
  <c r="H234" i="6" s="1"/>
  <c r="N233" i="6" a="1"/>
  <c r="N233" i="6" s="1"/>
  <c r="F233" i="6" a="1"/>
  <c r="F233" i="6" s="1"/>
  <c r="L232" i="6" a="1"/>
  <c r="L232" i="6" s="1"/>
  <c r="D232" i="6" a="1"/>
  <c r="D232" i="6" s="1"/>
  <c r="J231" i="6" a="1"/>
  <c r="J231" i="6" s="1"/>
  <c r="B231" i="6" a="1"/>
  <c r="B231" i="6" s="1"/>
  <c r="H230" i="6" a="1"/>
  <c r="H230" i="6" s="1"/>
  <c r="N229" i="6" a="1"/>
  <c r="N229" i="6" s="1"/>
  <c r="F229" i="6" a="1"/>
  <c r="F229" i="6" s="1"/>
  <c r="L228" i="6" a="1"/>
  <c r="L228" i="6" s="1"/>
  <c r="D228" i="6" a="1"/>
  <c r="D228" i="6" s="1"/>
  <c r="J227" i="6" a="1"/>
  <c r="J227" i="6" s="1"/>
  <c r="B227" i="6" a="1"/>
  <c r="B227" i="6" s="1"/>
  <c r="H226" i="6" a="1"/>
  <c r="H226" i="6" s="1"/>
  <c r="N225" i="6" a="1"/>
  <c r="N225" i="6" s="1"/>
  <c r="F225" i="6" a="1"/>
  <c r="F225" i="6" s="1"/>
  <c r="L224" i="6" a="1"/>
  <c r="L224" i="6" s="1"/>
  <c r="D224" i="6" a="1"/>
  <c r="D224" i="6" s="1"/>
  <c r="J223" i="6" a="1"/>
  <c r="J223" i="6" s="1"/>
  <c r="B223" i="6" a="1"/>
  <c r="B223" i="6" s="1"/>
  <c r="J222" i="6" a="1"/>
  <c r="J222" i="6" s="1"/>
  <c r="K221" i="6" a="1"/>
  <c r="K221" i="6" s="1"/>
  <c r="E221" i="6" a="1"/>
  <c r="E221" i="6" s="1"/>
  <c r="L220" i="6" a="1"/>
  <c r="L220" i="6" s="1"/>
  <c r="H248" i="6" a="1"/>
  <c r="H248" i="6" s="1"/>
  <c r="E241" i="6" a="1"/>
  <c r="E241" i="6" s="1"/>
  <c r="K236" i="6" a="1"/>
  <c r="K236" i="6" s="1"/>
  <c r="C232" i="6" a="1"/>
  <c r="C232" i="6" s="1"/>
  <c r="I227" i="6" a="1"/>
  <c r="I227" i="6" s="1"/>
  <c r="L219" i="6" a="1"/>
  <c r="L219" i="6" s="1"/>
  <c r="H217" i="6" a="1"/>
  <c r="H217" i="6" s="1"/>
  <c r="G215" i="6" a="1"/>
  <c r="G215" i="6" s="1"/>
  <c r="M214" i="6" a="1"/>
  <c r="M214" i="6" s="1"/>
  <c r="E214" i="6" a="1"/>
  <c r="E214" i="6" s="1"/>
  <c r="K213" i="6" a="1"/>
  <c r="K213" i="6" s="1"/>
  <c r="C213" i="6" a="1"/>
  <c r="C213" i="6" s="1"/>
  <c r="I212" i="6" a="1"/>
  <c r="I212" i="6" s="1"/>
  <c r="O211" i="6" a="1"/>
  <c r="O211" i="6" s="1"/>
  <c r="G211" i="6" a="1"/>
  <c r="G211" i="6" s="1"/>
  <c r="M210" i="6" a="1"/>
  <c r="M210" i="6" s="1"/>
  <c r="E210" i="6" a="1"/>
  <c r="E210" i="6" s="1"/>
  <c r="K209" i="6" a="1"/>
  <c r="K209" i="6" s="1"/>
  <c r="C209" i="6" a="1"/>
  <c r="C209" i="6" s="1"/>
  <c r="I208" i="6" a="1"/>
  <c r="I208" i="6" s="1"/>
  <c r="O207" i="6" a="1"/>
  <c r="O207" i="6" s="1"/>
  <c r="G207" i="6" a="1"/>
  <c r="G207" i="6" s="1"/>
  <c r="M206" i="6" a="1"/>
  <c r="M206" i="6" s="1"/>
  <c r="E206" i="6" a="1"/>
  <c r="E206" i="6" s="1"/>
  <c r="K205" i="6" a="1"/>
  <c r="K205" i="6" s="1"/>
  <c r="C205" i="6" a="1"/>
  <c r="C205" i="6" s="1"/>
  <c r="I204" i="6" a="1"/>
  <c r="I204" i="6" s="1"/>
  <c r="O203" i="6" a="1"/>
  <c r="O203" i="6" s="1"/>
  <c r="G203" i="6" a="1"/>
  <c r="G203" i="6" s="1"/>
  <c r="M202" i="6" a="1"/>
  <c r="M202" i="6" s="1"/>
  <c r="E202" i="6" a="1"/>
  <c r="E202" i="6" s="1"/>
  <c r="K201" i="6" a="1"/>
  <c r="K201" i="6" s="1"/>
  <c r="C201" i="6" a="1"/>
  <c r="C201" i="6" s="1"/>
  <c r="I200" i="6" a="1"/>
  <c r="I200" i="6" s="1"/>
  <c r="O199" i="6" a="1"/>
  <c r="O199" i="6" s="1"/>
  <c r="G199" i="6" a="1"/>
  <c r="G199" i="6" s="1"/>
  <c r="M198" i="6" a="1"/>
  <c r="M198" i="6" s="1"/>
  <c r="E198" i="6" a="1"/>
  <c r="E198" i="6" s="1"/>
  <c r="K197" i="6" a="1"/>
  <c r="K197" i="6" s="1"/>
  <c r="C197" i="6" a="1"/>
  <c r="C197" i="6" s="1"/>
  <c r="I196" i="6" a="1"/>
  <c r="I196" i="6" s="1"/>
  <c r="O195" i="6" a="1"/>
  <c r="O195" i="6" s="1"/>
  <c r="G195" i="6" a="1"/>
  <c r="G195" i="6" s="1"/>
  <c r="M194" i="6" a="1"/>
  <c r="M194" i="6" s="1"/>
  <c r="E194" i="6" a="1"/>
  <c r="E194" i="6" s="1"/>
  <c r="K193" i="6" a="1"/>
  <c r="K193" i="6" s="1"/>
  <c r="C193" i="6" a="1"/>
  <c r="C193" i="6" s="1"/>
  <c r="I192" i="6" a="1"/>
  <c r="I192" i="6" s="1"/>
  <c r="O191" i="6" a="1"/>
  <c r="O191" i="6" s="1"/>
  <c r="G191" i="6" a="1"/>
  <c r="G191" i="6" s="1"/>
  <c r="M190" i="6" a="1"/>
  <c r="M190" i="6" s="1"/>
  <c r="E190" i="6" a="1"/>
  <c r="E190" i="6" s="1"/>
  <c r="K189" i="6" a="1"/>
  <c r="K189" i="6" s="1"/>
  <c r="C189" i="6" a="1"/>
  <c r="C189" i="6" s="1"/>
  <c r="I188" i="6" a="1"/>
  <c r="I188" i="6" s="1"/>
  <c r="O187" i="6" a="1"/>
  <c r="O187" i="6" s="1"/>
  <c r="G187" i="6" a="1"/>
  <c r="G187" i="6" s="1"/>
  <c r="C187" i="6" a="1"/>
  <c r="C187" i="6" s="1"/>
  <c r="M186" i="6" a="1"/>
  <c r="M186" i="6" s="1"/>
  <c r="I186" i="6" a="1"/>
  <c r="I186" i="6" s="1"/>
  <c r="E186" i="6" a="1"/>
  <c r="E186" i="6" s="1"/>
  <c r="O185" i="6" a="1"/>
  <c r="O185" i="6" s="1"/>
  <c r="K185" i="6" a="1"/>
  <c r="K185" i="6" s="1"/>
  <c r="G185" i="6" a="1"/>
  <c r="G185" i="6" s="1"/>
  <c r="C185" i="6" a="1"/>
  <c r="C185" i="6" s="1"/>
  <c r="M184" i="6" a="1"/>
  <c r="M184" i="6" s="1"/>
  <c r="D246" i="6" a="1"/>
  <c r="D246" i="6" s="1"/>
  <c r="K240" i="6" a="1"/>
  <c r="K240" i="6" s="1"/>
  <c r="C236" i="6" a="1"/>
  <c r="C236" i="6" s="1"/>
  <c r="I231" i="6" a="1"/>
  <c r="I231" i="6" s="1"/>
  <c r="O226" i="6" a="1"/>
  <c r="O226" i="6" s="1"/>
  <c r="I222" i="6" a="1"/>
  <c r="I222" i="6" s="1"/>
  <c r="H219" i="6" a="1"/>
  <c r="H219" i="6" s="1"/>
  <c r="D217" i="6" a="1"/>
  <c r="D217" i="6" s="1"/>
  <c r="F215" i="6" a="1"/>
  <c r="F215" i="6" s="1"/>
  <c r="L214" i="6" a="1"/>
  <c r="L214" i="6" s="1"/>
  <c r="D214" i="6" a="1"/>
  <c r="D214" i="6" s="1"/>
  <c r="J213" i="6" a="1"/>
  <c r="J213" i="6" s="1"/>
  <c r="B213" i="6" a="1"/>
  <c r="B213" i="6" s="1"/>
  <c r="H212" i="6" a="1"/>
  <c r="H212" i="6" s="1"/>
  <c r="N211" i="6" a="1"/>
  <c r="N211" i="6" s="1"/>
  <c r="F211" i="6" a="1"/>
  <c r="F211" i="6" s="1"/>
  <c r="L210" i="6" a="1"/>
  <c r="L210" i="6" s="1"/>
  <c r="D210" i="6" a="1"/>
  <c r="D210" i="6" s="1"/>
  <c r="J209" i="6" a="1"/>
  <c r="J209" i="6" s="1"/>
  <c r="B209" i="6" a="1"/>
  <c r="B209" i="6" s="1"/>
  <c r="H208" i="6" a="1"/>
  <c r="H208" i="6" s="1"/>
  <c r="N207" i="6" a="1"/>
  <c r="N207" i="6" s="1"/>
  <c r="F207" i="6" a="1"/>
  <c r="F207" i="6" s="1"/>
  <c r="L206" i="6" a="1"/>
  <c r="L206" i="6" s="1"/>
  <c r="D206" i="6" a="1"/>
  <c r="D206" i="6" s="1"/>
  <c r="J205" i="6" a="1"/>
  <c r="J205" i="6" s="1"/>
  <c r="B205" i="6" a="1"/>
  <c r="B205" i="6" s="1"/>
  <c r="H204" i="6" a="1"/>
  <c r="H204" i="6" s="1"/>
  <c r="N203" i="6" a="1"/>
  <c r="N203" i="6" s="1"/>
  <c r="F203" i="6" a="1"/>
  <c r="F203" i="6" s="1"/>
  <c r="L202" i="6" a="1"/>
  <c r="L202" i="6" s="1"/>
  <c r="D202" i="6" a="1"/>
  <c r="D202" i="6" s="1"/>
  <c r="J201" i="6" a="1"/>
  <c r="J201" i="6" s="1"/>
  <c r="B201" i="6" a="1"/>
  <c r="B201" i="6" s="1"/>
  <c r="H200" i="6" a="1"/>
  <c r="H200" i="6" s="1"/>
  <c r="N199" i="6" a="1"/>
  <c r="N199" i="6" s="1"/>
  <c r="F199" i="6" a="1"/>
  <c r="F199" i="6" s="1"/>
  <c r="L198" i="6" a="1"/>
  <c r="L198" i="6" s="1"/>
  <c r="D198" i="6" a="1"/>
  <c r="D198" i="6" s="1"/>
  <c r="J197" i="6" a="1"/>
  <c r="J197" i="6" s="1"/>
  <c r="B197" i="6" a="1"/>
  <c r="B197" i="6" s="1"/>
  <c r="H196" i="6" a="1"/>
  <c r="H196" i="6" s="1"/>
  <c r="N195" i="6" a="1"/>
  <c r="N195" i="6" s="1"/>
  <c r="F195" i="6" a="1"/>
  <c r="F195" i="6" s="1"/>
  <c r="L194" i="6" a="1"/>
  <c r="L194" i="6" s="1"/>
  <c r="D194" i="6" a="1"/>
  <c r="D194" i="6" s="1"/>
  <c r="J193" i="6" a="1"/>
  <c r="J193" i="6" s="1"/>
  <c r="B193" i="6" a="1"/>
  <c r="B193" i="6" s="1"/>
  <c r="H192" i="6" a="1"/>
  <c r="H192" i="6" s="1"/>
  <c r="L274" i="6" a="1"/>
  <c r="L274" i="6" s="1"/>
  <c r="K244" i="6" a="1"/>
  <c r="K244" i="6" s="1"/>
  <c r="C240" i="6" a="1"/>
  <c r="C240" i="6" s="1"/>
  <c r="I235" i="6" a="1"/>
  <c r="I235" i="6" s="1"/>
  <c r="O230" i="6" a="1"/>
  <c r="O230" i="6" s="1"/>
  <c r="G226" i="6" a="1"/>
  <c r="G226" i="6" s="1"/>
  <c r="C222" i="6" a="1"/>
  <c r="C222" i="6" s="1"/>
  <c r="D219" i="6" a="1"/>
  <c r="D219" i="6" s="1"/>
  <c r="N216" i="6" a="1"/>
  <c r="N216" i="6" s="1"/>
  <c r="E215" i="6" a="1"/>
  <c r="E215" i="6" s="1"/>
  <c r="K214" i="6" a="1"/>
  <c r="K214" i="6" s="1"/>
  <c r="C214" i="6" a="1"/>
  <c r="C214" i="6" s="1"/>
  <c r="I213" i="6" a="1"/>
  <c r="I213" i="6" s="1"/>
  <c r="O212" i="6" a="1"/>
  <c r="O212" i="6" s="1"/>
  <c r="G212" i="6" a="1"/>
  <c r="G212" i="6" s="1"/>
  <c r="M211" i="6" a="1"/>
  <c r="M211" i="6" s="1"/>
  <c r="E211" i="6" a="1"/>
  <c r="E211" i="6" s="1"/>
  <c r="K210" i="6" a="1"/>
  <c r="K210" i="6" s="1"/>
  <c r="C210" i="6" a="1"/>
  <c r="C210" i="6" s="1"/>
  <c r="I209" i="6" a="1"/>
  <c r="I209" i="6" s="1"/>
  <c r="O208" i="6" a="1"/>
  <c r="O208" i="6" s="1"/>
  <c r="G208" i="6" a="1"/>
  <c r="G208" i="6" s="1"/>
  <c r="M207" i="6" a="1"/>
  <c r="M207" i="6" s="1"/>
  <c r="E207" i="6" a="1"/>
  <c r="E207" i="6" s="1"/>
  <c r="K206" i="6" a="1"/>
  <c r="K206" i="6" s="1"/>
  <c r="C206" i="6" a="1"/>
  <c r="C206" i="6" s="1"/>
  <c r="I205" i="6" a="1"/>
  <c r="I205" i="6" s="1"/>
  <c r="O204" i="6" a="1"/>
  <c r="O204" i="6" s="1"/>
  <c r="G204" i="6" a="1"/>
  <c r="G204" i="6" s="1"/>
  <c r="M203" i="6" a="1"/>
  <c r="M203" i="6" s="1"/>
  <c r="E203" i="6" a="1"/>
  <c r="E203" i="6" s="1"/>
  <c r="K202" i="6" a="1"/>
  <c r="K202" i="6" s="1"/>
  <c r="C202" i="6" a="1"/>
  <c r="C202" i="6" s="1"/>
  <c r="I201" i="6" a="1"/>
  <c r="I201" i="6" s="1"/>
  <c r="O200" i="6" a="1"/>
  <c r="O200" i="6" s="1"/>
  <c r="G200" i="6" a="1"/>
  <c r="G200" i="6" s="1"/>
  <c r="M199" i="6" a="1"/>
  <c r="M199" i="6" s="1"/>
  <c r="E199" i="6" a="1"/>
  <c r="E199" i="6" s="1"/>
  <c r="K198" i="6" a="1"/>
  <c r="K198" i="6" s="1"/>
  <c r="C198" i="6" a="1"/>
  <c r="C198" i="6" s="1"/>
  <c r="I197" i="6" a="1"/>
  <c r="I197" i="6" s="1"/>
  <c r="O196" i="6" a="1"/>
  <c r="O196" i="6" s="1"/>
  <c r="G196" i="6" a="1"/>
  <c r="G196" i="6" s="1"/>
  <c r="M195" i="6" a="1"/>
  <c r="M195" i="6" s="1"/>
  <c r="E195" i="6" a="1"/>
  <c r="E195" i="6" s="1"/>
  <c r="K194" i="6" a="1"/>
  <c r="K194" i="6" s="1"/>
  <c r="C194" i="6" a="1"/>
  <c r="C194" i="6" s="1"/>
  <c r="I193" i="6" a="1"/>
  <c r="I193" i="6" s="1"/>
  <c r="O192" i="6" a="1"/>
  <c r="O192" i="6" s="1"/>
  <c r="G192" i="6" a="1"/>
  <c r="G192" i="6" s="1"/>
  <c r="M191" i="6" a="1"/>
  <c r="M191" i="6" s="1"/>
  <c r="E191" i="6" a="1"/>
  <c r="E191" i="6" s="1"/>
  <c r="K190" i="6" a="1"/>
  <c r="K190" i="6" s="1"/>
  <c r="C190" i="6" a="1"/>
  <c r="C190" i="6" s="1"/>
  <c r="I189" i="6" a="1"/>
  <c r="I189" i="6" s="1"/>
  <c r="O188" i="6" a="1"/>
  <c r="O188" i="6" s="1"/>
  <c r="G188" i="6" a="1"/>
  <c r="G188" i="6" s="1"/>
  <c r="M187" i="6" a="1"/>
  <c r="M187" i="6" s="1"/>
  <c r="F187" i="6" a="1"/>
  <c r="F187" i="6" s="1"/>
  <c r="B187" i="6" a="1"/>
  <c r="B187" i="6" s="1"/>
  <c r="L186" i="6" a="1"/>
  <c r="L186" i="6" s="1"/>
  <c r="H186" i="6" a="1"/>
  <c r="H186" i="6" s="1"/>
  <c r="D186" i="6" a="1"/>
  <c r="D186" i="6" s="1"/>
  <c r="N185" i="6" a="1"/>
  <c r="N185" i="6" s="1"/>
  <c r="J185" i="6" a="1"/>
  <c r="J185" i="6" s="1"/>
  <c r="F185" i="6" a="1"/>
  <c r="F185" i="6" s="1"/>
  <c r="B185" i="6" a="1"/>
  <c r="B185" i="6" s="1"/>
  <c r="L184" i="6" a="1"/>
  <c r="L184" i="6" s="1"/>
  <c r="H184" i="6" a="1"/>
  <c r="H184" i="6" s="1"/>
  <c r="D184" i="6" a="1"/>
  <c r="D184" i="6" s="1"/>
  <c r="N183" i="6" a="1"/>
  <c r="N183" i="6" s="1"/>
  <c r="J183" i="6" a="1"/>
  <c r="J183" i="6" s="1"/>
  <c r="F183" i="6" a="1"/>
  <c r="F183" i="6" s="1"/>
  <c r="B183" i="6" a="1"/>
  <c r="B183" i="6" s="1"/>
  <c r="L182" i="6" a="1"/>
  <c r="L182" i="6" s="1"/>
  <c r="H182" i="6" a="1"/>
  <c r="H182" i="6" s="1"/>
  <c r="D182" i="6" a="1"/>
  <c r="D182" i="6" s="1"/>
  <c r="D270" i="6" a="1"/>
  <c r="D270" i="6" s="1"/>
  <c r="C244" i="6" a="1"/>
  <c r="C244" i="6" s="1"/>
  <c r="I239" i="6" a="1"/>
  <c r="I239" i="6" s="1"/>
  <c r="O234" i="6" a="1"/>
  <c r="O234" i="6" s="1"/>
  <c r="G230" i="6" a="1"/>
  <c r="G230" i="6" s="1"/>
  <c r="M225" i="6" a="1"/>
  <c r="M225" i="6" s="1"/>
  <c r="J221" i="6" a="1"/>
  <c r="J221" i="6" s="1"/>
  <c r="N218" i="6" a="1"/>
  <c r="N218" i="6" s="1"/>
  <c r="J216" i="6" a="1"/>
  <c r="J216" i="6" s="1"/>
  <c r="D215" i="6" a="1"/>
  <c r="D215" i="6" s="1"/>
  <c r="J214" i="6" a="1"/>
  <c r="J214" i="6" s="1"/>
  <c r="B214" i="6" a="1"/>
  <c r="B214" i="6" s="1"/>
  <c r="H213" i="6" a="1"/>
  <c r="H213" i="6" s="1"/>
  <c r="N212" i="6" a="1"/>
  <c r="N212" i="6" s="1"/>
  <c r="F212" i="6" a="1"/>
  <c r="F212" i="6" s="1"/>
  <c r="L211" i="6" a="1"/>
  <c r="L211" i="6" s="1"/>
  <c r="D211" i="6" a="1"/>
  <c r="D211" i="6" s="1"/>
  <c r="J210" i="6" a="1"/>
  <c r="J210" i="6" s="1"/>
  <c r="B210" i="6" a="1"/>
  <c r="B210" i="6" s="1"/>
  <c r="H209" i="6" a="1"/>
  <c r="H209" i="6" s="1"/>
  <c r="N208" i="6" a="1"/>
  <c r="N208" i="6" s="1"/>
  <c r="F208" i="6" a="1"/>
  <c r="F208" i="6" s="1"/>
  <c r="L207" i="6" a="1"/>
  <c r="L207" i="6" s="1"/>
  <c r="D207" i="6" a="1"/>
  <c r="D207" i="6" s="1"/>
  <c r="J206" i="6" a="1"/>
  <c r="J206" i="6" s="1"/>
  <c r="B206" i="6" a="1"/>
  <c r="B206" i="6" s="1"/>
  <c r="H205" i="6" a="1"/>
  <c r="H205" i="6" s="1"/>
  <c r="N204" i="6" a="1"/>
  <c r="N204" i="6" s="1"/>
  <c r="F204" i="6" a="1"/>
  <c r="F204" i="6" s="1"/>
  <c r="L203" i="6" a="1"/>
  <c r="L203" i="6" s="1"/>
  <c r="D203" i="6" a="1"/>
  <c r="D203" i="6" s="1"/>
  <c r="J202" i="6" a="1"/>
  <c r="J202" i="6" s="1"/>
  <c r="B202" i="6" a="1"/>
  <c r="B202" i="6" s="1"/>
  <c r="H201" i="6" a="1"/>
  <c r="H201" i="6" s="1"/>
  <c r="N200" i="6" a="1"/>
  <c r="N200" i="6" s="1"/>
  <c r="F200" i="6" a="1"/>
  <c r="F200" i="6" s="1"/>
  <c r="L199" i="6" a="1"/>
  <c r="L199" i="6" s="1"/>
  <c r="D199" i="6" a="1"/>
  <c r="D199" i="6" s="1"/>
  <c r="J198" i="6" a="1"/>
  <c r="J198" i="6" s="1"/>
  <c r="B198" i="6" a="1"/>
  <c r="B198" i="6" s="1"/>
  <c r="H197" i="6" a="1"/>
  <c r="H197" i="6" s="1"/>
  <c r="N196" i="6" a="1"/>
  <c r="N196" i="6" s="1"/>
  <c r="F196" i="6" a="1"/>
  <c r="F196" i="6" s="1"/>
  <c r="L195" i="6" a="1"/>
  <c r="L195" i="6" s="1"/>
  <c r="D195" i="6" a="1"/>
  <c r="D195" i="6" s="1"/>
  <c r="J194" i="6" a="1"/>
  <c r="J194" i="6" s="1"/>
  <c r="B194" i="6" a="1"/>
  <c r="B194" i="6" s="1"/>
  <c r="H193" i="6" a="1"/>
  <c r="H193" i="6" s="1"/>
  <c r="N192" i="6" a="1"/>
  <c r="N192" i="6" s="1"/>
  <c r="F192" i="6" a="1"/>
  <c r="F192" i="6" s="1"/>
  <c r="L191" i="6" a="1"/>
  <c r="L191" i="6" s="1"/>
  <c r="D191" i="6" a="1"/>
  <c r="D191" i="6" s="1"/>
  <c r="J190" i="6" a="1"/>
  <c r="J190" i="6" s="1"/>
  <c r="B190" i="6" a="1"/>
  <c r="B190" i="6" s="1"/>
  <c r="H189" i="6" a="1"/>
  <c r="H189" i="6" s="1"/>
  <c r="N188" i="6" a="1"/>
  <c r="N188" i="6" s="1"/>
  <c r="F188" i="6" a="1"/>
  <c r="F188" i="6" s="1"/>
  <c r="L187" i="6" a="1"/>
  <c r="L187" i="6" s="1"/>
  <c r="J265" i="6" a="1"/>
  <c r="J265" i="6" s="1"/>
  <c r="I243" i="6" a="1"/>
  <c r="I243" i="6" s="1"/>
  <c r="O238" i="6" a="1"/>
  <c r="O238" i="6" s="1"/>
  <c r="G234" i="6" a="1"/>
  <c r="G234" i="6" s="1"/>
  <c r="M229" i="6" a="1"/>
  <c r="M229" i="6" s="1"/>
  <c r="E225" i="6" a="1"/>
  <c r="E225" i="6" s="1"/>
  <c r="D221" i="6" a="1"/>
  <c r="D221" i="6" s="1"/>
  <c r="J218" i="6" a="1"/>
  <c r="J218" i="6" s="1"/>
  <c r="F216" i="6" a="1"/>
  <c r="F216" i="6" s="1"/>
  <c r="C215" i="6" a="1"/>
  <c r="C215" i="6" s="1"/>
  <c r="I214" i="6" a="1"/>
  <c r="I214" i="6" s="1"/>
  <c r="O213" i="6" a="1"/>
  <c r="O213" i="6" s="1"/>
  <c r="G213" i="6" a="1"/>
  <c r="G213" i="6" s="1"/>
  <c r="M212" i="6" a="1"/>
  <c r="M212" i="6" s="1"/>
  <c r="E212" i="6" a="1"/>
  <c r="E212" i="6" s="1"/>
  <c r="K211" i="6" a="1"/>
  <c r="K211" i="6" s="1"/>
  <c r="C211" i="6" a="1"/>
  <c r="C211" i="6" s="1"/>
  <c r="I210" i="6" a="1"/>
  <c r="I210" i="6" s="1"/>
  <c r="O209" i="6" a="1"/>
  <c r="O209" i="6" s="1"/>
  <c r="G209" i="6" a="1"/>
  <c r="G209" i="6" s="1"/>
  <c r="M208" i="6" a="1"/>
  <c r="M208" i="6" s="1"/>
  <c r="E208" i="6" a="1"/>
  <c r="E208" i="6" s="1"/>
  <c r="K207" i="6" a="1"/>
  <c r="K207" i="6" s="1"/>
  <c r="C207" i="6" a="1"/>
  <c r="C207" i="6" s="1"/>
  <c r="I206" i="6" a="1"/>
  <c r="I206" i="6" s="1"/>
  <c r="O205" i="6" a="1"/>
  <c r="O205" i="6" s="1"/>
  <c r="G205" i="6" a="1"/>
  <c r="G205" i="6" s="1"/>
  <c r="M204" i="6" a="1"/>
  <c r="M204" i="6" s="1"/>
  <c r="E204" i="6" a="1"/>
  <c r="E204" i="6" s="1"/>
  <c r="K203" i="6" a="1"/>
  <c r="K203" i="6" s="1"/>
  <c r="C203" i="6" a="1"/>
  <c r="C203" i="6" s="1"/>
  <c r="I202" i="6" a="1"/>
  <c r="I202" i="6" s="1"/>
  <c r="O201" i="6" a="1"/>
  <c r="O201" i="6" s="1"/>
  <c r="G201" i="6" a="1"/>
  <c r="G201" i="6" s="1"/>
  <c r="M200" i="6" a="1"/>
  <c r="M200" i="6" s="1"/>
  <c r="E200" i="6" a="1"/>
  <c r="E200" i="6" s="1"/>
  <c r="K199" i="6" a="1"/>
  <c r="K199" i="6" s="1"/>
  <c r="C199" i="6" a="1"/>
  <c r="C199" i="6" s="1"/>
  <c r="I198" i="6" a="1"/>
  <c r="I198" i="6" s="1"/>
  <c r="O197" i="6" a="1"/>
  <c r="O197" i="6" s="1"/>
  <c r="G197" i="6" a="1"/>
  <c r="G197" i="6" s="1"/>
  <c r="M196" i="6" a="1"/>
  <c r="M196" i="6" s="1"/>
  <c r="E196" i="6" a="1"/>
  <c r="E196" i="6" s="1"/>
  <c r="K195" i="6" a="1"/>
  <c r="K195" i="6" s="1"/>
  <c r="C195" i="6" a="1"/>
  <c r="C195" i="6" s="1"/>
  <c r="I194" i="6" a="1"/>
  <c r="I194" i="6" s="1"/>
  <c r="O193" i="6" a="1"/>
  <c r="O193" i="6" s="1"/>
  <c r="G193" i="6" a="1"/>
  <c r="G193" i="6" s="1"/>
  <c r="M192" i="6" a="1"/>
  <c r="M192" i="6" s="1"/>
  <c r="E192" i="6" a="1"/>
  <c r="E192" i="6" s="1"/>
  <c r="K191" i="6" a="1"/>
  <c r="K191" i="6" s="1"/>
  <c r="C191" i="6" a="1"/>
  <c r="C191" i="6" s="1"/>
  <c r="I190" i="6" a="1"/>
  <c r="I190" i="6" s="1"/>
  <c r="O189" i="6" a="1"/>
  <c r="O189" i="6" s="1"/>
  <c r="G189" i="6" a="1"/>
  <c r="G189" i="6" s="1"/>
  <c r="M188" i="6" a="1"/>
  <c r="M188" i="6" s="1"/>
  <c r="E188" i="6" a="1"/>
  <c r="E188" i="6" s="1"/>
  <c r="K187" i="6" a="1"/>
  <c r="K187" i="6" s="1"/>
  <c r="E187" i="6" a="1"/>
  <c r="E187" i="6" s="1"/>
  <c r="O186" i="6" a="1"/>
  <c r="O186" i="6" s="1"/>
  <c r="K186" i="6" a="1"/>
  <c r="K186" i="6" s="1"/>
  <c r="G186" i="6" a="1"/>
  <c r="G186" i="6" s="1"/>
  <c r="C186" i="6" a="1"/>
  <c r="C186" i="6" s="1"/>
  <c r="M185" i="6" a="1"/>
  <c r="M185" i="6" s="1"/>
  <c r="I185" i="6" a="1"/>
  <c r="I185" i="6" s="1"/>
  <c r="E185" i="6" a="1"/>
  <c r="E185" i="6" s="1"/>
  <c r="O184" i="6" a="1"/>
  <c r="O184" i="6" s="1"/>
  <c r="K184" i="6" a="1"/>
  <c r="K184" i="6" s="1"/>
  <c r="B261" i="6" a="1"/>
  <c r="B261" i="6" s="1"/>
  <c r="O242" i="6" a="1"/>
  <c r="O242" i="6" s="1"/>
  <c r="G238" i="6" a="1"/>
  <c r="G238" i="6" s="1"/>
  <c r="M233" i="6" a="1"/>
  <c r="M233" i="6" s="1"/>
  <c r="E229" i="6" a="1"/>
  <c r="E229" i="6" s="1"/>
  <c r="K224" i="6" a="1"/>
  <c r="K224" i="6" s="1"/>
  <c r="F218" i="6" a="1"/>
  <c r="F218" i="6" s="1"/>
  <c r="B216" i="6" a="1"/>
  <c r="B216" i="6" s="1"/>
  <c r="B215" i="6" a="1"/>
  <c r="B215" i="6" s="1"/>
  <c r="H214" i="6" a="1"/>
  <c r="H214" i="6" s="1"/>
  <c r="N213" i="6" a="1"/>
  <c r="N213" i="6" s="1"/>
  <c r="F213" i="6" a="1"/>
  <c r="F213" i="6" s="1"/>
  <c r="L212" i="6" a="1"/>
  <c r="L212" i="6" s="1"/>
  <c r="D212" i="6" a="1"/>
  <c r="D212" i="6" s="1"/>
  <c r="J211" i="6" a="1"/>
  <c r="J211" i="6" s="1"/>
  <c r="B211" i="6" a="1"/>
  <c r="B211" i="6" s="1"/>
  <c r="H210" i="6" a="1"/>
  <c r="H210" i="6" s="1"/>
  <c r="N209" i="6" a="1"/>
  <c r="N209" i="6" s="1"/>
  <c r="F209" i="6" a="1"/>
  <c r="F209" i="6" s="1"/>
  <c r="L208" i="6" a="1"/>
  <c r="L208" i="6" s="1"/>
  <c r="D208" i="6" a="1"/>
  <c r="D208" i="6" s="1"/>
  <c r="J207" i="6" a="1"/>
  <c r="J207" i="6" s="1"/>
  <c r="B207" i="6" a="1"/>
  <c r="B207" i="6" s="1"/>
  <c r="H206" i="6" a="1"/>
  <c r="H206" i="6" s="1"/>
  <c r="N205" i="6" a="1"/>
  <c r="N205" i="6" s="1"/>
  <c r="F205" i="6" a="1"/>
  <c r="F205" i="6" s="1"/>
  <c r="L204" i="6" a="1"/>
  <c r="L204" i="6" s="1"/>
  <c r="D204" i="6" a="1"/>
  <c r="D204" i="6" s="1"/>
  <c r="J203" i="6" a="1"/>
  <c r="J203" i="6" s="1"/>
  <c r="B203" i="6" a="1"/>
  <c r="B203" i="6" s="1"/>
  <c r="H202" i="6" a="1"/>
  <c r="H202" i="6" s="1"/>
  <c r="N201" i="6" a="1"/>
  <c r="N201" i="6" s="1"/>
  <c r="F201" i="6" a="1"/>
  <c r="F201" i="6" s="1"/>
  <c r="L200" i="6" a="1"/>
  <c r="L200" i="6" s="1"/>
  <c r="D200" i="6" a="1"/>
  <c r="D200" i="6" s="1"/>
  <c r="J199" i="6" a="1"/>
  <c r="J199" i="6" s="1"/>
  <c r="B199" i="6" a="1"/>
  <c r="B199" i="6" s="1"/>
  <c r="H198" i="6" a="1"/>
  <c r="H198" i="6" s="1"/>
  <c r="N197" i="6" a="1"/>
  <c r="N197" i="6" s="1"/>
  <c r="F197" i="6" a="1"/>
  <c r="F197" i="6" s="1"/>
  <c r="L196" i="6" a="1"/>
  <c r="L196" i="6" s="1"/>
  <c r="D196" i="6" a="1"/>
  <c r="D196" i="6" s="1"/>
  <c r="J195" i="6" a="1"/>
  <c r="J195" i="6" s="1"/>
  <c r="B195" i="6" a="1"/>
  <c r="B195" i="6" s="1"/>
  <c r="H194" i="6" a="1"/>
  <c r="H194" i="6" s="1"/>
  <c r="N193" i="6" a="1"/>
  <c r="N193" i="6" s="1"/>
  <c r="F193" i="6" a="1"/>
  <c r="F193" i="6" s="1"/>
  <c r="L192" i="6" a="1"/>
  <c r="L192" i="6" s="1"/>
  <c r="D192" i="6" a="1"/>
  <c r="D192" i="6" s="1"/>
  <c r="J191" i="6" a="1"/>
  <c r="J191" i="6" s="1"/>
  <c r="B191" i="6" a="1"/>
  <c r="B191" i="6" s="1"/>
  <c r="H190" i="6" a="1"/>
  <c r="H190" i="6" s="1"/>
  <c r="N189" i="6" a="1"/>
  <c r="N189" i="6" s="1"/>
  <c r="F189" i="6" a="1"/>
  <c r="F189" i="6" s="1"/>
  <c r="L188" i="6" a="1"/>
  <c r="L188" i="6" s="1"/>
  <c r="D188" i="6" a="1"/>
  <c r="D188" i="6" s="1"/>
  <c r="J187" i="6" a="1"/>
  <c r="J187" i="6" s="1"/>
  <c r="H256" i="6" a="1"/>
  <c r="H256" i="6" s="1"/>
  <c r="G242" i="6" a="1"/>
  <c r="G242" i="6" s="1"/>
  <c r="M237" i="6" a="1"/>
  <c r="M237" i="6" s="1"/>
  <c r="E233" i="6" a="1"/>
  <c r="E233" i="6" s="1"/>
  <c r="K228" i="6" a="1"/>
  <c r="K228" i="6" s="1"/>
  <c r="C224" i="6" a="1"/>
  <c r="C224" i="6" s="1"/>
  <c r="F220" i="6" a="1"/>
  <c r="F220" i="6" s="1"/>
  <c r="B218" i="6" a="1"/>
  <c r="B218" i="6" s="1"/>
  <c r="L215" i="6" a="1"/>
  <c r="L215" i="6" s="1"/>
  <c r="O214" i="6" a="1"/>
  <c r="O214" i="6" s="1"/>
  <c r="G214" i="6" a="1"/>
  <c r="G214" i="6" s="1"/>
  <c r="M213" i="6" a="1"/>
  <c r="M213" i="6" s="1"/>
  <c r="E213" i="6" a="1"/>
  <c r="E213" i="6" s="1"/>
  <c r="K212" i="6" a="1"/>
  <c r="K212" i="6" s="1"/>
  <c r="C212" i="6" a="1"/>
  <c r="C212" i="6" s="1"/>
  <c r="I211" i="6" a="1"/>
  <c r="I211" i="6" s="1"/>
  <c r="O210" i="6" a="1"/>
  <c r="O210" i="6" s="1"/>
  <c r="G210" i="6" a="1"/>
  <c r="G210" i="6" s="1"/>
  <c r="M209" i="6" a="1"/>
  <c r="M209" i="6" s="1"/>
  <c r="E209" i="6" a="1"/>
  <c r="E209" i="6" s="1"/>
  <c r="K208" i="6" a="1"/>
  <c r="K208" i="6" s="1"/>
  <c r="C208" i="6" a="1"/>
  <c r="C208" i="6" s="1"/>
  <c r="I207" i="6" a="1"/>
  <c r="I207" i="6" s="1"/>
  <c r="O206" i="6" a="1"/>
  <c r="O206" i="6" s="1"/>
  <c r="G206" i="6" a="1"/>
  <c r="G206" i="6" s="1"/>
  <c r="M205" i="6" a="1"/>
  <c r="M205" i="6" s="1"/>
  <c r="E205" i="6" a="1"/>
  <c r="E205" i="6" s="1"/>
  <c r="K204" i="6" a="1"/>
  <c r="K204" i="6" s="1"/>
  <c r="C204" i="6" a="1"/>
  <c r="C204" i="6" s="1"/>
  <c r="I203" i="6" a="1"/>
  <c r="I203" i="6" s="1"/>
  <c r="O202" i="6" a="1"/>
  <c r="O202" i="6" s="1"/>
  <c r="G202" i="6" a="1"/>
  <c r="G202" i="6" s="1"/>
  <c r="M201" i="6" a="1"/>
  <c r="M201" i="6" s="1"/>
  <c r="E201" i="6" a="1"/>
  <c r="E201" i="6" s="1"/>
  <c r="K200" i="6" a="1"/>
  <c r="K200" i="6" s="1"/>
  <c r="C200" i="6" a="1"/>
  <c r="C200" i="6" s="1"/>
  <c r="I199" i="6" a="1"/>
  <c r="I199" i="6" s="1"/>
  <c r="O198" i="6" a="1"/>
  <c r="O198" i="6" s="1"/>
  <c r="G198" i="6" a="1"/>
  <c r="G198" i="6" s="1"/>
  <c r="M197" i="6" a="1"/>
  <c r="M197" i="6" s="1"/>
  <c r="E197" i="6" a="1"/>
  <c r="E197" i="6" s="1"/>
  <c r="K196" i="6" a="1"/>
  <c r="K196" i="6" s="1"/>
  <c r="C196" i="6" a="1"/>
  <c r="C196" i="6" s="1"/>
  <c r="I195" i="6" a="1"/>
  <c r="I195" i="6" s="1"/>
  <c r="O194" i="6" a="1"/>
  <c r="O194" i="6" s="1"/>
  <c r="G194" i="6" a="1"/>
  <c r="G194" i="6" s="1"/>
  <c r="M193" i="6" a="1"/>
  <c r="M193" i="6" s="1"/>
  <c r="E193" i="6" a="1"/>
  <c r="E193" i="6" s="1"/>
  <c r="K192" i="6" a="1"/>
  <c r="K192" i="6" s="1"/>
  <c r="C192" i="6" a="1"/>
  <c r="C192" i="6" s="1"/>
  <c r="I191" i="6" a="1"/>
  <c r="I191" i="6" s="1"/>
  <c r="O190" i="6" a="1"/>
  <c r="O190" i="6" s="1"/>
  <c r="G190" i="6" a="1"/>
  <c r="G190" i="6" s="1"/>
  <c r="M189" i="6" a="1"/>
  <c r="M189" i="6" s="1"/>
  <c r="E189" i="6" a="1"/>
  <c r="E189" i="6" s="1"/>
  <c r="K188" i="6" a="1"/>
  <c r="K188" i="6" s="1"/>
  <c r="C188" i="6" a="1"/>
  <c r="C188" i="6" s="1"/>
  <c r="I187" i="6" a="1"/>
  <c r="I187" i="6" s="1"/>
  <c r="D187" i="6" a="1"/>
  <c r="D187" i="6" s="1"/>
  <c r="N186" i="6" a="1"/>
  <c r="N186" i="6" s="1"/>
  <c r="J186" i="6" a="1"/>
  <c r="J186" i="6" s="1"/>
  <c r="F186" i="6" a="1"/>
  <c r="F186" i="6" s="1"/>
  <c r="B186" i="6" a="1"/>
  <c r="B186" i="6" s="1"/>
  <c r="L185" i="6" a="1"/>
  <c r="L185" i="6" s="1"/>
  <c r="H185" i="6" a="1"/>
  <c r="H185" i="6" s="1"/>
  <c r="D185" i="6" a="1"/>
  <c r="D185" i="6" s="1"/>
  <c r="N184" i="6" a="1"/>
  <c r="N184" i="6" s="1"/>
  <c r="J184" i="6" a="1"/>
  <c r="J184" i="6" s="1"/>
  <c r="F184" i="6" a="1"/>
  <c r="F184" i="6" s="1"/>
  <c r="B184" i="6" a="1"/>
  <c r="B184" i="6" s="1"/>
  <c r="L183" i="6" a="1"/>
  <c r="L183" i="6" s="1"/>
  <c r="H183" i="6" a="1"/>
  <c r="H183" i="6" s="1"/>
  <c r="D183" i="6" a="1"/>
  <c r="D183" i="6" s="1"/>
  <c r="N182" i="6" a="1"/>
  <c r="N182" i="6" s="1"/>
  <c r="J182" i="6" a="1"/>
  <c r="J182" i="6" s="1"/>
  <c r="F182" i="6" a="1"/>
  <c r="F182" i="6" s="1"/>
  <c r="B182" i="6" a="1"/>
  <c r="B182" i="6" s="1"/>
  <c r="L181" i="6" a="1"/>
  <c r="L181" i="6" s="1"/>
  <c r="H181" i="6" a="1"/>
  <c r="H181" i="6" s="1"/>
  <c r="N251" i="6" a="1"/>
  <c r="N251" i="6" s="1"/>
  <c r="H215" i="6" a="1"/>
  <c r="H215" i="6" s="1"/>
  <c r="N210" i="6" a="1"/>
  <c r="N210" i="6" s="1"/>
  <c r="F206" i="6" a="1"/>
  <c r="F206" i="6" s="1"/>
  <c r="L201" i="6" a="1"/>
  <c r="L201" i="6" s="1"/>
  <c r="D197" i="6" a="1"/>
  <c r="D197" i="6" s="1"/>
  <c r="J192" i="6" a="1"/>
  <c r="J192" i="6" s="1"/>
  <c r="D190" i="6" a="1"/>
  <c r="D190" i="6" s="1"/>
  <c r="N187" i="6" a="1"/>
  <c r="N187" i="6" s="1"/>
  <c r="G184" i="6" a="1"/>
  <c r="G184" i="6" s="1"/>
  <c r="M183" i="6" a="1"/>
  <c r="M183" i="6" s="1"/>
  <c r="E183" i="6" a="1"/>
  <c r="E183" i="6" s="1"/>
  <c r="K182" i="6" a="1"/>
  <c r="K182" i="6" s="1"/>
  <c r="C182" i="6" a="1"/>
  <c r="C182" i="6" s="1"/>
  <c r="D181" i="6" a="1"/>
  <c r="D181" i="6" s="1"/>
  <c r="M180" i="6" a="1"/>
  <c r="M180" i="6" s="1"/>
  <c r="H180" i="6" a="1"/>
  <c r="H180" i="6" s="1"/>
  <c r="B180" i="6" a="1"/>
  <c r="B180" i="6" s="1"/>
  <c r="K179" i="6" a="1"/>
  <c r="K179" i="6" s="1"/>
  <c r="F179" i="6" a="1"/>
  <c r="F179" i="6" s="1"/>
  <c r="N178" i="6" a="1"/>
  <c r="N178" i="6" s="1"/>
  <c r="I178" i="6" a="1"/>
  <c r="I178" i="6" s="1"/>
  <c r="D178" i="6" a="1"/>
  <c r="D178" i="6" s="1"/>
  <c r="L177" i="6" a="1"/>
  <c r="L177" i="6" s="1"/>
  <c r="G177" i="6" a="1"/>
  <c r="G177" i="6" s="1"/>
  <c r="B177" i="6" a="1"/>
  <c r="B177" i="6" s="1"/>
  <c r="J176" i="6" a="1"/>
  <c r="J176" i="6" s="1"/>
  <c r="E176" i="6" a="1"/>
  <c r="E176" i="6" s="1"/>
  <c r="N175" i="6" a="1"/>
  <c r="N175" i="6" s="1"/>
  <c r="H175" i="6" a="1"/>
  <c r="H175" i="6" s="1"/>
  <c r="C175" i="6" a="1"/>
  <c r="C175" i="6" s="1"/>
  <c r="L174" i="6" a="1"/>
  <c r="L174" i="6" s="1"/>
  <c r="F174" i="6" a="1"/>
  <c r="F174" i="6" s="1"/>
  <c r="O173" i="6" a="1"/>
  <c r="O173" i="6" s="1"/>
  <c r="J173" i="6" a="1"/>
  <c r="J173" i="6" s="1"/>
  <c r="D173" i="6" a="1"/>
  <c r="D173" i="6" s="1"/>
  <c r="M172" i="6" a="1"/>
  <c r="M172" i="6" s="1"/>
  <c r="H172" i="6" a="1"/>
  <c r="H172" i="6" s="1"/>
  <c r="B172" i="6" a="1"/>
  <c r="B172" i="6" s="1"/>
  <c r="K171" i="6" a="1"/>
  <c r="K171" i="6" s="1"/>
  <c r="F171" i="6" a="1"/>
  <c r="F171" i="6" s="1"/>
  <c r="N170" i="6" a="1"/>
  <c r="N170" i="6" s="1"/>
  <c r="I170" i="6" a="1"/>
  <c r="I170" i="6" s="1"/>
  <c r="D170" i="6" a="1"/>
  <c r="D170" i="6" s="1"/>
  <c r="L169" i="6" a="1"/>
  <c r="L169" i="6" s="1"/>
  <c r="G169" i="6" a="1"/>
  <c r="G169" i="6" s="1"/>
  <c r="B169" i="6" a="1"/>
  <c r="B169" i="6" s="1"/>
  <c r="M241" i="6" a="1"/>
  <c r="M241" i="6" s="1"/>
  <c r="N214" i="6" a="1"/>
  <c r="N214" i="6" s="1"/>
  <c r="F210" i="6" a="1"/>
  <c r="F210" i="6" s="1"/>
  <c r="L205" i="6" a="1"/>
  <c r="L205" i="6" s="1"/>
  <c r="D201" i="6" a="1"/>
  <c r="D201" i="6" s="1"/>
  <c r="J196" i="6" a="1"/>
  <c r="J196" i="6" s="1"/>
  <c r="B192" i="6" a="1"/>
  <c r="B192" i="6" s="1"/>
  <c r="L189" i="6" a="1"/>
  <c r="L189" i="6" s="1"/>
  <c r="H187" i="6" a="1"/>
  <c r="H187" i="6" s="1"/>
  <c r="J181" i="6" a="1"/>
  <c r="J181" i="6" s="1"/>
  <c r="G180" i="6" a="1"/>
  <c r="G180" i="6" s="1"/>
  <c r="E179" i="6" a="1"/>
  <c r="E179" i="6" s="1"/>
  <c r="C178" i="6" a="1"/>
  <c r="C178" i="6" s="1"/>
  <c r="O176" i="6" a="1"/>
  <c r="O176" i="6" s="1"/>
  <c r="M175" i="6" a="1"/>
  <c r="M175" i="6" s="1"/>
  <c r="K174" i="6" a="1"/>
  <c r="K174" i="6" s="1"/>
  <c r="I173" i="6" a="1"/>
  <c r="I173" i="6" s="1"/>
  <c r="G172" i="6" a="1"/>
  <c r="G172" i="6" s="1"/>
  <c r="E171" i="6" a="1"/>
  <c r="E171" i="6" s="1"/>
  <c r="C170" i="6" a="1"/>
  <c r="C170" i="6" s="1"/>
  <c r="O168" i="6" a="1"/>
  <c r="O168" i="6" s="1"/>
  <c r="M167" i="6" a="1"/>
  <c r="M167" i="6" s="1"/>
  <c r="K166" i="6" a="1"/>
  <c r="K166" i="6" s="1"/>
  <c r="I165" i="6" a="1"/>
  <c r="I165" i="6" s="1"/>
  <c r="G164" i="6" a="1"/>
  <c r="G164" i="6" s="1"/>
  <c r="E163" i="6" a="1"/>
  <c r="E163" i="6" s="1"/>
  <c r="C162" i="6" a="1"/>
  <c r="C162" i="6" s="1"/>
  <c r="O160" i="6" a="1"/>
  <c r="O160" i="6" s="1"/>
  <c r="M159" i="6" a="1"/>
  <c r="M159" i="6" s="1"/>
  <c r="K158" i="6" a="1"/>
  <c r="K158" i="6" s="1"/>
  <c r="I157" i="6" a="1"/>
  <c r="I157" i="6" s="1"/>
  <c r="G156" i="6" a="1"/>
  <c r="G156" i="6" s="1"/>
  <c r="E237" i="6" a="1"/>
  <c r="E237" i="6" s="1"/>
  <c r="F214" i="6" a="1"/>
  <c r="F214" i="6" s="1"/>
  <c r="L209" i="6" a="1"/>
  <c r="L209" i="6" s="1"/>
  <c r="D205" i="6" a="1"/>
  <c r="D205" i="6" s="1"/>
  <c r="J200" i="6" a="1"/>
  <c r="J200" i="6" s="1"/>
  <c r="B196" i="6" a="1"/>
  <c r="B196" i="6" s="1"/>
  <c r="N191" i="6" a="1"/>
  <c r="N191" i="6" s="1"/>
  <c r="J189" i="6" a="1"/>
  <c r="J189" i="6" s="1"/>
  <c r="E184" i="6" a="1"/>
  <c r="E184" i="6" s="1"/>
  <c r="K183" i="6" a="1"/>
  <c r="K183" i="6" s="1"/>
  <c r="C183" i="6" a="1"/>
  <c r="C183" i="6" s="1"/>
  <c r="I182" i="6" a="1"/>
  <c r="I182" i="6" s="1"/>
  <c r="O181" i="6" a="1"/>
  <c r="O181" i="6" s="1"/>
  <c r="I181" i="6" a="1"/>
  <c r="I181" i="6" s="1"/>
  <c r="C181" i="6" a="1"/>
  <c r="C181" i="6" s="1"/>
  <c r="L180" i="6" a="1"/>
  <c r="L180" i="6" s="1"/>
  <c r="F180" i="6" a="1"/>
  <c r="F180" i="6" s="1"/>
  <c r="O179" i="6" a="1"/>
  <c r="O179" i="6" s="1"/>
  <c r="J179" i="6" a="1"/>
  <c r="J179" i="6" s="1"/>
  <c r="D179" i="6" a="1"/>
  <c r="D179" i="6" s="1"/>
  <c r="M178" i="6" a="1"/>
  <c r="M178" i="6" s="1"/>
  <c r="H178" i="6" a="1"/>
  <c r="H178" i="6" s="1"/>
  <c r="B178" i="6" a="1"/>
  <c r="B178" i="6" s="1"/>
  <c r="K177" i="6" a="1"/>
  <c r="K177" i="6" s="1"/>
  <c r="F177" i="6" a="1"/>
  <c r="F177" i="6" s="1"/>
  <c r="N176" i="6" a="1"/>
  <c r="N176" i="6" s="1"/>
  <c r="I176" i="6" a="1"/>
  <c r="I176" i="6" s="1"/>
  <c r="D176" i="6" a="1"/>
  <c r="D176" i="6" s="1"/>
  <c r="L175" i="6" a="1"/>
  <c r="L175" i="6" s="1"/>
  <c r="G175" i="6" a="1"/>
  <c r="G175" i="6" s="1"/>
  <c r="B175" i="6" a="1"/>
  <c r="B175" i="6" s="1"/>
  <c r="J174" i="6" a="1"/>
  <c r="J174" i="6" s="1"/>
  <c r="E174" i="6" a="1"/>
  <c r="E174" i="6" s="1"/>
  <c r="N173" i="6" a="1"/>
  <c r="N173" i="6" s="1"/>
  <c r="H173" i="6" a="1"/>
  <c r="H173" i="6" s="1"/>
  <c r="C173" i="6" a="1"/>
  <c r="C173" i="6" s="1"/>
  <c r="L172" i="6" a="1"/>
  <c r="L172" i="6" s="1"/>
  <c r="F172" i="6" a="1"/>
  <c r="F172" i="6" s="1"/>
  <c r="O171" i="6" a="1"/>
  <c r="O171" i="6" s="1"/>
  <c r="J171" i="6" a="1"/>
  <c r="J171" i="6" s="1"/>
  <c r="D171" i="6" a="1"/>
  <c r="D171" i="6" s="1"/>
  <c r="M170" i="6" a="1"/>
  <c r="M170" i="6" s="1"/>
  <c r="H170" i="6" a="1"/>
  <c r="H170" i="6" s="1"/>
  <c r="B170" i="6" a="1"/>
  <c r="B170" i="6" s="1"/>
  <c r="K169" i="6" a="1"/>
  <c r="K169" i="6" s="1"/>
  <c r="F169" i="6" a="1"/>
  <c r="F169" i="6" s="1"/>
  <c r="N168" i="6" a="1"/>
  <c r="N168" i="6" s="1"/>
  <c r="K232" i="6" a="1"/>
  <c r="K232" i="6" s="1"/>
  <c r="L213" i="6" a="1"/>
  <c r="L213" i="6" s="1"/>
  <c r="D209" i="6" a="1"/>
  <c r="D209" i="6" s="1"/>
  <c r="J204" i="6" a="1"/>
  <c r="J204" i="6" s="1"/>
  <c r="B200" i="6" a="1"/>
  <c r="B200" i="6" s="1"/>
  <c r="H195" i="6" a="1"/>
  <c r="H195" i="6" s="1"/>
  <c r="H191" i="6" a="1"/>
  <c r="H191" i="6" s="1"/>
  <c r="D189" i="6" a="1"/>
  <c r="D189" i="6" s="1"/>
  <c r="K180" i="6" a="1"/>
  <c r="K180" i="6" s="1"/>
  <c r="I179" i="6" a="1"/>
  <c r="I179" i="6" s="1"/>
  <c r="G178" i="6" a="1"/>
  <c r="G178" i="6" s="1"/>
  <c r="E177" i="6" a="1"/>
  <c r="E177" i="6" s="1"/>
  <c r="C176" i="6" a="1"/>
  <c r="C176" i="6" s="1"/>
  <c r="O174" i="6" a="1"/>
  <c r="O174" i="6" s="1"/>
  <c r="M173" i="6" a="1"/>
  <c r="M173" i="6" s="1"/>
  <c r="K172" i="6" a="1"/>
  <c r="K172" i="6" s="1"/>
  <c r="I171" i="6" a="1"/>
  <c r="I171" i="6" s="1"/>
  <c r="G170" i="6" a="1"/>
  <c r="G170" i="6" s="1"/>
  <c r="E169" i="6" a="1"/>
  <c r="E169" i="6" s="1"/>
  <c r="C168" i="6" a="1"/>
  <c r="C168" i="6" s="1"/>
  <c r="O166" i="6" a="1"/>
  <c r="O166" i="6" s="1"/>
  <c r="M165" i="6" a="1"/>
  <c r="M165" i="6" s="1"/>
  <c r="K164" i="6" a="1"/>
  <c r="K164" i="6" s="1"/>
  <c r="I163" i="6" a="1"/>
  <c r="I163" i="6" s="1"/>
  <c r="G162" i="6" a="1"/>
  <c r="G162" i="6" s="1"/>
  <c r="E161" i="6" a="1"/>
  <c r="E161" i="6" s="1"/>
  <c r="C160" i="6" a="1"/>
  <c r="C160" i="6" s="1"/>
  <c r="O158" i="6" a="1"/>
  <c r="O158" i="6" s="1"/>
  <c r="M157" i="6" a="1"/>
  <c r="M157" i="6" s="1"/>
  <c r="K156" i="6" a="1"/>
  <c r="K156" i="6" s="1"/>
  <c r="I155" i="6" a="1"/>
  <c r="I155" i="6" s="1"/>
  <c r="C228" i="6" a="1"/>
  <c r="C228" i="6" s="1"/>
  <c r="D213" i="6" a="1"/>
  <c r="D213" i="6" s="1"/>
  <c r="J208" i="6" a="1"/>
  <c r="J208" i="6" s="1"/>
  <c r="B204" i="6" a="1"/>
  <c r="B204" i="6" s="1"/>
  <c r="H199" i="6" a="1"/>
  <c r="H199" i="6" s="1"/>
  <c r="N194" i="6" a="1"/>
  <c r="N194" i="6" s="1"/>
  <c r="F191" i="6" a="1"/>
  <c r="F191" i="6" s="1"/>
  <c r="B189" i="6" a="1"/>
  <c r="B189" i="6" s="1"/>
  <c r="C184" i="6" a="1"/>
  <c r="C184" i="6" s="1"/>
  <c r="I183" i="6" a="1"/>
  <c r="I183" i="6" s="1"/>
  <c r="O182" i="6" a="1"/>
  <c r="O182" i="6" s="1"/>
  <c r="G182" i="6" a="1"/>
  <c r="G182" i="6" s="1"/>
  <c r="N181" i="6" a="1"/>
  <c r="N181" i="6" s="1"/>
  <c r="G181" i="6" a="1"/>
  <c r="G181" i="6" s="1"/>
  <c r="B181" i="6" a="1"/>
  <c r="B181" i="6" s="1"/>
  <c r="J180" i="6" a="1"/>
  <c r="J180" i="6" s="1"/>
  <c r="E180" i="6" a="1"/>
  <c r="E180" i="6" s="1"/>
  <c r="N179" i="6" a="1"/>
  <c r="N179" i="6" s="1"/>
  <c r="H179" i="6" a="1"/>
  <c r="H179" i="6" s="1"/>
  <c r="C179" i="6" a="1"/>
  <c r="C179" i="6" s="1"/>
  <c r="L178" i="6" a="1"/>
  <c r="L178" i="6" s="1"/>
  <c r="F178" i="6" a="1"/>
  <c r="F178" i="6" s="1"/>
  <c r="O177" i="6" a="1"/>
  <c r="O177" i="6" s="1"/>
  <c r="J177" i="6" a="1"/>
  <c r="J177" i="6" s="1"/>
  <c r="D177" i="6" a="1"/>
  <c r="D177" i="6" s="1"/>
  <c r="M176" i="6" a="1"/>
  <c r="M176" i="6" s="1"/>
  <c r="H176" i="6" a="1"/>
  <c r="H176" i="6" s="1"/>
  <c r="B176" i="6" a="1"/>
  <c r="B176" i="6" s="1"/>
  <c r="K175" i="6" a="1"/>
  <c r="K175" i="6" s="1"/>
  <c r="F175" i="6" a="1"/>
  <c r="F175" i="6" s="1"/>
  <c r="N174" i="6" a="1"/>
  <c r="N174" i="6" s="1"/>
  <c r="I174" i="6" a="1"/>
  <c r="I174" i="6" s="1"/>
  <c r="D174" i="6" a="1"/>
  <c r="D174" i="6" s="1"/>
  <c r="L173" i="6" a="1"/>
  <c r="L173" i="6" s="1"/>
  <c r="G173" i="6" a="1"/>
  <c r="G173" i="6" s="1"/>
  <c r="B173" i="6" a="1"/>
  <c r="B173" i="6" s="1"/>
  <c r="J172" i="6" a="1"/>
  <c r="J172" i="6" s="1"/>
  <c r="E172" i="6" a="1"/>
  <c r="E172" i="6" s="1"/>
  <c r="N171" i="6" a="1"/>
  <c r="N171" i="6" s="1"/>
  <c r="H171" i="6" a="1"/>
  <c r="H171" i="6" s="1"/>
  <c r="C171" i="6" a="1"/>
  <c r="C171" i="6" s="1"/>
  <c r="L170" i="6" a="1"/>
  <c r="L170" i="6" s="1"/>
  <c r="F170" i="6" a="1"/>
  <c r="F170" i="6" s="1"/>
  <c r="O169" i="6" a="1"/>
  <c r="O169" i="6" s="1"/>
  <c r="B220" i="6" a="1"/>
  <c r="B220" i="6" s="1"/>
  <c r="B212" i="6" a="1"/>
  <c r="B212" i="6" s="1"/>
  <c r="H207" i="6" a="1"/>
  <c r="H207" i="6" s="1"/>
  <c r="N202" i="6" a="1"/>
  <c r="N202" i="6" s="1"/>
  <c r="F198" i="6" a="1"/>
  <c r="F198" i="6" s="1"/>
  <c r="L193" i="6" a="1"/>
  <c r="L193" i="6" s="1"/>
  <c r="L190" i="6" a="1"/>
  <c r="L190" i="6" s="1"/>
  <c r="H188" i="6" a="1"/>
  <c r="H188" i="6" s="1"/>
  <c r="I184" i="6" a="1"/>
  <c r="I184" i="6" s="1"/>
  <c r="O183" i="6" a="1"/>
  <c r="O183" i="6" s="1"/>
  <c r="G183" i="6" a="1"/>
  <c r="G183" i="6" s="1"/>
  <c r="M182" i="6" a="1"/>
  <c r="M182" i="6" s="1"/>
  <c r="E182" i="6" a="1"/>
  <c r="E182" i="6" s="1"/>
  <c r="F181" i="6" a="1"/>
  <c r="F181" i="6" s="1"/>
  <c r="N180" i="6" a="1"/>
  <c r="N180" i="6" s="1"/>
  <c r="I180" i="6" a="1"/>
  <c r="I180" i="6" s="1"/>
  <c r="D180" i="6" a="1"/>
  <c r="D180" i="6" s="1"/>
  <c r="L179" i="6" a="1"/>
  <c r="L179" i="6" s="1"/>
  <c r="G179" i="6" a="1"/>
  <c r="G179" i="6" s="1"/>
  <c r="B179" i="6" a="1"/>
  <c r="B179" i="6" s="1"/>
  <c r="J178" i="6" a="1"/>
  <c r="J178" i="6" s="1"/>
  <c r="E178" i="6" a="1"/>
  <c r="E178" i="6" s="1"/>
  <c r="N177" i="6" a="1"/>
  <c r="N177" i="6" s="1"/>
  <c r="H177" i="6" a="1"/>
  <c r="H177" i="6" s="1"/>
  <c r="C177" i="6" a="1"/>
  <c r="C177" i="6" s="1"/>
  <c r="L176" i="6" a="1"/>
  <c r="L176" i="6" s="1"/>
  <c r="F176" i="6" a="1"/>
  <c r="F176" i="6" s="1"/>
  <c r="O175" i="6" a="1"/>
  <c r="O175" i="6" s="1"/>
  <c r="J175" i="6" a="1"/>
  <c r="J175" i="6" s="1"/>
  <c r="D175" i="6" a="1"/>
  <c r="D175" i="6" s="1"/>
  <c r="M174" i="6" a="1"/>
  <c r="M174" i="6" s="1"/>
  <c r="H174" i="6" a="1"/>
  <c r="H174" i="6" s="1"/>
  <c r="B174" i="6" a="1"/>
  <c r="B174" i="6" s="1"/>
  <c r="K173" i="6" a="1"/>
  <c r="K173" i="6" s="1"/>
  <c r="F173" i="6" a="1"/>
  <c r="F173" i="6" s="1"/>
  <c r="N172" i="6" a="1"/>
  <c r="N172" i="6" s="1"/>
  <c r="I172" i="6" a="1"/>
  <c r="I172" i="6" s="1"/>
  <c r="D172" i="6" a="1"/>
  <c r="D172" i="6" s="1"/>
  <c r="L171" i="6" a="1"/>
  <c r="L171" i="6" s="1"/>
  <c r="G171" i="6" a="1"/>
  <c r="G171" i="6" s="1"/>
  <c r="B171" i="6" a="1"/>
  <c r="B171" i="6" s="1"/>
  <c r="J170" i="6" a="1"/>
  <c r="J170" i="6" s="1"/>
  <c r="E170" i="6" a="1"/>
  <c r="E170" i="6" s="1"/>
  <c r="N169" i="6" a="1"/>
  <c r="N169" i="6" s="1"/>
  <c r="L217" i="6" a="1"/>
  <c r="L217" i="6" s="1"/>
  <c r="H211" i="6" a="1"/>
  <c r="H211" i="6" s="1"/>
  <c r="N206" i="6" a="1"/>
  <c r="N206" i="6" s="1"/>
  <c r="F202" i="6" a="1"/>
  <c r="F202" i="6" s="1"/>
  <c r="L197" i="6" a="1"/>
  <c r="L197" i="6" s="1"/>
  <c r="D193" i="6" a="1"/>
  <c r="D193" i="6" s="1"/>
  <c r="F190" i="6" a="1"/>
  <c r="F190" i="6" s="1"/>
  <c r="B188" i="6" a="1"/>
  <c r="B188" i="6" s="1"/>
  <c r="K181" i="6" a="1"/>
  <c r="K181" i="6" s="1"/>
  <c r="E181" i="6" a="1"/>
  <c r="E181" i="6" s="1"/>
  <c r="C180" i="6" a="1"/>
  <c r="C180" i="6" s="1"/>
  <c r="O178" i="6" a="1"/>
  <c r="O178" i="6" s="1"/>
  <c r="M177" i="6" a="1"/>
  <c r="M177" i="6" s="1"/>
  <c r="K176" i="6" a="1"/>
  <c r="K176" i="6" s="1"/>
  <c r="I175" i="6" a="1"/>
  <c r="I175" i="6" s="1"/>
  <c r="G174" i="6" a="1"/>
  <c r="G174" i="6" s="1"/>
  <c r="E173" i="6" a="1"/>
  <c r="E173" i="6" s="1"/>
  <c r="C172" i="6" a="1"/>
  <c r="C172" i="6" s="1"/>
  <c r="O170" i="6" a="1"/>
  <c r="O170" i="6" s="1"/>
  <c r="M169" i="6" a="1"/>
  <c r="M169" i="6" s="1"/>
  <c r="K168" i="6" a="1"/>
  <c r="K168" i="6" s="1"/>
  <c r="I167" i="6" a="1"/>
  <c r="I167" i="6" s="1"/>
  <c r="G166" i="6" a="1"/>
  <c r="G166" i="6" s="1"/>
  <c r="E165" i="6" a="1"/>
  <c r="E165" i="6" s="1"/>
  <c r="C164" i="6" a="1"/>
  <c r="C164" i="6" s="1"/>
  <c r="O162" i="6" a="1"/>
  <c r="O162" i="6" s="1"/>
  <c r="M161" i="6" a="1"/>
  <c r="M161" i="6" s="1"/>
  <c r="K160" i="6" a="1"/>
  <c r="K160" i="6" s="1"/>
  <c r="I159" i="6" a="1"/>
  <c r="I159" i="6" s="1"/>
  <c r="G158" i="6" a="1"/>
  <c r="G158" i="6" s="1"/>
  <c r="E157" i="6" a="1"/>
  <c r="E157" i="6" s="1"/>
  <c r="C156" i="6" a="1"/>
  <c r="C156" i="6" s="1"/>
  <c r="I223" i="6" a="1"/>
  <c r="I223" i="6" s="1"/>
  <c r="E175" i="6" a="1"/>
  <c r="E175" i="6" s="1"/>
  <c r="I169" i="6" a="1"/>
  <c r="I169" i="6" s="1"/>
  <c r="J168" i="6" a="1"/>
  <c r="J168" i="6" s="1"/>
  <c r="G167" i="6" a="1"/>
  <c r="G167" i="6" s="1"/>
  <c r="M166" i="6" a="1"/>
  <c r="M166" i="6" s="1"/>
  <c r="D166" i="6" a="1"/>
  <c r="D166" i="6" s="1"/>
  <c r="J165" i="6" a="1"/>
  <c r="J165" i="6" s="1"/>
  <c r="O164" i="6" a="1"/>
  <c r="O164" i="6" s="1"/>
  <c r="F164" i="6" a="1"/>
  <c r="F164" i="6" s="1"/>
  <c r="L163" i="6" a="1"/>
  <c r="L163" i="6" s="1"/>
  <c r="C163" i="6" a="1"/>
  <c r="C163" i="6" s="1"/>
  <c r="I162" i="6" a="1"/>
  <c r="I162" i="6" s="1"/>
  <c r="F161" i="6" a="1"/>
  <c r="F161" i="6" s="1"/>
  <c r="L160" i="6" a="1"/>
  <c r="L160" i="6" s="1"/>
  <c r="B160" i="6" a="1"/>
  <c r="B160" i="6" s="1"/>
  <c r="H159" i="6" a="1"/>
  <c r="H159" i="6" s="1"/>
  <c r="E158" i="6" a="1"/>
  <c r="E158" i="6" s="1"/>
  <c r="K157" i="6" a="1"/>
  <c r="K157" i="6" s="1"/>
  <c r="B157" i="6" a="1"/>
  <c r="B157" i="6" s="1"/>
  <c r="H156" i="6" a="1"/>
  <c r="H156" i="6" s="1"/>
  <c r="M155" i="6" a="1"/>
  <c r="M155" i="6" s="1"/>
  <c r="E155" i="6" a="1"/>
  <c r="E155" i="6" s="1"/>
  <c r="C154" i="6" a="1"/>
  <c r="C154" i="6" s="1"/>
  <c r="O152" i="6" a="1"/>
  <c r="O152" i="6" s="1"/>
  <c r="M151" i="6" a="1"/>
  <c r="M151" i="6" s="1"/>
  <c r="K150" i="6" a="1"/>
  <c r="K150" i="6" s="1"/>
  <c r="J212" i="6" a="1"/>
  <c r="J212" i="6" s="1"/>
  <c r="O180" i="6" a="1"/>
  <c r="O180" i="6" s="1"/>
  <c r="M171" i="6" a="1"/>
  <c r="M171" i="6" s="1"/>
  <c r="H169" i="6" a="1"/>
  <c r="H169" i="6" s="1"/>
  <c r="I168" i="6" a="1"/>
  <c r="I168" i="6" s="1"/>
  <c r="O167" i="6" a="1"/>
  <c r="O167" i="6" s="1"/>
  <c r="F167" i="6" a="1"/>
  <c r="F167" i="6" s="1"/>
  <c r="L166" i="6" a="1"/>
  <c r="L166" i="6" s="1"/>
  <c r="C166" i="6" a="1"/>
  <c r="C166" i="6" s="1"/>
  <c r="H165" i="6" a="1"/>
  <c r="H165" i="6" s="1"/>
  <c r="N164" i="6" a="1"/>
  <c r="N164" i="6" s="1"/>
  <c r="E164" i="6" a="1"/>
  <c r="E164" i="6" s="1"/>
  <c r="K163" i="6" a="1"/>
  <c r="K163" i="6" s="1"/>
  <c r="H162" i="6" a="1"/>
  <c r="H162" i="6" s="1"/>
  <c r="N161" i="6" a="1"/>
  <c r="N161" i="6" s="1"/>
  <c r="D161" i="6" a="1"/>
  <c r="D161" i="6" s="1"/>
  <c r="J160" i="6" a="1"/>
  <c r="J160" i="6" s="1"/>
  <c r="G159" i="6" a="1"/>
  <c r="G159" i="6" s="1"/>
  <c r="M158" i="6" a="1"/>
  <c r="M158" i="6" s="1"/>
  <c r="D158" i="6" a="1"/>
  <c r="D158" i="6" s="1"/>
  <c r="J157" i="6" a="1"/>
  <c r="J157" i="6" s="1"/>
  <c r="O156" i="6" a="1"/>
  <c r="O156" i="6" s="1"/>
  <c r="F156" i="6" a="1"/>
  <c r="F156" i="6" s="1"/>
  <c r="L155" i="6" a="1"/>
  <c r="L155" i="6" s="1"/>
  <c r="D155" i="6" a="1"/>
  <c r="D155" i="6" s="1"/>
  <c r="M154" i="6" a="1"/>
  <c r="M154" i="6" s="1"/>
  <c r="H154" i="6" a="1"/>
  <c r="H154" i="6" s="1"/>
  <c r="B154" i="6" a="1"/>
  <c r="B154" i="6" s="1"/>
  <c r="K153" i="6" a="1"/>
  <c r="K153" i="6" s="1"/>
  <c r="F153" i="6" a="1"/>
  <c r="F153" i="6" s="1"/>
  <c r="N152" i="6" a="1"/>
  <c r="N152" i="6" s="1"/>
  <c r="I152" i="6" a="1"/>
  <c r="I152" i="6" s="1"/>
  <c r="D152" i="6" a="1"/>
  <c r="D152" i="6" s="1"/>
  <c r="L151" i="6" a="1"/>
  <c r="L151" i="6" s="1"/>
  <c r="G151" i="6" a="1"/>
  <c r="G151" i="6" s="1"/>
  <c r="B151" i="6" a="1"/>
  <c r="B151" i="6" s="1"/>
  <c r="J150" i="6" a="1"/>
  <c r="J150" i="6" s="1"/>
  <c r="E150" i="6" a="1"/>
  <c r="E150" i="6" s="1"/>
  <c r="N149" i="6" a="1"/>
  <c r="N149" i="6" s="1"/>
  <c r="I149" i="6" a="1"/>
  <c r="I149" i="6" s="1"/>
  <c r="E149" i="6" a="1"/>
  <c r="E149" i="6" s="1"/>
  <c r="O148" i="6" a="1"/>
  <c r="O148" i="6" s="1"/>
  <c r="K148" i="6" a="1"/>
  <c r="K148" i="6" s="1"/>
  <c r="G148" i="6" a="1"/>
  <c r="G148" i="6" s="1"/>
  <c r="C148" i="6" a="1"/>
  <c r="C148" i="6" s="1"/>
  <c r="M147" i="6" a="1"/>
  <c r="M147" i="6" s="1"/>
  <c r="I147" i="6" a="1"/>
  <c r="I147" i="6" s="1"/>
  <c r="E147" i="6" a="1"/>
  <c r="E147" i="6" s="1"/>
  <c r="O146" i="6" a="1"/>
  <c r="O146" i="6" s="1"/>
  <c r="K146" i="6" a="1"/>
  <c r="K146" i="6" s="1"/>
  <c r="B208" i="6" a="1"/>
  <c r="B208" i="6" s="1"/>
  <c r="I177" i="6" a="1"/>
  <c r="I177" i="6" s="1"/>
  <c r="D169" i="6" a="1"/>
  <c r="D169" i="6" s="1"/>
  <c r="H168" i="6" a="1"/>
  <c r="H168" i="6" s="1"/>
  <c r="N167" i="6" a="1"/>
  <c r="N167" i="6" s="1"/>
  <c r="E167" i="6" a="1"/>
  <c r="E167" i="6" s="1"/>
  <c r="J166" i="6" a="1"/>
  <c r="J166" i="6" s="1"/>
  <c r="B166" i="6" a="1"/>
  <c r="B166" i="6" s="1"/>
  <c r="G165" i="6" a="1"/>
  <c r="G165" i="6" s="1"/>
  <c r="M164" i="6" a="1"/>
  <c r="M164" i="6" s="1"/>
  <c r="J163" i="6" a="1"/>
  <c r="J163" i="6" s="1"/>
  <c r="B163" i="6" a="1"/>
  <c r="B163" i="6" s="1"/>
  <c r="F162" i="6" a="1"/>
  <c r="F162" i="6" s="1"/>
  <c r="L161" i="6" a="1"/>
  <c r="L161" i="6" s="1"/>
  <c r="I160" i="6" a="1"/>
  <c r="I160" i="6" s="1"/>
  <c r="O159" i="6" a="1"/>
  <c r="O159" i="6" s="1"/>
  <c r="F159" i="6" a="1"/>
  <c r="F159" i="6" s="1"/>
  <c r="L158" i="6" a="1"/>
  <c r="L158" i="6" s="1"/>
  <c r="C158" i="6" a="1"/>
  <c r="C158" i="6" s="1"/>
  <c r="H157" i="6" a="1"/>
  <c r="H157" i="6" s="1"/>
  <c r="N156" i="6" a="1"/>
  <c r="N156" i="6" s="1"/>
  <c r="E156" i="6" a="1"/>
  <c r="E156" i="6" s="1"/>
  <c r="K155" i="6" a="1"/>
  <c r="K155" i="6" s="1"/>
  <c r="G154" i="6" a="1"/>
  <c r="G154" i="6" s="1"/>
  <c r="E153" i="6" a="1"/>
  <c r="E153" i="6" s="1"/>
  <c r="C152" i="6" a="1"/>
  <c r="C152" i="6" s="1"/>
  <c r="O150" i="6" a="1"/>
  <c r="O150" i="6" s="1"/>
  <c r="M149" i="6" a="1"/>
  <c r="M149" i="6" s="1"/>
  <c r="H203" i="6" a="1"/>
  <c r="H203" i="6" s="1"/>
  <c r="C174" i="6" a="1"/>
  <c r="C174" i="6" s="1"/>
  <c r="G168" i="6" a="1"/>
  <c r="G168" i="6" s="1"/>
  <c r="L167" i="6" a="1"/>
  <c r="L167" i="6" s="1"/>
  <c r="D167" i="6" a="1"/>
  <c r="D167" i="6" s="1"/>
  <c r="I166" i="6" a="1"/>
  <c r="I166" i="6" s="1"/>
  <c r="O165" i="6" a="1"/>
  <c r="O165" i="6" s="1"/>
  <c r="L164" i="6" a="1"/>
  <c r="L164" i="6" s="1"/>
  <c r="D164" i="6" a="1"/>
  <c r="D164" i="6" s="1"/>
  <c r="H163" i="6" a="1"/>
  <c r="H163" i="6" s="1"/>
  <c r="N162" i="6" a="1"/>
  <c r="N162" i="6" s="1"/>
  <c r="K161" i="6" a="1"/>
  <c r="K161" i="6" s="1"/>
  <c r="C161" i="6" a="1"/>
  <c r="C161" i="6" s="1"/>
  <c r="H160" i="6" a="1"/>
  <c r="H160" i="6" s="1"/>
  <c r="N159" i="6" a="1"/>
  <c r="N159" i="6" s="1"/>
  <c r="E159" i="6" a="1"/>
  <c r="E159" i="6" s="1"/>
  <c r="J158" i="6" a="1"/>
  <c r="J158" i="6" s="1"/>
  <c r="B158" i="6" a="1"/>
  <c r="B158" i="6" s="1"/>
  <c r="G157" i="6" a="1"/>
  <c r="G157" i="6" s="1"/>
  <c r="M156" i="6" a="1"/>
  <c r="M156" i="6" s="1"/>
  <c r="J155" i="6" a="1"/>
  <c r="J155" i="6" s="1"/>
  <c r="C155" i="6" a="1"/>
  <c r="C155" i="6" s="1"/>
  <c r="L154" i="6" a="1"/>
  <c r="L154" i="6" s="1"/>
  <c r="F154" i="6" a="1"/>
  <c r="F154" i="6" s="1"/>
  <c r="O153" i="6" a="1"/>
  <c r="O153" i="6" s="1"/>
  <c r="J153" i="6" a="1"/>
  <c r="J153" i="6" s="1"/>
  <c r="D153" i="6" a="1"/>
  <c r="D153" i="6" s="1"/>
  <c r="M152" i="6" a="1"/>
  <c r="M152" i="6" s="1"/>
  <c r="H152" i="6" a="1"/>
  <c r="H152" i="6" s="1"/>
  <c r="B152" i="6" a="1"/>
  <c r="B152" i="6" s="1"/>
  <c r="K151" i="6" a="1"/>
  <c r="K151" i="6" s="1"/>
  <c r="F151" i="6" a="1"/>
  <c r="F151" i="6" s="1"/>
  <c r="N150" i="6" a="1"/>
  <c r="N150" i="6" s="1"/>
  <c r="I150" i="6" a="1"/>
  <c r="I150" i="6" s="1"/>
  <c r="D150" i="6" a="1"/>
  <c r="D150" i="6" s="1"/>
  <c r="L149" i="6" a="1"/>
  <c r="L149" i="6" s="1"/>
  <c r="H149" i="6" a="1"/>
  <c r="H149" i="6" s="1"/>
  <c r="D149" i="6" a="1"/>
  <c r="D149" i="6" s="1"/>
  <c r="N148" i="6" a="1"/>
  <c r="N148" i="6" s="1"/>
  <c r="J148" i="6" a="1"/>
  <c r="J148" i="6" s="1"/>
  <c r="F148" i="6" a="1"/>
  <c r="F148" i="6" s="1"/>
  <c r="B148" i="6" a="1"/>
  <c r="B148" i="6" s="1"/>
  <c r="L147" i="6" a="1"/>
  <c r="L147" i="6" s="1"/>
  <c r="H147" i="6" a="1"/>
  <c r="H147" i="6" s="1"/>
  <c r="D147" i="6" a="1"/>
  <c r="D147" i="6" s="1"/>
  <c r="N146" i="6" a="1"/>
  <c r="N146" i="6" s="1"/>
  <c r="J146" i="6" a="1"/>
  <c r="J146" i="6" s="1"/>
  <c r="N198" i="6" a="1"/>
  <c r="N198" i="6" s="1"/>
  <c r="M179" i="6" a="1"/>
  <c r="M179" i="6" s="1"/>
  <c r="K170" i="6" a="1"/>
  <c r="K170" i="6" s="1"/>
  <c r="C169" i="6" a="1"/>
  <c r="C169" i="6" s="1"/>
  <c r="F168" i="6" a="1"/>
  <c r="F168" i="6" s="1"/>
  <c r="K167" i="6" a="1"/>
  <c r="K167" i="6" s="1"/>
  <c r="C167" i="6" a="1"/>
  <c r="C167" i="6" s="1"/>
  <c r="N165" i="6" a="1"/>
  <c r="N165" i="6" s="1"/>
  <c r="F165" i="6" a="1"/>
  <c r="F165" i="6" s="1"/>
  <c r="J164" i="6" a="1"/>
  <c r="J164" i="6" s="1"/>
  <c r="B164" i="6" a="1"/>
  <c r="B164" i="6" s="1"/>
  <c r="M162" i="6" a="1"/>
  <c r="M162" i="6" s="1"/>
  <c r="E162" i="6" a="1"/>
  <c r="E162" i="6" s="1"/>
  <c r="J161" i="6" a="1"/>
  <c r="J161" i="6" s="1"/>
  <c r="B161" i="6" a="1"/>
  <c r="B161" i="6" s="1"/>
  <c r="G160" i="6" a="1"/>
  <c r="G160" i="6" s="1"/>
  <c r="L159" i="6" a="1"/>
  <c r="L159" i="6" s="1"/>
  <c r="D159" i="6" a="1"/>
  <c r="D159" i="6" s="1"/>
  <c r="I158" i="6" a="1"/>
  <c r="I158" i="6" s="1"/>
  <c r="O157" i="6" a="1"/>
  <c r="O157" i="6" s="1"/>
  <c r="L156" i="6" a="1"/>
  <c r="L156" i="6" s="1"/>
  <c r="D156" i="6" a="1"/>
  <c r="D156" i="6" s="1"/>
  <c r="H155" i="6" a="1"/>
  <c r="H155" i="6" s="1"/>
  <c r="K154" i="6" a="1"/>
  <c r="K154" i="6" s="1"/>
  <c r="I153" i="6" a="1"/>
  <c r="I153" i="6" s="1"/>
  <c r="G152" i="6" a="1"/>
  <c r="G152" i="6" s="1"/>
  <c r="E151" i="6" a="1"/>
  <c r="E151" i="6" s="1"/>
  <c r="C150" i="6" a="1"/>
  <c r="C150" i="6" s="1"/>
  <c r="F194" i="6" a="1"/>
  <c r="F194" i="6" s="1"/>
  <c r="G176" i="6" a="1"/>
  <c r="G176" i="6" s="1"/>
  <c r="M168" i="6" a="1"/>
  <c r="M168" i="6" s="1"/>
  <c r="E168" i="6" a="1"/>
  <c r="E168" i="6" s="1"/>
  <c r="B167" i="6" a="1"/>
  <c r="B167" i="6" s="1"/>
  <c r="H166" i="6" a="1"/>
  <c r="H166" i="6" s="1"/>
  <c r="L165" i="6" a="1"/>
  <c r="L165" i="6" s="1"/>
  <c r="D165" i="6" a="1"/>
  <c r="D165" i="6" s="1"/>
  <c r="O163" i="6" a="1"/>
  <c r="O163" i="6" s="1"/>
  <c r="N190" i="6" a="1"/>
  <c r="N190" i="6" s="1"/>
  <c r="O172" i="6" a="1"/>
  <c r="O172" i="6" s="1"/>
  <c r="D168" i="6" a="1"/>
  <c r="D168" i="6" s="1"/>
  <c r="J167" i="6" a="1"/>
  <c r="J167" i="6" s="1"/>
  <c r="N166" i="6" a="1"/>
  <c r="N166" i="6" s="1"/>
  <c r="F166" i="6" a="1"/>
  <c r="F166" i="6" s="1"/>
  <c r="C165" i="6" a="1"/>
  <c r="C165" i="6" s="1"/>
  <c r="I164" i="6" a="1"/>
  <c r="I164" i="6" s="1"/>
  <c r="N163" i="6" a="1"/>
  <c r="N163" i="6" s="1"/>
  <c r="F163" i="6" a="1"/>
  <c r="F163" i="6" s="1"/>
  <c r="K162" i="6" a="1"/>
  <c r="K162" i="6" s="1"/>
  <c r="B162" i="6" a="1"/>
  <c r="B162" i="6" s="1"/>
  <c r="H161" i="6" a="1"/>
  <c r="H161" i="6" s="1"/>
  <c r="M160" i="6" a="1"/>
  <c r="M160" i="6" s="1"/>
  <c r="E160" i="6" a="1"/>
  <c r="E160" i="6" s="1"/>
  <c r="B159" i="6" a="1"/>
  <c r="B159" i="6" s="1"/>
  <c r="H158" i="6" a="1"/>
  <c r="H158" i="6" s="1"/>
  <c r="L157" i="6" a="1"/>
  <c r="L157" i="6" s="1"/>
  <c r="D157" i="6" a="1"/>
  <c r="D157" i="6" s="1"/>
  <c r="O155" i="6" a="1"/>
  <c r="O155" i="6" s="1"/>
  <c r="G155" i="6" a="1"/>
  <c r="G155" i="6" s="1"/>
  <c r="O154" i="6" a="1"/>
  <c r="O154" i="6" s="1"/>
  <c r="M153" i="6" a="1"/>
  <c r="M153" i="6" s="1"/>
  <c r="K152" i="6" a="1"/>
  <c r="K152" i="6" s="1"/>
  <c r="I151" i="6" a="1"/>
  <c r="I151" i="6" s="1"/>
  <c r="G150" i="6" a="1"/>
  <c r="G150" i="6" s="1"/>
  <c r="J188" i="6" a="1"/>
  <c r="J188" i="6" s="1"/>
  <c r="M181" i="6" a="1"/>
  <c r="M181" i="6" s="1"/>
  <c r="K178" i="6" a="1"/>
  <c r="K178" i="6" s="1"/>
  <c r="J169" i="6" a="1"/>
  <c r="J169" i="6" s="1"/>
  <c r="L168" i="6" a="1"/>
  <c r="L168" i="6" s="1"/>
  <c r="B168" i="6" a="1"/>
  <c r="B168" i="6" s="1"/>
  <c r="H167" i="6" a="1"/>
  <c r="H167" i="6" s="1"/>
  <c r="E166" i="6" a="1"/>
  <c r="E166" i="6" s="1"/>
  <c r="K165" i="6" a="1"/>
  <c r="K165" i="6" s="1"/>
  <c r="B165" i="6" a="1"/>
  <c r="B165" i="6" s="1"/>
  <c r="H164" i="6" a="1"/>
  <c r="H164" i="6" s="1"/>
  <c r="M163" i="6" a="1"/>
  <c r="M163" i="6" s="1"/>
  <c r="D163" i="6" a="1"/>
  <c r="D163" i="6" s="1"/>
  <c r="J162" i="6" a="1"/>
  <c r="J162" i="6" s="1"/>
  <c r="O161" i="6" a="1"/>
  <c r="O161" i="6" s="1"/>
  <c r="G161" i="6" a="1"/>
  <c r="G161" i="6" s="1"/>
  <c r="D160" i="6" a="1"/>
  <c r="D160" i="6" s="1"/>
  <c r="J159" i="6" a="1"/>
  <c r="J159" i="6" s="1"/>
  <c r="N158" i="6" a="1"/>
  <c r="N158" i="6" s="1"/>
  <c r="F158" i="6" a="1"/>
  <c r="F158" i="6" s="1"/>
  <c r="C157" i="6" a="1"/>
  <c r="C157" i="6" s="1"/>
  <c r="I156" i="6" a="1"/>
  <c r="I156" i="6" s="1"/>
  <c r="N155" i="6" a="1"/>
  <c r="N155" i="6" s="1"/>
  <c r="F155" i="6" a="1"/>
  <c r="F155" i="6" s="1"/>
  <c r="N154" i="6" a="1"/>
  <c r="N154" i="6" s="1"/>
  <c r="I154" i="6" a="1"/>
  <c r="I154" i="6" s="1"/>
  <c r="D154" i="6" a="1"/>
  <c r="D154" i="6" s="1"/>
  <c r="L153" i="6" a="1"/>
  <c r="L153" i="6" s="1"/>
  <c r="G153" i="6" a="1"/>
  <c r="G153" i="6" s="1"/>
  <c r="B153" i="6" a="1"/>
  <c r="B153" i="6" s="1"/>
  <c r="J152" i="6" a="1"/>
  <c r="J152" i="6" s="1"/>
  <c r="G163" i="6" a="1"/>
  <c r="G163" i="6" s="1"/>
  <c r="E154" i="6" a="1"/>
  <c r="E154" i="6" s="1"/>
  <c r="N151" i="6" a="1"/>
  <c r="N151" i="6" s="1"/>
  <c r="F150" i="6" a="1"/>
  <c r="F150" i="6" s="1"/>
  <c r="B149" i="6" a="1"/>
  <c r="B149" i="6" s="1"/>
  <c r="N147" i="6" a="1"/>
  <c r="N147" i="6" s="1"/>
  <c r="L146" i="6" a="1"/>
  <c r="L146" i="6" s="1"/>
  <c r="B146" i="6" a="1"/>
  <c r="B146" i="6" s="1"/>
  <c r="H145" i="6" a="1"/>
  <c r="H145" i="6" s="1"/>
  <c r="N144" i="6" a="1"/>
  <c r="N144" i="6" s="1"/>
  <c r="F144" i="6" a="1"/>
  <c r="F144" i="6" s="1"/>
  <c r="L143" i="6" a="1"/>
  <c r="L143" i="6" s="1"/>
  <c r="D143" i="6" a="1"/>
  <c r="D143" i="6" s="1"/>
  <c r="J142" i="6" a="1"/>
  <c r="J142" i="6" s="1"/>
  <c r="B142" i="6" a="1"/>
  <c r="B142" i="6" s="1"/>
  <c r="H141" i="6" a="1"/>
  <c r="H141" i="6" s="1"/>
  <c r="N140" i="6" a="1"/>
  <c r="N140" i="6" s="1"/>
  <c r="F140" i="6" a="1"/>
  <c r="F140" i="6" s="1"/>
  <c r="L139" i="6" a="1"/>
  <c r="L139" i="6" s="1"/>
  <c r="D139" i="6" a="1"/>
  <c r="D139" i="6" s="1"/>
  <c r="J138" i="6" a="1"/>
  <c r="J138" i="6" s="1"/>
  <c r="B138" i="6" a="1"/>
  <c r="B138" i="6" s="1"/>
  <c r="H137" i="6" a="1"/>
  <c r="H137" i="6" s="1"/>
  <c r="N136" i="6" a="1"/>
  <c r="N136" i="6" s="1"/>
  <c r="F136" i="6" a="1"/>
  <c r="F136" i="6" s="1"/>
  <c r="L135" i="6" a="1"/>
  <c r="L135" i="6" s="1"/>
  <c r="D135" i="6" a="1"/>
  <c r="D135" i="6" s="1"/>
  <c r="J134" i="6" a="1"/>
  <c r="J134" i="6" s="1"/>
  <c r="B134" i="6" a="1"/>
  <c r="B134" i="6" s="1"/>
  <c r="H133" i="6" a="1"/>
  <c r="H133" i="6" s="1"/>
  <c r="N132" i="6" a="1"/>
  <c r="N132" i="6" s="1"/>
  <c r="F132" i="6" a="1"/>
  <c r="F132" i="6" s="1"/>
  <c r="L131" i="6" a="1"/>
  <c r="L131" i="6" s="1"/>
  <c r="D131" i="6" a="1"/>
  <c r="D131" i="6" s="1"/>
  <c r="L162" i="6" a="1"/>
  <c r="L162" i="6" s="1"/>
  <c r="N157" i="6" a="1"/>
  <c r="N157" i="6" s="1"/>
  <c r="N153" i="6" a="1"/>
  <c r="N153" i="6" s="1"/>
  <c r="J151" i="6" a="1"/>
  <c r="J151" i="6" s="1"/>
  <c r="B150" i="6" a="1"/>
  <c r="B150" i="6" s="1"/>
  <c r="M148" i="6" a="1"/>
  <c r="M148" i="6" s="1"/>
  <c r="K147" i="6" a="1"/>
  <c r="K147" i="6" s="1"/>
  <c r="I146" i="6" a="1"/>
  <c r="I146" i="6" s="1"/>
  <c r="O145" i="6" a="1"/>
  <c r="O145" i="6" s="1"/>
  <c r="G145" i="6" a="1"/>
  <c r="G145" i="6" s="1"/>
  <c r="M144" i="6" a="1"/>
  <c r="M144" i="6" s="1"/>
  <c r="E144" i="6" a="1"/>
  <c r="E144" i="6" s="1"/>
  <c r="K143" i="6" a="1"/>
  <c r="K143" i="6" s="1"/>
  <c r="C143" i="6" a="1"/>
  <c r="C143" i="6" s="1"/>
  <c r="I142" i="6" a="1"/>
  <c r="I142" i="6" s="1"/>
  <c r="O141" i="6" a="1"/>
  <c r="O141" i="6" s="1"/>
  <c r="G141" i="6" a="1"/>
  <c r="G141" i="6" s="1"/>
  <c r="M140" i="6" a="1"/>
  <c r="M140" i="6" s="1"/>
  <c r="E140" i="6" a="1"/>
  <c r="E140" i="6" s="1"/>
  <c r="K139" i="6" a="1"/>
  <c r="K139" i="6" s="1"/>
  <c r="C139" i="6" a="1"/>
  <c r="C139" i="6" s="1"/>
  <c r="I138" i="6" a="1"/>
  <c r="I138" i="6" s="1"/>
  <c r="O137" i="6" a="1"/>
  <c r="O137" i="6" s="1"/>
  <c r="G137" i="6" a="1"/>
  <c r="G137" i="6" s="1"/>
  <c r="M136" i="6" a="1"/>
  <c r="M136" i="6" s="1"/>
  <c r="E136" i="6" a="1"/>
  <c r="E136" i="6" s="1"/>
  <c r="K135" i="6" a="1"/>
  <c r="K135" i="6" s="1"/>
  <c r="C135" i="6" a="1"/>
  <c r="C135" i="6" s="1"/>
  <c r="I134" i="6" a="1"/>
  <c r="I134" i="6" s="1"/>
  <c r="O133" i="6" a="1"/>
  <c r="O133" i="6" s="1"/>
  <c r="G133" i="6" a="1"/>
  <c r="G133" i="6" s="1"/>
  <c r="M132" i="6" a="1"/>
  <c r="M132" i="6" s="1"/>
  <c r="E132" i="6" a="1"/>
  <c r="E132" i="6" s="1"/>
  <c r="K131" i="6" a="1"/>
  <c r="K131" i="6" s="1"/>
  <c r="C131" i="6" a="1"/>
  <c r="C131" i="6" s="1"/>
  <c r="D162" i="6" a="1"/>
  <c r="D162" i="6" s="1"/>
  <c r="F157" i="6" a="1"/>
  <c r="F157" i="6" s="1"/>
  <c r="H153" i="6" a="1"/>
  <c r="H153" i="6" s="1"/>
  <c r="H151" i="6" a="1"/>
  <c r="H151" i="6" s="1"/>
  <c r="O149" i="6" a="1"/>
  <c r="O149" i="6" s="1"/>
  <c r="L148" i="6" a="1"/>
  <c r="L148" i="6" s="1"/>
  <c r="J147" i="6" a="1"/>
  <c r="J147" i="6" s="1"/>
  <c r="H146" i="6" a="1"/>
  <c r="H146" i="6" s="1"/>
  <c r="N145" i="6" a="1"/>
  <c r="N145" i="6" s="1"/>
  <c r="F145" i="6" a="1"/>
  <c r="F145" i="6" s="1"/>
  <c r="L144" i="6" a="1"/>
  <c r="L144" i="6" s="1"/>
  <c r="D144" i="6" a="1"/>
  <c r="D144" i="6" s="1"/>
  <c r="J143" i="6" a="1"/>
  <c r="J143" i="6" s="1"/>
  <c r="B143" i="6" a="1"/>
  <c r="B143" i="6" s="1"/>
  <c r="H142" i="6" a="1"/>
  <c r="H142" i="6" s="1"/>
  <c r="N141" i="6" a="1"/>
  <c r="N141" i="6" s="1"/>
  <c r="F141" i="6" a="1"/>
  <c r="F141" i="6" s="1"/>
  <c r="L140" i="6" a="1"/>
  <c r="L140" i="6" s="1"/>
  <c r="D140" i="6" a="1"/>
  <c r="D140" i="6" s="1"/>
  <c r="J139" i="6" a="1"/>
  <c r="J139" i="6" s="1"/>
  <c r="B139" i="6" a="1"/>
  <c r="B139" i="6" s="1"/>
  <c r="H138" i="6" a="1"/>
  <c r="H138" i="6" s="1"/>
  <c r="N137" i="6" a="1"/>
  <c r="N137" i="6" s="1"/>
  <c r="F137" i="6" a="1"/>
  <c r="F137" i="6" s="1"/>
  <c r="L136" i="6" a="1"/>
  <c r="L136" i="6" s="1"/>
  <c r="D136" i="6" a="1"/>
  <c r="D136" i="6" s="1"/>
  <c r="J135" i="6" a="1"/>
  <c r="J135" i="6" s="1"/>
  <c r="B135" i="6" a="1"/>
  <c r="B135" i="6" s="1"/>
  <c r="H134" i="6" a="1"/>
  <c r="H134" i="6" s="1"/>
  <c r="N133" i="6" a="1"/>
  <c r="N133" i="6" s="1"/>
  <c r="F133" i="6" a="1"/>
  <c r="F133" i="6" s="1"/>
  <c r="L132" i="6" a="1"/>
  <c r="L132" i="6" s="1"/>
  <c r="D132" i="6" a="1"/>
  <c r="D132" i="6" s="1"/>
  <c r="J131" i="6" a="1"/>
  <c r="J131" i="6" s="1"/>
  <c r="B131" i="6" a="1"/>
  <c r="B131" i="6" s="1"/>
  <c r="I161" i="6" a="1"/>
  <c r="I161" i="6" s="1"/>
  <c r="J156" i="6" a="1"/>
  <c r="J156" i="6" s="1"/>
  <c r="C153" i="6" a="1"/>
  <c r="C153" i="6" s="1"/>
  <c r="D151" i="6" a="1"/>
  <c r="D151" i="6" s="1"/>
  <c r="K149" i="6" a="1"/>
  <c r="K149" i="6" s="1"/>
  <c r="I148" i="6" a="1"/>
  <c r="I148" i="6" s="1"/>
  <c r="G147" i="6" a="1"/>
  <c r="G147" i="6" s="1"/>
  <c r="G146" i="6" a="1"/>
  <c r="G146" i="6" s="1"/>
  <c r="M145" i="6" a="1"/>
  <c r="M145" i="6" s="1"/>
  <c r="E145" i="6" a="1"/>
  <c r="E145" i="6" s="1"/>
  <c r="K144" i="6" a="1"/>
  <c r="K144" i="6" s="1"/>
  <c r="C144" i="6" a="1"/>
  <c r="C144" i="6" s="1"/>
  <c r="I143" i="6" a="1"/>
  <c r="I143" i="6" s="1"/>
  <c r="O142" i="6" a="1"/>
  <c r="O142" i="6" s="1"/>
  <c r="G142" i="6" a="1"/>
  <c r="G142" i="6" s="1"/>
  <c r="M141" i="6" a="1"/>
  <c r="M141" i="6" s="1"/>
  <c r="E141" i="6" a="1"/>
  <c r="E141" i="6" s="1"/>
  <c r="K140" i="6" a="1"/>
  <c r="K140" i="6" s="1"/>
  <c r="C140" i="6" a="1"/>
  <c r="C140" i="6" s="1"/>
  <c r="I139" i="6" a="1"/>
  <c r="I139" i="6" s="1"/>
  <c r="O138" i="6" a="1"/>
  <c r="O138" i="6" s="1"/>
  <c r="G138" i="6" a="1"/>
  <c r="G138" i="6" s="1"/>
  <c r="M137" i="6" a="1"/>
  <c r="M137" i="6" s="1"/>
  <c r="E137" i="6" a="1"/>
  <c r="E137" i="6" s="1"/>
  <c r="K136" i="6" a="1"/>
  <c r="K136" i="6" s="1"/>
  <c r="C136" i="6" a="1"/>
  <c r="C136" i="6" s="1"/>
  <c r="I135" i="6" a="1"/>
  <c r="I135" i="6" s="1"/>
  <c r="O134" i="6" a="1"/>
  <c r="O134" i="6" s="1"/>
  <c r="G134" i="6" a="1"/>
  <c r="G134" i="6" s="1"/>
  <c r="M133" i="6" a="1"/>
  <c r="M133" i="6" s="1"/>
  <c r="E133" i="6" a="1"/>
  <c r="E133" i="6" s="1"/>
  <c r="K132" i="6" a="1"/>
  <c r="K132" i="6" s="1"/>
  <c r="C132" i="6" a="1"/>
  <c r="C132" i="6" s="1"/>
  <c r="I131" i="6" a="1"/>
  <c r="I131" i="6" s="1"/>
  <c r="N160" i="6" a="1"/>
  <c r="N160" i="6" s="1"/>
  <c r="B156" i="6" a="1"/>
  <c r="B156" i="6" s="1"/>
  <c r="L152" i="6" a="1"/>
  <c r="L152" i="6" s="1"/>
  <c r="C151" i="6" a="1"/>
  <c r="C151" i="6" s="1"/>
  <c r="J149" i="6" a="1"/>
  <c r="J149" i="6" s="1"/>
  <c r="H148" i="6" a="1"/>
  <c r="H148" i="6" s="1"/>
  <c r="F147" i="6" a="1"/>
  <c r="F147" i="6" s="1"/>
  <c r="F146" i="6" a="1"/>
  <c r="F146" i="6" s="1"/>
  <c r="L145" i="6" a="1"/>
  <c r="L145" i="6" s="1"/>
  <c r="D145" i="6" a="1"/>
  <c r="D145" i="6" s="1"/>
  <c r="J144" i="6" a="1"/>
  <c r="J144" i="6" s="1"/>
  <c r="B144" i="6" a="1"/>
  <c r="B144" i="6" s="1"/>
  <c r="H143" i="6" a="1"/>
  <c r="H143" i="6" s="1"/>
  <c r="N142" i="6" a="1"/>
  <c r="N142" i="6" s="1"/>
  <c r="F142" i="6" a="1"/>
  <c r="F142" i="6" s="1"/>
  <c r="L141" i="6" a="1"/>
  <c r="L141" i="6" s="1"/>
  <c r="D141" i="6" a="1"/>
  <c r="D141" i="6" s="1"/>
  <c r="J140" i="6" a="1"/>
  <c r="J140" i="6" s="1"/>
  <c r="B140" i="6" a="1"/>
  <c r="B140" i="6" s="1"/>
  <c r="H139" i="6" a="1"/>
  <c r="H139" i="6" s="1"/>
  <c r="N138" i="6" a="1"/>
  <c r="N138" i="6" s="1"/>
  <c r="F138" i="6" a="1"/>
  <c r="F138" i="6" s="1"/>
  <c r="L137" i="6" a="1"/>
  <c r="L137" i="6" s="1"/>
  <c r="D137" i="6" a="1"/>
  <c r="D137" i="6" s="1"/>
  <c r="J136" i="6" a="1"/>
  <c r="J136" i="6" s="1"/>
  <c r="B136" i="6" a="1"/>
  <c r="B136" i="6" s="1"/>
  <c r="H135" i="6" a="1"/>
  <c r="H135" i="6" s="1"/>
  <c r="N134" i="6" a="1"/>
  <c r="N134" i="6" s="1"/>
  <c r="F134" i="6" a="1"/>
  <c r="F134" i="6" s="1"/>
  <c r="L133" i="6" a="1"/>
  <c r="L133" i="6" s="1"/>
  <c r="D133" i="6" a="1"/>
  <c r="D133" i="6" s="1"/>
  <c r="J132" i="6" a="1"/>
  <c r="J132" i="6" s="1"/>
  <c r="B132" i="6" a="1"/>
  <c r="B132" i="6" s="1"/>
  <c r="H131" i="6" a="1"/>
  <c r="H131" i="6" s="1"/>
  <c r="F160" i="6" a="1"/>
  <c r="F160" i="6" s="1"/>
  <c r="F152" i="6" a="1"/>
  <c r="F152" i="6" s="1"/>
  <c r="M150" i="6" a="1"/>
  <c r="M150" i="6" s="1"/>
  <c r="G149" i="6" a="1"/>
  <c r="G149" i="6" s="1"/>
  <c r="E148" i="6" a="1"/>
  <c r="E148" i="6" s="1"/>
  <c r="C147" i="6" a="1"/>
  <c r="C147" i="6" s="1"/>
  <c r="E146" i="6" a="1"/>
  <c r="E146" i="6" s="1"/>
  <c r="K145" i="6" a="1"/>
  <c r="K145" i="6" s="1"/>
  <c r="C145" i="6" a="1"/>
  <c r="C145" i="6" s="1"/>
  <c r="I144" i="6" a="1"/>
  <c r="I144" i="6" s="1"/>
  <c r="O143" i="6" a="1"/>
  <c r="O143" i="6" s="1"/>
  <c r="G143" i="6" a="1"/>
  <c r="G143" i="6" s="1"/>
  <c r="M142" i="6" a="1"/>
  <c r="M142" i="6" s="1"/>
  <c r="E142" i="6" a="1"/>
  <c r="E142" i="6" s="1"/>
  <c r="K141" i="6" a="1"/>
  <c r="K141" i="6" s="1"/>
  <c r="C141" i="6" a="1"/>
  <c r="C141" i="6" s="1"/>
  <c r="I140" i="6" a="1"/>
  <c r="I140" i="6" s="1"/>
  <c r="O139" i="6" a="1"/>
  <c r="O139" i="6" s="1"/>
  <c r="G139" i="6" a="1"/>
  <c r="G139" i="6" s="1"/>
  <c r="M138" i="6" a="1"/>
  <c r="M138" i="6" s="1"/>
  <c r="E138" i="6" a="1"/>
  <c r="E138" i="6" s="1"/>
  <c r="K137" i="6" a="1"/>
  <c r="K137" i="6" s="1"/>
  <c r="C137" i="6" a="1"/>
  <c r="C137" i="6" s="1"/>
  <c r="I136" i="6" a="1"/>
  <c r="I136" i="6" s="1"/>
  <c r="O135" i="6" a="1"/>
  <c r="O135" i="6" s="1"/>
  <c r="G135" i="6" a="1"/>
  <c r="G135" i="6" s="1"/>
  <c r="M134" i="6" a="1"/>
  <c r="M134" i="6" s="1"/>
  <c r="E134" i="6" a="1"/>
  <c r="E134" i="6" s="1"/>
  <c r="K133" i="6" a="1"/>
  <c r="K133" i="6" s="1"/>
  <c r="C133" i="6" a="1"/>
  <c r="C133" i="6" s="1"/>
  <c r="I132" i="6" a="1"/>
  <c r="I132" i="6" s="1"/>
  <c r="O131" i="6" a="1"/>
  <c r="O131" i="6" s="1"/>
  <c r="G131" i="6" a="1"/>
  <c r="G131" i="6" s="1"/>
  <c r="K159" i="6" a="1"/>
  <c r="K159" i="6" s="1"/>
  <c r="B155" i="6" a="1"/>
  <c r="B155" i="6" s="1"/>
  <c r="E152" i="6" a="1"/>
  <c r="E152" i="6" s="1"/>
  <c r="L150" i="6" a="1"/>
  <c r="L150" i="6" s="1"/>
  <c r="F149" i="6" a="1"/>
  <c r="F149" i="6" s="1"/>
  <c r="D148" i="6" a="1"/>
  <c r="D148" i="6" s="1"/>
  <c r="B147" i="6" a="1"/>
  <c r="B147" i="6" s="1"/>
  <c r="D146" i="6" a="1"/>
  <c r="D146" i="6" s="1"/>
  <c r="J145" i="6" a="1"/>
  <c r="J145" i="6" s="1"/>
  <c r="B145" i="6" a="1"/>
  <c r="B145" i="6" s="1"/>
  <c r="H144" i="6" a="1"/>
  <c r="H144" i="6" s="1"/>
  <c r="N143" i="6" a="1"/>
  <c r="N143" i="6" s="1"/>
  <c r="F143" i="6" a="1"/>
  <c r="F143" i="6" s="1"/>
  <c r="L142" i="6" a="1"/>
  <c r="L142" i="6" s="1"/>
  <c r="D142" i="6" a="1"/>
  <c r="D142" i="6" s="1"/>
  <c r="J141" i="6" a="1"/>
  <c r="J141" i="6" s="1"/>
  <c r="B141" i="6" a="1"/>
  <c r="B141" i="6" s="1"/>
  <c r="H140" i="6" a="1"/>
  <c r="H140" i="6" s="1"/>
  <c r="N139" i="6" a="1"/>
  <c r="N139" i="6" s="1"/>
  <c r="F139" i="6" a="1"/>
  <c r="F139" i="6" s="1"/>
  <c r="L138" i="6" a="1"/>
  <c r="L138" i="6" s="1"/>
  <c r="D138" i="6" a="1"/>
  <c r="D138" i="6" s="1"/>
  <c r="J137" i="6" a="1"/>
  <c r="J137" i="6" s="1"/>
  <c r="B137" i="6" a="1"/>
  <c r="B137" i="6" s="1"/>
  <c r="H136" i="6" a="1"/>
  <c r="H136" i="6" s="1"/>
  <c r="N135" i="6" a="1"/>
  <c r="N135" i="6" s="1"/>
  <c r="F135" i="6" a="1"/>
  <c r="F135" i="6" s="1"/>
  <c r="L134" i="6" a="1"/>
  <c r="L134" i="6" s="1"/>
  <c r="D134" i="6" a="1"/>
  <c r="D134" i="6" s="1"/>
  <c r="J133" i="6" a="1"/>
  <c r="J133" i="6" s="1"/>
  <c r="B133" i="6" a="1"/>
  <c r="B133" i="6" s="1"/>
  <c r="H132" i="6" a="1"/>
  <c r="H132" i="6" s="1"/>
  <c r="N131" i="6" a="1"/>
  <c r="N131" i="6" s="1"/>
  <c r="F131" i="6" a="1"/>
  <c r="F131" i="6" s="1"/>
  <c r="C159" i="6" a="1"/>
  <c r="C159" i="6" s="1"/>
  <c r="I145" i="6" a="1"/>
  <c r="I145" i="6" s="1"/>
  <c r="O140" i="6" a="1"/>
  <c r="O140" i="6" s="1"/>
  <c r="G136" i="6" a="1"/>
  <c r="G136" i="6" s="1"/>
  <c r="M131" i="6" a="1"/>
  <c r="M131" i="6" s="1"/>
  <c r="J154" i="6" a="1"/>
  <c r="J154" i="6" s="1"/>
  <c r="O144" i="6" a="1"/>
  <c r="O144" i="6" s="1"/>
  <c r="G140" i="6" a="1"/>
  <c r="G140" i="6" s="1"/>
  <c r="M135" i="6" a="1"/>
  <c r="M135" i="6" s="1"/>
  <c r="E131" i="6" a="1"/>
  <c r="E131" i="6" s="1"/>
  <c r="O151" i="6" a="1"/>
  <c r="O151" i="6" s="1"/>
  <c r="G144" i="6" a="1"/>
  <c r="G144" i="6" s="1"/>
  <c r="M139" i="6" a="1"/>
  <c r="M139" i="6" s="1"/>
  <c r="E135" i="6" a="1"/>
  <c r="E135" i="6" s="1"/>
  <c r="H150" i="6" a="1"/>
  <c r="H150" i="6" s="1"/>
  <c r="M143" i="6" a="1"/>
  <c r="M143" i="6" s="1"/>
  <c r="E139" i="6" a="1"/>
  <c r="E139" i="6" s="1"/>
  <c r="K134" i="6" a="1"/>
  <c r="K134" i="6" s="1"/>
  <c r="C149" i="6" a="1"/>
  <c r="C149" i="6" s="1"/>
  <c r="E143" i="6" a="1"/>
  <c r="E143" i="6" s="1"/>
  <c r="K138" i="6" a="1"/>
  <c r="K138" i="6" s="1"/>
  <c r="C134" i="6" a="1"/>
  <c r="C134" i="6" s="1"/>
  <c r="M146" i="6" a="1"/>
  <c r="M146" i="6" s="1"/>
  <c r="C142" i="6" a="1"/>
  <c r="C142" i="6" s="1"/>
  <c r="I137" i="6" a="1"/>
  <c r="I137" i="6" s="1"/>
  <c r="O132" i="6" a="1"/>
  <c r="O132" i="6" s="1"/>
  <c r="C146" i="6" a="1"/>
  <c r="C146" i="6" s="1"/>
  <c r="I141" i="6" a="1"/>
  <c r="I141" i="6" s="1"/>
  <c r="O136" i="6" a="1"/>
  <c r="O136" i="6" s="1"/>
  <c r="G132" i="6" a="1"/>
  <c r="G132" i="6" s="1"/>
  <c r="B5" i="6" a="1"/>
  <c r="B5" i="6" s="1"/>
  <c r="J5" i="6" a="1"/>
  <c r="J5" i="6" s="1"/>
  <c r="D6" i="6" a="1"/>
  <c r="D6" i="6" s="1"/>
  <c r="L6" i="6" a="1"/>
  <c r="L6" i="6" s="1"/>
  <c r="F7" i="6" a="1"/>
  <c r="F7" i="6" s="1"/>
  <c r="N7" i="6" a="1"/>
  <c r="N7" i="6" s="1"/>
  <c r="H8" i="6" a="1"/>
  <c r="H8" i="6" s="1"/>
  <c r="B9" i="6" a="1"/>
  <c r="B9" i="6" s="1"/>
  <c r="J9" i="6" a="1"/>
  <c r="J9" i="6" s="1"/>
  <c r="D10" i="6" a="1"/>
  <c r="D10" i="6" s="1"/>
  <c r="L10" i="6" a="1"/>
  <c r="L10" i="6" s="1"/>
  <c r="F11" i="6" a="1"/>
  <c r="F11" i="6" s="1"/>
  <c r="N11" i="6" a="1"/>
  <c r="N11" i="6" s="1"/>
  <c r="H12" i="6" a="1"/>
  <c r="H12" i="6" s="1"/>
  <c r="B13" i="6" a="1"/>
  <c r="B13" i="6" s="1"/>
  <c r="J13" i="6" a="1"/>
  <c r="J13" i="6" s="1"/>
  <c r="D14" i="6" a="1"/>
  <c r="D14" i="6" s="1"/>
  <c r="L14" i="6" a="1"/>
  <c r="L14" i="6" s="1"/>
  <c r="F15" i="6" a="1"/>
  <c r="F15" i="6" s="1"/>
  <c r="N15" i="6" a="1"/>
  <c r="N15" i="6" s="1"/>
  <c r="H16" i="6" a="1"/>
  <c r="H16" i="6" s="1"/>
  <c r="B17" i="6" a="1"/>
  <c r="B17" i="6" s="1"/>
  <c r="J17" i="6" a="1"/>
  <c r="J17" i="6" s="1"/>
  <c r="D18" i="6" a="1"/>
  <c r="D18" i="6" s="1"/>
  <c r="L18" i="6" a="1"/>
  <c r="L18" i="6" s="1"/>
  <c r="F19" i="6" a="1"/>
  <c r="F19" i="6" s="1"/>
  <c r="N19" i="6" a="1"/>
  <c r="N19" i="6" s="1"/>
  <c r="H20" i="6" a="1"/>
  <c r="H20" i="6" s="1"/>
  <c r="B21" i="6" a="1"/>
  <c r="B21" i="6" s="1"/>
  <c r="J21" i="6" a="1"/>
  <c r="J21" i="6" s="1"/>
  <c r="D22" i="6" a="1"/>
  <c r="D22" i="6" s="1"/>
  <c r="L22" i="6" a="1"/>
  <c r="L22" i="6" s="1"/>
  <c r="F23" i="6" a="1"/>
  <c r="F23" i="6" s="1"/>
  <c r="N23" i="6" a="1"/>
  <c r="N23" i="6" s="1"/>
  <c r="H24" i="6" a="1"/>
  <c r="H24" i="6" s="1"/>
  <c r="B25" i="6" a="1"/>
  <c r="B25" i="6" s="1"/>
  <c r="J25" i="6" a="1"/>
  <c r="J25" i="6" s="1"/>
  <c r="D26" i="6" a="1"/>
  <c r="D26" i="6" s="1"/>
  <c r="L26" i="6" a="1"/>
  <c r="L26" i="6" s="1"/>
  <c r="F27" i="6" a="1"/>
  <c r="F27" i="6" s="1"/>
  <c r="N27" i="6" a="1"/>
  <c r="N27" i="6" s="1"/>
  <c r="H28" i="6" a="1"/>
  <c r="H28" i="6" s="1"/>
  <c r="B29" i="6" a="1"/>
  <c r="B29" i="6" s="1"/>
  <c r="J29" i="6" a="1"/>
  <c r="J29" i="6" s="1"/>
  <c r="D30" i="6" a="1"/>
  <c r="D30" i="6" s="1"/>
  <c r="L30" i="6" a="1"/>
  <c r="L30" i="6" s="1"/>
  <c r="F31" i="6" a="1"/>
  <c r="F31" i="6" s="1"/>
  <c r="N31" i="6" a="1"/>
  <c r="N31" i="6" s="1"/>
  <c r="H32" i="6" a="1"/>
  <c r="H32" i="6" s="1"/>
  <c r="B33" i="6" a="1"/>
  <c r="B33" i="6" s="1"/>
  <c r="J33" i="6" a="1"/>
  <c r="J33" i="6" s="1"/>
  <c r="D34" i="6" a="1"/>
  <c r="D34" i="6" s="1"/>
  <c r="L34" i="6" a="1"/>
  <c r="L34" i="6" s="1"/>
  <c r="F35" i="6" a="1"/>
  <c r="F35" i="6" s="1"/>
  <c r="N35" i="6" a="1"/>
  <c r="N35" i="6" s="1"/>
  <c r="H36" i="6" a="1"/>
  <c r="H36" i="6" s="1"/>
  <c r="B37" i="6" a="1"/>
  <c r="B37" i="6" s="1"/>
  <c r="J37" i="6" a="1"/>
  <c r="J37" i="6" s="1"/>
  <c r="D38" i="6" a="1"/>
  <c r="D38" i="6" s="1"/>
  <c r="L38" i="6" a="1"/>
  <c r="L38" i="6" s="1"/>
  <c r="F39" i="6" a="1"/>
  <c r="F39" i="6" s="1"/>
  <c r="N39" i="6" a="1"/>
  <c r="N39" i="6" s="1"/>
  <c r="H40" i="6" a="1"/>
  <c r="H40" i="6" s="1"/>
  <c r="B41" i="6" a="1"/>
  <c r="B41" i="6" s="1"/>
  <c r="J41" i="6" a="1"/>
  <c r="J41" i="6" s="1"/>
  <c r="D42" i="6" a="1"/>
  <c r="D42" i="6" s="1"/>
  <c r="L42" i="6" a="1"/>
  <c r="L42" i="6" s="1"/>
  <c r="F43" i="6" a="1"/>
  <c r="F43" i="6" s="1"/>
  <c r="N43" i="6" a="1"/>
  <c r="N43" i="6" s="1"/>
  <c r="H44" i="6" a="1"/>
  <c r="H44" i="6" s="1"/>
  <c r="B45" i="6" a="1"/>
  <c r="B45" i="6" s="1"/>
  <c r="J45" i="6" a="1"/>
  <c r="J45" i="6" s="1"/>
  <c r="D46" i="6" a="1"/>
  <c r="D46" i="6" s="1"/>
  <c r="L46" i="6" a="1"/>
  <c r="L46" i="6" s="1"/>
  <c r="F47" i="6" a="1"/>
  <c r="F47" i="6" s="1"/>
  <c r="N47" i="6" a="1"/>
  <c r="N47" i="6" s="1"/>
  <c r="H48" i="6" a="1"/>
  <c r="H48" i="6" s="1"/>
  <c r="B49" i="6" a="1"/>
  <c r="B49" i="6" s="1"/>
  <c r="J49" i="6" a="1"/>
  <c r="J49" i="6" s="1"/>
  <c r="D50" i="6" a="1"/>
  <c r="D50" i="6" s="1"/>
  <c r="L50" i="6" a="1"/>
  <c r="L50" i="6" s="1"/>
  <c r="F51" i="6" a="1"/>
  <c r="F51" i="6" s="1"/>
  <c r="N51" i="6" a="1"/>
  <c r="N51" i="6" s="1"/>
  <c r="H52" i="6" a="1"/>
  <c r="H52" i="6" s="1"/>
  <c r="B53" i="6" a="1"/>
  <c r="B53" i="6" s="1"/>
  <c r="J53" i="6" a="1"/>
  <c r="J53" i="6" s="1"/>
  <c r="D54" i="6" a="1"/>
  <c r="D54" i="6" s="1"/>
  <c r="L54" i="6" a="1"/>
  <c r="L54" i="6" s="1"/>
  <c r="F55" i="6" a="1"/>
  <c r="F55" i="6" s="1"/>
  <c r="N55" i="6" a="1"/>
  <c r="N55" i="6" s="1"/>
  <c r="H56" i="6" a="1"/>
  <c r="H56" i="6" s="1"/>
  <c r="B57" i="6" a="1"/>
  <c r="B57" i="6" s="1"/>
  <c r="J57" i="6" a="1"/>
  <c r="J57" i="6" s="1"/>
  <c r="D58" i="6" a="1"/>
  <c r="D58" i="6" s="1"/>
  <c r="L58" i="6" a="1"/>
  <c r="L58" i="6" s="1"/>
  <c r="F59" i="6" a="1"/>
  <c r="F59" i="6" s="1"/>
  <c r="N59" i="6" a="1"/>
  <c r="N59" i="6" s="1"/>
  <c r="H60" i="6" a="1"/>
  <c r="H60" i="6" s="1"/>
  <c r="B61" i="6" a="1"/>
  <c r="B61" i="6" s="1"/>
  <c r="J61" i="6" a="1"/>
  <c r="J61" i="6" s="1"/>
  <c r="D62" i="6" a="1"/>
  <c r="D62" i="6" s="1"/>
  <c r="L62" i="6" a="1"/>
  <c r="L62" i="6" s="1"/>
  <c r="F63" i="6" a="1"/>
  <c r="F63" i="6" s="1"/>
  <c r="N63" i="6" a="1"/>
  <c r="N63" i="6" s="1"/>
  <c r="H64" i="6" a="1"/>
  <c r="H64" i="6" s="1"/>
  <c r="B65" i="6" a="1"/>
  <c r="B65" i="6" s="1"/>
  <c r="J65" i="6" a="1"/>
  <c r="J65" i="6" s="1"/>
  <c r="D66" i="6" a="1"/>
  <c r="D66" i="6" s="1"/>
  <c r="L66" i="6" a="1"/>
  <c r="L66" i="6" s="1"/>
  <c r="F68" i="6" a="1"/>
  <c r="F68" i="6" s="1"/>
  <c r="J70" i="6" a="1"/>
  <c r="J70" i="6" s="1"/>
  <c r="N72" i="6" a="1"/>
  <c r="N72" i="6" s="1"/>
  <c r="D75" i="6" a="1"/>
  <c r="D75" i="6" s="1"/>
  <c r="H77" i="6" a="1"/>
  <c r="H77" i="6" s="1"/>
  <c r="L79" i="6" a="1"/>
  <c r="L79" i="6" s="1"/>
  <c r="B82" i="6" a="1"/>
  <c r="B82" i="6" s="1"/>
  <c r="N84" i="6" a="1"/>
  <c r="N84" i="6" s="1"/>
  <c r="I88" i="6" a="1"/>
  <c r="I88" i="6" s="1"/>
  <c r="D92" i="6" a="1"/>
  <c r="D92" i="6" s="1"/>
  <c r="M95" i="6" a="1"/>
  <c r="M95" i="6" s="1"/>
  <c r="D103" i="6" a="1"/>
  <c r="D103" i="6" s="1"/>
  <c r="M106" i="6" a="1"/>
  <c r="M106" i="6" s="1"/>
  <c r="G124" i="6" a="1"/>
  <c r="G124" i="6" s="1"/>
  <c r="E2" i="6" a="1"/>
  <c r="E2" i="6" s="1"/>
  <c r="I2" i="6" a="1"/>
  <c r="I2" i="6" s="1"/>
  <c r="M2" i="6" a="1"/>
  <c r="M2" i="6" s="1"/>
  <c r="C3" i="6" a="1"/>
  <c r="C3" i="6" s="1"/>
  <c r="G3" i="6" a="1"/>
  <c r="G3" i="6" s="1"/>
  <c r="K3" i="6" a="1"/>
  <c r="K3" i="6" s="1"/>
  <c r="O3" i="6" a="1"/>
  <c r="O3" i="6" s="1"/>
  <c r="E4" i="6" a="1"/>
  <c r="E4" i="6" s="1"/>
  <c r="I4" i="6" a="1"/>
  <c r="I4" i="6" s="1"/>
  <c r="C5" i="6" a="1"/>
  <c r="C5" i="6" s="1"/>
  <c r="K5" i="6" a="1"/>
  <c r="K5" i="6" s="1"/>
  <c r="E6" i="6" a="1"/>
  <c r="E6" i="6" s="1"/>
  <c r="M6" i="6" a="1"/>
  <c r="M6" i="6" s="1"/>
  <c r="G7" i="6" a="1"/>
  <c r="G7" i="6" s="1"/>
  <c r="O7" i="6" a="1"/>
  <c r="O7" i="6" s="1"/>
  <c r="I8" i="6" a="1"/>
  <c r="I8" i="6" s="1"/>
  <c r="C9" i="6" a="1"/>
  <c r="C9" i="6" s="1"/>
  <c r="K9" i="6" a="1"/>
  <c r="K9" i="6" s="1"/>
  <c r="E10" i="6" a="1"/>
  <c r="E10" i="6" s="1"/>
  <c r="M10" i="6" a="1"/>
  <c r="M10" i="6" s="1"/>
  <c r="G11" i="6" a="1"/>
  <c r="G11" i="6" s="1"/>
  <c r="O11" i="6" a="1"/>
  <c r="O11" i="6" s="1"/>
  <c r="I12" i="6" a="1"/>
  <c r="I12" i="6" s="1"/>
  <c r="C13" i="6" a="1"/>
  <c r="C13" i="6" s="1"/>
  <c r="K13" i="6" a="1"/>
  <c r="K13" i="6" s="1"/>
  <c r="E14" i="6" a="1"/>
  <c r="E14" i="6" s="1"/>
  <c r="M14" i="6" a="1"/>
  <c r="M14" i="6" s="1"/>
  <c r="G15" i="6" a="1"/>
  <c r="G15" i="6" s="1"/>
  <c r="O15" i="6" a="1"/>
  <c r="O15" i="6" s="1"/>
  <c r="I16" i="6" a="1"/>
  <c r="I16" i="6" s="1"/>
  <c r="C17" i="6" a="1"/>
  <c r="C17" i="6" s="1"/>
  <c r="K17" i="6" a="1"/>
  <c r="K17" i="6" s="1"/>
  <c r="E18" i="6" a="1"/>
  <c r="E18" i="6" s="1"/>
  <c r="M18" i="6" a="1"/>
  <c r="M18" i="6" s="1"/>
  <c r="G19" i="6" a="1"/>
  <c r="G19" i="6" s="1"/>
  <c r="O19" i="6" a="1"/>
  <c r="O19" i="6" s="1"/>
  <c r="I20" i="6" a="1"/>
  <c r="I20" i="6" s="1"/>
  <c r="C21" i="6" a="1"/>
  <c r="C21" i="6" s="1"/>
  <c r="K21" i="6" a="1"/>
  <c r="K21" i="6" s="1"/>
  <c r="E22" i="6" a="1"/>
  <c r="E22" i="6" s="1"/>
  <c r="M22" i="6" a="1"/>
  <c r="M22" i="6" s="1"/>
  <c r="G23" i="6" a="1"/>
  <c r="G23" i="6" s="1"/>
  <c r="O23" i="6" a="1"/>
  <c r="O23" i="6" s="1"/>
  <c r="I24" i="6" a="1"/>
  <c r="I24" i="6" s="1"/>
  <c r="C25" i="6" a="1"/>
  <c r="C25" i="6" s="1"/>
  <c r="K25" i="6" a="1"/>
  <c r="K25" i="6" s="1"/>
  <c r="E26" i="6" a="1"/>
  <c r="E26" i="6" s="1"/>
  <c r="M26" i="6" a="1"/>
  <c r="M26" i="6" s="1"/>
  <c r="G27" i="6" a="1"/>
  <c r="G27" i="6" s="1"/>
  <c r="O27" i="6" a="1"/>
  <c r="O27" i="6" s="1"/>
  <c r="I28" i="6" a="1"/>
  <c r="I28" i="6" s="1"/>
  <c r="C29" i="6" a="1"/>
  <c r="C29" i="6" s="1"/>
  <c r="K29" i="6" a="1"/>
  <c r="K29" i="6" s="1"/>
  <c r="E30" i="6" a="1"/>
  <c r="E30" i="6" s="1"/>
  <c r="M30" i="6" a="1"/>
  <c r="M30" i="6" s="1"/>
  <c r="G31" i="6" a="1"/>
  <c r="G31" i="6" s="1"/>
  <c r="O31" i="6" a="1"/>
  <c r="O31" i="6" s="1"/>
  <c r="I32" i="6" a="1"/>
  <c r="I32" i="6" s="1"/>
  <c r="C33" i="6" a="1"/>
  <c r="C33" i="6" s="1"/>
  <c r="K33" i="6" a="1"/>
  <c r="K33" i="6" s="1"/>
  <c r="E34" i="6" a="1"/>
  <c r="E34" i="6" s="1"/>
  <c r="M34" i="6" a="1"/>
  <c r="M34" i="6" s="1"/>
  <c r="G35" i="6" a="1"/>
  <c r="G35" i="6" s="1"/>
  <c r="O35" i="6" a="1"/>
  <c r="O35" i="6" s="1"/>
  <c r="I36" i="6" a="1"/>
  <c r="I36" i="6" s="1"/>
  <c r="C37" i="6" a="1"/>
  <c r="C37" i="6" s="1"/>
  <c r="K37" i="6" a="1"/>
  <c r="K37" i="6" s="1"/>
  <c r="E38" i="6" a="1"/>
  <c r="E38" i="6" s="1"/>
  <c r="M38" i="6" a="1"/>
  <c r="M38" i="6" s="1"/>
  <c r="G39" i="6" a="1"/>
  <c r="G39" i="6" s="1"/>
  <c r="O39" i="6" a="1"/>
  <c r="O39" i="6" s="1"/>
  <c r="I40" i="6" a="1"/>
  <c r="I40" i="6" s="1"/>
  <c r="C41" i="6" a="1"/>
  <c r="C41" i="6" s="1"/>
  <c r="K41" i="6" a="1"/>
  <c r="K41" i="6" s="1"/>
  <c r="E42" i="6" a="1"/>
  <c r="E42" i="6" s="1"/>
  <c r="M42" i="6" a="1"/>
  <c r="M42" i="6" s="1"/>
  <c r="G43" i="6" a="1"/>
  <c r="G43" i="6" s="1"/>
  <c r="O43" i="6" a="1"/>
  <c r="O43" i="6" s="1"/>
  <c r="I44" i="6" a="1"/>
  <c r="I44" i="6" s="1"/>
  <c r="C45" i="6" a="1"/>
  <c r="C45" i="6" s="1"/>
  <c r="K45" i="6" a="1"/>
  <c r="K45" i="6" s="1"/>
  <c r="E46" i="6" a="1"/>
  <c r="E46" i="6" s="1"/>
  <c r="M46" i="6" a="1"/>
  <c r="M46" i="6" s="1"/>
  <c r="G47" i="6" a="1"/>
  <c r="G47" i="6" s="1"/>
  <c r="O47" i="6" a="1"/>
  <c r="O47" i="6" s="1"/>
  <c r="I48" i="6" a="1"/>
  <c r="I48" i="6" s="1"/>
  <c r="C49" i="6" a="1"/>
  <c r="C49" i="6" s="1"/>
  <c r="K49" i="6" a="1"/>
  <c r="K49" i="6" s="1"/>
  <c r="E50" i="6" a="1"/>
  <c r="E50" i="6" s="1"/>
  <c r="M50" i="6" a="1"/>
  <c r="M50" i="6" s="1"/>
  <c r="G51" i="6" a="1"/>
  <c r="G51" i="6" s="1"/>
  <c r="O51" i="6" a="1"/>
  <c r="O51" i="6" s="1"/>
  <c r="I52" i="6" a="1"/>
  <c r="I52" i="6" s="1"/>
  <c r="C53" i="6" a="1"/>
  <c r="C53" i="6" s="1"/>
  <c r="K53" i="6" a="1"/>
  <c r="K53" i="6" s="1"/>
  <c r="E54" i="6" a="1"/>
  <c r="E54" i="6" s="1"/>
  <c r="M54" i="6" a="1"/>
  <c r="M54" i="6" s="1"/>
  <c r="G55" i="6" a="1"/>
  <c r="G55" i="6" s="1"/>
  <c r="O55" i="6" a="1"/>
  <c r="O55" i="6" s="1"/>
  <c r="I56" i="6" a="1"/>
  <c r="I56" i="6" s="1"/>
  <c r="C57" i="6" a="1"/>
  <c r="C57" i="6" s="1"/>
  <c r="K57" i="6" a="1"/>
  <c r="K57" i="6" s="1"/>
  <c r="E58" i="6" a="1"/>
  <c r="E58" i="6" s="1"/>
  <c r="M58" i="6" a="1"/>
  <c r="M58" i="6" s="1"/>
  <c r="G59" i="6" a="1"/>
  <c r="G59" i="6" s="1"/>
  <c r="O59" i="6" a="1"/>
  <c r="O59" i="6" s="1"/>
  <c r="I60" i="6" a="1"/>
  <c r="I60" i="6" s="1"/>
  <c r="C61" i="6" a="1"/>
  <c r="C61" i="6" s="1"/>
  <c r="K61" i="6" a="1"/>
  <c r="K61" i="6" s="1"/>
  <c r="E62" i="6" a="1"/>
  <c r="E62" i="6" s="1"/>
  <c r="M62" i="6" a="1"/>
  <c r="M62" i="6" s="1"/>
  <c r="G63" i="6" a="1"/>
  <c r="G63" i="6" s="1"/>
  <c r="O63" i="6" a="1"/>
  <c r="O63" i="6" s="1"/>
  <c r="I64" i="6" a="1"/>
  <c r="I64" i="6" s="1"/>
  <c r="C65" i="6" a="1"/>
  <c r="C65" i="6" s="1"/>
  <c r="K65" i="6" a="1"/>
  <c r="K65" i="6" s="1"/>
  <c r="E66" i="6" a="1"/>
  <c r="E66" i="6" s="1"/>
  <c r="M66" i="6" a="1"/>
  <c r="M66" i="6" s="1"/>
  <c r="J68" i="6" a="1"/>
  <c r="J68" i="6" s="1"/>
  <c r="N70" i="6" a="1"/>
  <c r="N70" i="6" s="1"/>
  <c r="D73" i="6" a="1"/>
  <c r="D73" i="6" s="1"/>
  <c r="H75" i="6" a="1"/>
  <c r="H75" i="6" s="1"/>
  <c r="L77" i="6" a="1"/>
  <c r="L77" i="6" s="1"/>
  <c r="B80" i="6" a="1"/>
  <c r="B80" i="6" s="1"/>
  <c r="F82" i="6" a="1"/>
  <c r="F82" i="6" s="1"/>
  <c r="F85" i="6" a="1"/>
  <c r="F85" i="6" s="1"/>
  <c r="O88" i="6" a="1"/>
  <c r="O88" i="6" s="1"/>
  <c r="F96" i="6" a="1"/>
  <c r="F96" i="6" s="1"/>
  <c r="O99" i="6" a="1"/>
  <c r="O99" i="6" s="1"/>
  <c r="J103" i="6" a="1"/>
  <c r="J103" i="6" s="1"/>
  <c r="E107" i="6" a="1"/>
  <c r="E107" i="6" s="1"/>
  <c r="O128" i="6" a="1"/>
  <c r="O128" i="6" s="1"/>
  <c r="J4" i="6" a="1"/>
  <c r="J4" i="6" s="1"/>
  <c r="D5" i="6" a="1"/>
  <c r="D5" i="6" s="1"/>
  <c r="L5" i="6" a="1"/>
  <c r="L5" i="6" s="1"/>
  <c r="F6" i="6" a="1"/>
  <c r="F6" i="6" s="1"/>
  <c r="N6" i="6" a="1"/>
  <c r="N6" i="6" s="1"/>
  <c r="H7" i="6" a="1"/>
  <c r="H7" i="6" s="1"/>
  <c r="B8" i="6" a="1"/>
  <c r="B8" i="6" s="1"/>
  <c r="J8" i="6" a="1"/>
  <c r="J8" i="6" s="1"/>
  <c r="D9" i="6" a="1"/>
  <c r="D9" i="6" s="1"/>
  <c r="L9" i="6" a="1"/>
  <c r="L9" i="6" s="1"/>
  <c r="F10" i="6" a="1"/>
  <c r="F10" i="6" s="1"/>
  <c r="N10" i="6" a="1"/>
  <c r="N10" i="6" s="1"/>
  <c r="H11" i="6" a="1"/>
  <c r="H11" i="6" s="1"/>
  <c r="B12" i="6" a="1"/>
  <c r="B12" i="6" s="1"/>
  <c r="J12" i="6" a="1"/>
  <c r="J12" i="6" s="1"/>
  <c r="D13" i="6" a="1"/>
  <c r="D13" i="6" s="1"/>
  <c r="L13" i="6" a="1"/>
  <c r="L13" i="6" s="1"/>
  <c r="F14" i="6" a="1"/>
  <c r="F14" i="6" s="1"/>
  <c r="N14" i="6" a="1"/>
  <c r="N14" i="6" s="1"/>
  <c r="H15" i="6" a="1"/>
  <c r="H15" i="6" s="1"/>
  <c r="B16" i="6" a="1"/>
  <c r="B16" i="6" s="1"/>
  <c r="J16" i="6" a="1"/>
  <c r="J16" i="6" s="1"/>
  <c r="D17" i="6" a="1"/>
  <c r="D17" i="6" s="1"/>
  <c r="L17" i="6" a="1"/>
  <c r="L17" i="6" s="1"/>
  <c r="F18" i="6" a="1"/>
  <c r="F18" i="6" s="1"/>
  <c r="N18" i="6" a="1"/>
  <c r="N18" i="6" s="1"/>
  <c r="H19" i="6" a="1"/>
  <c r="H19" i="6" s="1"/>
  <c r="B20" i="6" a="1"/>
  <c r="B20" i="6" s="1"/>
  <c r="J20" i="6" a="1"/>
  <c r="J20" i="6" s="1"/>
  <c r="D21" i="6" a="1"/>
  <c r="D21" i="6" s="1"/>
  <c r="L21" i="6" a="1"/>
  <c r="L21" i="6" s="1"/>
  <c r="F22" i="6" a="1"/>
  <c r="F22" i="6" s="1"/>
  <c r="N22" i="6" a="1"/>
  <c r="N22" i="6" s="1"/>
  <c r="H23" i="6" a="1"/>
  <c r="H23" i="6" s="1"/>
  <c r="B24" i="6" a="1"/>
  <c r="B24" i="6" s="1"/>
  <c r="J24" i="6" a="1"/>
  <c r="J24" i="6" s="1"/>
  <c r="D25" i="6" a="1"/>
  <c r="D25" i="6" s="1"/>
  <c r="L25" i="6" a="1"/>
  <c r="L25" i="6" s="1"/>
  <c r="F26" i="6" a="1"/>
  <c r="F26" i="6" s="1"/>
  <c r="N26" i="6" a="1"/>
  <c r="N26" i="6" s="1"/>
  <c r="H27" i="6" a="1"/>
  <c r="H27" i="6" s="1"/>
  <c r="B28" i="6" a="1"/>
  <c r="B28" i="6" s="1"/>
  <c r="J28" i="6" a="1"/>
  <c r="J28" i="6" s="1"/>
  <c r="D29" i="6" a="1"/>
  <c r="D29" i="6" s="1"/>
  <c r="L29" i="6" a="1"/>
  <c r="L29" i="6" s="1"/>
  <c r="F30" i="6" a="1"/>
  <c r="F30" i="6" s="1"/>
  <c r="N30" i="6" a="1"/>
  <c r="N30" i="6" s="1"/>
  <c r="H31" i="6" a="1"/>
  <c r="H31" i="6" s="1"/>
  <c r="B32" i="6" a="1"/>
  <c r="B32" i="6" s="1"/>
  <c r="J32" i="6" a="1"/>
  <c r="J32" i="6" s="1"/>
  <c r="D33" i="6" a="1"/>
  <c r="D33" i="6" s="1"/>
  <c r="L33" i="6" a="1"/>
  <c r="L33" i="6" s="1"/>
  <c r="F34" i="6" a="1"/>
  <c r="F34" i="6" s="1"/>
  <c r="N34" i="6" a="1"/>
  <c r="N34" i="6" s="1"/>
  <c r="H35" i="6" a="1"/>
  <c r="H35" i="6" s="1"/>
  <c r="B36" i="6" a="1"/>
  <c r="B36" i="6" s="1"/>
  <c r="J36" i="6" a="1"/>
  <c r="J36" i="6" s="1"/>
  <c r="D37" i="6" a="1"/>
  <c r="D37" i="6" s="1"/>
  <c r="L37" i="6" a="1"/>
  <c r="L37" i="6" s="1"/>
  <c r="F38" i="6" a="1"/>
  <c r="F38" i="6" s="1"/>
  <c r="N38" i="6" a="1"/>
  <c r="N38" i="6" s="1"/>
  <c r="H39" i="6" a="1"/>
  <c r="H39" i="6" s="1"/>
  <c r="B40" i="6" a="1"/>
  <c r="B40" i="6" s="1"/>
  <c r="J40" i="6" a="1"/>
  <c r="J40" i="6" s="1"/>
  <c r="D41" i="6" a="1"/>
  <c r="D41" i="6" s="1"/>
  <c r="L41" i="6" a="1"/>
  <c r="L41" i="6" s="1"/>
  <c r="F42" i="6" a="1"/>
  <c r="F42" i="6" s="1"/>
  <c r="N42" i="6" a="1"/>
  <c r="N42" i="6" s="1"/>
  <c r="H43" i="6" a="1"/>
  <c r="H43" i="6" s="1"/>
  <c r="B44" i="6" a="1"/>
  <c r="B44" i="6" s="1"/>
  <c r="J44" i="6" a="1"/>
  <c r="J44" i="6" s="1"/>
  <c r="D45" i="6" a="1"/>
  <c r="D45" i="6" s="1"/>
  <c r="L45" i="6" a="1"/>
  <c r="L45" i="6" s="1"/>
  <c r="F46" i="6" a="1"/>
  <c r="F46" i="6" s="1"/>
  <c r="N46" i="6" a="1"/>
  <c r="N46" i="6" s="1"/>
  <c r="H47" i="6" a="1"/>
  <c r="H47" i="6" s="1"/>
  <c r="B48" i="6" a="1"/>
  <c r="B48" i="6" s="1"/>
  <c r="J48" i="6" a="1"/>
  <c r="J48" i="6" s="1"/>
  <c r="D49" i="6" a="1"/>
  <c r="D49" i="6" s="1"/>
  <c r="L49" i="6" a="1"/>
  <c r="L49" i="6" s="1"/>
  <c r="F50" i="6" a="1"/>
  <c r="F50" i="6" s="1"/>
  <c r="N50" i="6" a="1"/>
  <c r="N50" i="6" s="1"/>
  <c r="H51" i="6" a="1"/>
  <c r="H51" i="6" s="1"/>
  <c r="B52" i="6" a="1"/>
  <c r="B52" i="6" s="1"/>
  <c r="J52" i="6" a="1"/>
  <c r="J52" i="6" s="1"/>
  <c r="D53" i="6" a="1"/>
  <c r="D53" i="6" s="1"/>
  <c r="L53" i="6" a="1"/>
  <c r="L53" i="6" s="1"/>
  <c r="F54" i="6" a="1"/>
  <c r="F54" i="6" s="1"/>
  <c r="N54" i="6" a="1"/>
  <c r="N54" i="6" s="1"/>
  <c r="H55" i="6" a="1"/>
  <c r="H55" i="6" s="1"/>
  <c r="B56" i="6" a="1"/>
  <c r="B56" i="6" s="1"/>
  <c r="J56" i="6" a="1"/>
  <c r="J56" i="6" s="1"/>
  <c r="D57" i="6" a="1"/>
  <c r="D57" i="6" s="1"/>
  <c r="L57" i="6" a="1"/>
  <c r="L57" i="6" s="1"/>
  <c r="F58" i="6" a="1"/>
  <c r="F58" i="6" s="1"/>
  <c r="N58" i="6" a="1"/>
  <c r="N58" i="6" s="1"/>
  <c r="H59" i="6" a="1"/>
  <c r="H59" i="6" s="1"/>
  <c r="B60" i="6" a="1"/>
  <c r="B60" i="6" s="1"/>
  <c r="J60" i="6" a="1"/>
  <c r="J60" i="6" s="1"/>
  <c r="D61" i="6" a="1"/>
  <c r="D61" i="6" s="1"/>
  <c r="L61" i="6" a="1"/>
  <c r="L61" i="6" s="1"/>
  <c r="F62" i="6" a="1"/>
  <c r="F62" i="6" s="1"/>
  <c r="N62" i="6" a="1"/>
  <c r="N62" i="6" s="1"/>
  <c r="H63" i="6" a="1"/>
  <c r="H63" i="6" s="1"/>
  <c r="B64" i="6" a="1"/>
  <c r="B64" i="6" s="1"/>
  <c r="J64" i="6" a="1"/>
  <c r="J64" i="6" s="1"/>
  <c r="D65" i="6" a="1"/>
  <c r="D65" i="6" s="1"/>
  <c r="L65" i="6" a="1"/>
  <c r="L65" i="6" s="1"/>
  <c r="F66" i="6" a="1"/>
  <c r="F66" i="6" s="1"/>
  <c r="N66" i="6" a="1"/>
  <c r="N66" i="6" s="1"/>
  <c r="N68" i="6" a="1"/>
  <c r="N68" i="6" s="1"/>
  <c r="D71" i="6" a="1"/>
  <c r="D71" i="6" s="1"/>
  <c r="H73" i="6" a="1"/>
  <c r="H73" i="6" s="1"/>
  <c r="L75" i="6" a="1"/>
  <c r="L75" i="6" s="1"/>
  <c r="B78" i="6" a="1"/>
  <c r="B78" i="6" s="1"/>
  <c r="F80" i="6" a="1"/>
  <c r="F80" i="6" s="1"/>
  <c r="J82" i="6" a="1"/>
  <c r="J82" i="6" s="1"/>
  <c r="H89" i="6" a="1"/>
  <c r="H89" i="6" s="1"/>
  <c r="C93" i="6" a="1"/>
  <c r="C93" i="6" s="1"/>
  <c r="L96" i="6" a="1"/>
  <c r="L96" i="6" s="1"/>
  <c r="G100" i="6" a="1"/>
  <c r="G100" i="6" s="1"/>
  <c r="L107" i="6" a="1"/>
  <c r="L107" i="6" s="1"/>
  <c r="I133" i="6" a="1"/>
  <c r="I133" i="6" s="1"/>
  <c r="B2" i="6" a="1"/>
  <c r="B2" i="6" s="1"/>
  <c r="F2" i="6" a="1"/>
  <c r="F2" i="6" s="1"/>
  <c r="J2" i="6" a="1"/>
  <c r="J2" i="6" s="1"/>
  <c r="N2" i="6" a="1"/>
  <c r="N2" i="6" s="1"/>
  <c r="D3" i="6" a="1"/>
  <c r="D3" i="6" s="1"/>
  <c r="H3" i="6" a="1"/>
  <c r="H3" i="6" s="1"/>
  <c r="L3" i="6" a="1"/>
  <c r="L3" i="6" s="1"/>
  <c r="B4" i="6" a="1"/>
  <c r="B4" i="6" s="1"/>
  <c r="F4" i="6" a="1"/>
  <c r="F4" i="6" s="1"/>
  <c r="K4" i="6" a="1"/>
  <c r="K4" i="6" s="1"/>
  <c r="E5" i="6" a="1"/>
  <c r="E5" i="6" s="1"/>
  <c r="M5" i="6" a="1"/>
  <c r="M5" i="6" s="1"/>
  <c r="G6" i="6" a="1"/>
  <c r="G6" i="6" s="1"/>
  <c r="O6" i="6" a="1"/>
  <c r="O6" i="6" s="1"/>
  <c r="I7" i="6" a="1"/>
  <c r="I7" i="6" s="1"/>
  <c r="C8" i="6" a="1"/>
  <c r="C8" i="6" s="1"/>
  <c r="K8" i="6" a="1"/>
  <c r="K8" i="6" s="1"/>
  <c r="E9" i="6" a="1"/>
  <c r="E9" i="6" s="1"/>
  <c r="M9" i="6" a="1"/>
  <c r="M9" i="6" s="1"/>
  <c r="G10" i="6" a="1"/>
  <c r="G10" i="6" s="1"/>
  <c r="O10" i="6" a="1"/>
  <c r="O10" i="6" s="1"/>
  <c r="I11" i="6" a="1"/>
  <c r="I11" i="6" s="1"/>
  <c r="C12" i="6" a="1"/>
  <c r="C12" i="6" s="1"/>
  <c r="K12" i="6" a="1"/>
  <c r="K12" i="6" s="1"/>
  <c r="E13" i="6" a="1"/>
  <c r="E13" i="6" s="1"/>
  <c r="M13" i="6" a="1"/>
  <c r="M13" i="6" s="1"/>
  <c r="G14" i="6" a="1"/>
  <c r="G14" i="6" s="1"/>
  <c r="O14" i="6" a="1"/>
  <c r="O14" i="6" s="1"/>
  <c r="I15" i="6" a="1"/>
  <c r="I15" i="6" s="1"/>
  <c r="C16" i="6" a="1"/>
  <c r="C16" i="6" s="1"/>
  <c r="K16" i="6" a="1"/>
  <c r="K16" i="6" s="1"/>
  <c r="E17" i="6" a="1"/>
  <c r="E17" i="6" s="1"/>
  <c r="M17" i="6" a="1"/>
  <c r="M17" i="6" s="1"/>
  <c r="G18" i="6" a="1"/>
  <c r="G18" i="6" s="1"/>
  <c r="O18" i="6" a="1"/>
  <c r="O18" i="6" s="1"/>
  <c r="I19" i="6" a="1"/>
  <c r="I19" i="6" s="1"/>
  <c r="C20" i="6" a="1"/>
  <c r="C20" i="6" s="1"/>
  <c r="K20" i="6" a="1"/>
  <c r="K20" i="6" s="1"/>
  <c r="E21" i="6" a="1"/>
  <c r="E21" i="6" s="1"/>
  <c r="M21" i="6" a="1"/>
  <c r="M21" i="6" s="1"/>
  <c r="G22" i="6" a="1"/>
  <c r="G22" i="6" s="1"/>
  <c r="O22" i="6" a="1"/>
  <c r="O22" i="6" s="1"/>
  <c r="I23" i="6" a="1"/>
  <c r="I23" i="6" s="1"/>
  <c r="C24" i="6" a="1"/>
  <c r="C24" i="6" s="1"/>
  <c r="K24" i="6" a="1"/>
  <c r="K24" i="6" s="1"/>
  <c r="E25" i="6" a="1"/>
  <c r="E25" i="6" s="1"/>
  <c r="M25" i="6" a="1"/>
  <c r="M25" i="6" s="1"/>
  <c r="G26" i="6" a="1"/>
  <c r="G26" i="6" s="1"/>
  <c r="O26" i="6" a="1"/>
  <c r="O26" i="6" s="1"/>
  <c r="I27" i="6" a="1"/>
  <c r="I27" i="6" s="1"/>
  <c r="C28" i="6" a="1"/>
  <c r="C28" i="6" s="1"/>
  <c r="K28" i="6" a="1"/>
  <c r="K28" i="6" s="1"/>
  <c r="E29" i="6" a="1"/>
  <c r="E29" i="6" s="1"/>
  <c r="M29" i="6" a="1"/>
  <c r="M29" i="6" s="1"/>
  <c r="G30" i="6" a="1"/>
  <c r="G30" i="6" s="1"/>
  <c r="O30" i="6" a="1"/>
  <c r="O30" i="6" s="1"/>
  <c r="I31" i="6" a="1"/>
  <c r="I31" i="6" s="1"/>
  <c r="C32" i="6" a="1"/>
  <c r="C32" i="6" s="1"/>
  <c r="K32" i="6" a="1"/>
  <c r="K32" i="6" s="1"/>
  <c r="E33" i="6" a="1"/>
  <c r="E33" i="6" s="1"/>
  <c r="M33" i="6" a="1"/>
  <c r="M33" i="6" s="1"/>
  <c r="G34" i="6" a="1"/>
  <c r="G34" i="6" s="1"/>
  <c r="O34" i="6" a="1"/>
  <c r="O34" i="6" s="1"/>
  <c r="I35" i="6" a="1"/>
  <c r="I35" i="6" s="1"/>
  <c r="C36" i="6" a="1"/>
  <c r="C36" i="6" s="1"/>
  <c r="K36" i="6" a="1"/>
  <c r="K36" i="6" s="1"/>
  <c r="E37" i="6" a="1"/>
  <c r="E37" i="6" s="1"/>
  <c r="M37" i="6" a="1"/>
  <c r="M37" i="6" s="1"/>
  <c r="G38" i="6" a="1"/>
  <c r="G38" i="6" s="1"/>
  <c r="O38" i="6" a="1"/>
  <c r="O38" i="6" s="1"/>
  <c r="I39" i="6" a="1"/>
  <c r="I39" i="6" s="1"/>
  <c r="C40" i="6" a="1"/>
  <c r="C40" i="6" s="1"/>
  <c r="K40" i="6" a="1"/>
  <c r="K40" i="6" s="1"/>
  <c r="E41" i="6" a="1"/>
  <c r="E41" i="6" s="1"/>
  <c r="M41" i="6" a="1"/>
  <c r="M41" i="6" s="1"/>
  <c r="G42" i="6" a="1"/>
  <c r="G42" i="6" s="1"/>
  <c r="O42" i="6" a="1"/>
  <c r="O42" i="6" s="1"/>
  <c r="I43" i="6" a="1"/>
  <c r="I43" i="6" s="1"/>
  <c r="C44" i="6" a="1"/>
  <c r="C44" i="6" s="1"/>
  <c r="K44" i="6" a="1"/>
  <c r="K44" i="6" s="1"/>
  <c r="E45" i="6" a="1"/>
  <c r="E45" i="6" s="1"/>
  <c r="M45" i="6" a="1"/>
  <c r="M45" i="6" s="1"/>
  <c r="G46" i="6" a="1"/>
  <c r="G46" i="6" s="1"/>
  <c r="O46" i="6" a="1"/>
  <c r="O46" i="6" s="1"/>
  <c r="I47" i="6" a="1"/>
  <c r="I47" i="6" s="1"/>
  <c r="C48" i="6" a="1"/>
  <c r="C48" i="6" s="1"/>
  <c r="K48" i="6" a="1"/>
  <c r="K48" i="6" s="1"/>
  <c r="E49" i="6" a="1"/>
  <c r="E49" i="6" s="1"/>
  <c r="M49" i="6" a="1"/>
  <c r="M49" i="6" s="1"/>
  <c r="G50" i="6" a="1"/>
  <c r="G50" i="6" s="1"/>
  <c r="O50" i="6" a="1"/>
  <c r="O50" i="6" s="1"/>
  <c r="I51" i="6" a="1"/>
  <c r="I51" i="6" s="1"/>
  <c r="C52" i="6" a="1"/>
  <c r="C52" i="6" s="1"/>
  <c r="K52" i="6" a="1"/>
  <c r="K52" i="6" s="1"/>
  <c r="E53" i="6" a="1"/>
  <c r="E53" i="6" s="1"/>
  <c r="M53" i="6" a="1"/>
  <c r="M53" i="6" s="1"/>
  <c r="G54" i="6" a="1"/>
  <c r="G54" i="6" s="1"/>
  <c r="O54" i="6" a="1"/>
  <c r="O54" i="6" s="1"/>
  <c r="I55" i="6" a="1"/>
  <c r="I55" i="6" s="1"/>
  <c r="C56" i="6" a="1"/>
  <c r="C56" i="6" s="1"/>
  <c r="K56" i="6" a="1"/>
  <c r="K56" i="6" s="1"/>
  <c r="E57" i="6" a="1"/>
  <c r="E57" i="6" s="1"/>
  <c r="M57" i="6" a="1"/>
  <c r="M57" i="6" s="1"/>
  <c r="G58" i="6" a="1"/>
  <c r="G58" i="6" s="1"/>
  <c r="O58" i="6" a="1"/>
  <c r="O58" i="6" s="1"/>
  <c r="I59" i="6" a="1"/>
  <c r="I59" i="6" s="1"/>
  <c r="C60" i="6" a="1"/>
  <c r="C60" i="6" s="1"/>
  <c r="K60" i="6" a="1"/>
  <c r="K60" i="6" s="1"/>
  <c r="E61" i="6" a="1"/>
  <c r="E61" i="6" s="1"/>
  <c r="M61" i="6" a="1"/>
  <c r="M61" i="6" s="1"/>
  <c r="G62" i="6" a="1"/>
  <c r="G62" i="6" s="1"/>
  <c r="O62" i="6" a="1"/>
  <c r="O62" i="6" s="1"/>
  <c r="I63" i="6" a="1"/>
  <c r="I63" i="6" s="1"/>
  <c r="C64" i="6" a="1"/>
  <c r="C64" i="6" s="1"/>
  <c r="K64" i="6" a="1"/>
  <c r="K64" i="6" s="1"/>
  <c r="E65" i="6" a="1"/>
  <c r="E65" i="6" s="1"/>
  <c r="M65" i="6" a="1"/>
  <c r="M65" i="6" s="1"/>
  <c r="G66" i="6" a="1"/>
  <c r="G66" i="6" s="1"/>
  <c r="O66" i="6" a="1"/>
  <c r="O66" i="6" s="1"/>
  <c r="D69" i="6" a="1"/>
  <c r="D69" i="6" s="1"/>
  <c r="H71" i="6" a="1"/>
  <c r="H71" i="6" s="1"/>
  <c r="L73" i="6" a="1"/>
  <c r="L73" i="6" s="1"/>
  <c r="B76" i="6" a="1"/>
  <c r="B76" i="6" s="1"/>
  <c r="F78" i="6" a="1"/>
  <c r="F78" i="6" s="1"/>
  <c r="J80" i="6" a="1"/>
  <c r="J80" i="6" s="1"/>
  <c r="N82" i="6" a="1"/>
  <c r="N82" i="6" s="1"/>
  <c r="E86" i="6" a="1"/>
  <c r="E86" i="6" s="1"/>
  <c r="N89" i="6" a="1"/>
  <c r="N89" i="6" s="1"/>
  <c r="I93" i="6" a="1"/>
  <c r="I93" i="6" s="1"/>
  <c r="N100" i="6" a="1"/>
  <c r="N100" i="6" s="1"/>
  <c r="I104" i="6" a="1"/>
  <c r="I104" i="6" s="1"/>
  <c r="E108" i="6" a="1"/>
  <c r="E108" i="6" s="1"/>
  <c r="C138" i="6" a="1"/>
  <c r="C138" i="6" s="1"/>
  <c r="L4" i="6" a="1"/>
  <c r="L4" i="6" s="1"/>
  <c r="F5" i="6" a="1"/>
  <c r="F5" i="6" s="1"/>
  <c r="N5" i="6" a="1"/>
  <c r="N5" i="6" s="1"/>
  <c r="H6" i="6" a="1"/>
  <c r="H6" i="6" s="1"/>
  <c r="B7" i="6" a="1"/>
  <c r="B7" i="6" s="1"/>
  <c r="J7" i="6" a="1"/>
  <c r="J7" i="6" s="1"/>
  <c r="D8" i="6" a="1"/>
  <c r="D8" i="6" s="1"/>
  <c r="L8" i="6" a="1"/>
  <c r="L8" i="6" s="1"/>
  <c r="F9" i="6" a="1"/>
  <c r="F9" i="6" s="1"/>
  <c r="N9" i="6" a="1"/>
  <c r="N9" i="6" s="1"/>
  <c r="H10" i="6" a="1"/>
  <c r="H10" i="6" s="1"/>
  <c r="B11" i="6" a="1"/>
  <c r="B11" i="6" s="1"/>
  <c r="J11" i="6" a="1"/>
  <c r="J11" i="6" s="1"/>
  <c r="D12" i="6" a="1"/>
  <c r="D12" i="6" s="1"/>
  <c r="L12" i="6" a="1"/>
  <c r="L12" i="6" s="1"/>
  <c r="F13" i="6" a="1"/>
  <c r="F13" i="6" s="1"/>
  <c r="N13" i="6" a="1"/>
  <c r="N13" i="6" s="1"/>
  <c r="H14" i="6" a="1"/>
  <c r="H14" i="6" s="1"/>
  <c r="B15" i="6" a="1"/>
  <c r="B15" i="6" s="1"/>
  <c r="J15" i="6" a="1"/>
  <c r="J15" i="6" s="1"/>
  <c r="D16" i="6" a="1"/>
  <c r="D16" i="6" s="1"/>
  <c r="L16" i="6" a="1"/>
  <c r="L16" i="6" s="1"/>
  <c r="F17" i="6" a="1"/>
  <c r="F17" i="6" s="1"/>
  <c r="N17" i="6" a="1"/>
  <c r="N17" i="6" s="1"/>
  <c r="H18" i="6" a="1"/>
  <c r="H18" i="6" s="1"/>
  <c r="B19" i="6" a="1"/>
  <c r="B19" i="6" s="1"/>
  <c r="J19" i="6" a="1"/>
  <c r="J19" i="6" s="1"/>
  <c r="D20" i="6" a="1"/>
  <c r="D20" i="6" s="1"/>
  <c r="L20" i="6" a="1"/>
  <c r="L20" i="6" s="1"/>
  <c r="F21" i="6" a="1"/>
  <c r="F21" i="6" s="1"/>
  <c r="N21" i="6" a="1"/>
  <c r="N21" i="6" s="1"/>
  <c r="H22" i="6" a="1"/>
  <c r="H22" i="6" s="1"/>
  <c r="B23" i="6" a="1"/>
  <c r="B23" i="6" s="1"/>
  <c r="J23" i="6" a="1"/>
  <c r="J23" i="6" s="1"/>
  <c r="D24" i="6" a="1"/>
  <c r="D24" i="6" s="1"/>
  <c r="L24" i="6" a="1"/>
  <c r="L24" i="6" s="1"/>
  <c r="F25" i="6" a="1"/>
  <c r="F25" i="6" s="1"/>
  <c r="N25" i="6" a="1"/>
  <c r="N25" i="6" s="1"/>
  <c r="H26" i="6" a="1"/>
  <c r="H26" i="6" s="1"/>
  <c r="B27" i="6" a="1"/>
  <c r="B27" i="6" s="1"/>
  <c r="J27" i="6" a="1"/>
  <c r="J27" i="6" s="1"/>
  <c r="D28" i="6" a="1"/>
  <c r="D28" i="6" s="1"/>
  <c r="L28" i="6" a="1"/>
  <c r="L28" i="6" s="1"/>
  <c r="F29" i="6" a="1"/>
  <c r="F29" i="6" s="1"/>
  <c r="N29" i="6" a="1"/>
  <c r="N29" i="6" s="1"/>
  <c r="H30" i="6" a="1"/>
  <c r="H30" i="6" s="1"/>
  <c r="B31" i="6" a="1"/>
  <c r="B31" i="6" s="1"/>
  <c r="J31" i="6" a="1"/>
  <c r="J31" i="6" s="1"/>
  <c r="D32" i="6" a="1"/>
  <c r="D32" i="6" s="1"/>
  <c r="L32" i="6" a="1"/>
  <c r="L32" i="6" s="1"/>
  <c r="F33" i="6" a="1"/>
  <c r="F33" i="6" s="1"/>
  <c r="N33" i="6" a="1"/>
  <c r="N33" i="6" s="1"/>
  <c r="H34" i="6" a="1"/>
  <c r="H34" i="6" s="1"/>
  <c r="B35" i="6" a="1"/>
  <c r="B35" i="6" s="1"/>
  <c r="J35" i="6" a="1"/>
  <c r="J35" i="6" s="1"/>
  <c r="D36" i="6" a="1"/>
  <c r="D36" i="6" s="1"/>
  <c r="L36" i="6" a="1"/>
  <c r="L36" i="6" s="1"/>
  <c r="F37" i="6" a="1"/>
  <c r="F37" i="6" s="1"/>
  <c r="N37" i="6" a="1"/>
  <c r="N37" i="6" s="1"/>
  <c r="H38" i="6" a="1"/>
  <c r="H38" i="6" s="1"/>
  <c r="B39" i="6" a="1"/>
  <c r="B39" i="6" s="1"/>
  <c r="J39" i="6" a="1"/>
  <c r="J39" i="6" s="1"/>
  <c r="D40" i="6" a="1"/>
  <c r="D40" i="6" s="1"/>
  <c r="L40" i="6" a="1"/>
  <c r="L40" i="6" s="1"/>
  <c r="F41" i="6" a="1"/>
  <c r="F41" i="6" s="1"/>
  <c r="N41" i="6" a="1"/>
  <c r="N41" i="6" s="1"/>
  <c r="H42" i="6" a="1"/>
  <c r="H42" i="6" s="1"/>
  <c r="B43" i="6" a="1"/>
  <c r="B43" i="6" s="1"/>
  <c r="J43" i="6" a="1"/>
  <c r="J43" i="6" s="1"/>
  <c r="D44" i="6" a="1"/>
  <c r="D44" i="6" s="1"/>
  <c r="L44" i="6" a="1"/>
  <c r="L44" i="6" s="1"/>
  <c r="F45" i="6" a="1"/>
  <c r="F45" i="6" s="1"/>
  <c r="N45" i="6" a="1"/>
  <c r="N45" i="6" s="1"/>
  <c r="H46" i="6" a="1"/>
  <c r="H46" i="6" s="1"/>
  <c r="B47" i="6" a="1"/>
  <c r="B47" i="6" s="1"/>
  <c r="J47" i="6" a="1"/>
  <c r="J47" i="6" s="1"/>
  <c r="D48" i="6" a="1"/>
  <c r="D48" i="6" s="1"/>
  <c r="L48" i="6" a="1"/>
  <c r="L48" i="6" s="1"/>
  <c r="F49" i="6" a="1"/>
  <c r="F49" i="6" s="1"/>
  <c r="N49" i="6" a="1"/>
  <c r="N49" i="6" s="1"/>
  <c r="H50" i="6" a="1"/>
  <c r="H50" i="6" s="1"/>
  <c r="B51" i="6" a="1"/>
  <c r="B51" i="6" s="1"/>
  <c r="J51" i="6" a="1"/>
  <c r="J51" i="6" s="1"/>
  <c r="D52" i="6" a="1"/>
  <c r="D52" i="6" s="1"/>
  <c r="L52" i="6" a="1"/>
  <c r="L52" i="6" s="1"/>
  <c r="F53" i="6" a="1"/>
  <c r="F53" i="6" s="1"/>
  <c r="N53" i="6" a="1"/>
  <c r="N53" i="6" s="1"/>
  <c r="H54" i="6" a="1"/>
  <c r="H54" i="6" s="1"/>
  <c r="B55" i="6" a="1"/>
  <c r="B55" i="6" s="1"/>
  <c r="J55" i="6" a="1"/>
  <c r="J55" i="6" s="1"/>
  <c r="D56" i="6" a="1"/>
  <c r="D56" i="6" s="1"/>
  <c r="L56" i="6" a="1"/>
  <c r="L56" i="6" s="1"/>
  <c r="F57" i="6" a="1"/>
  <c r="F57" i="6" s="1"/>
  <c r="N57" i="6" a="1"/>
  <c r="N57" i="6" s="1"/>
  <c r="H58" i="6" a="1"/>
  <c r="H58" i="6" s="1"/>
  <c r="B59" i="6" a="1"/>
  <c r="B59" i="6" s="1"/>
  <c r="J59" i="6" a="1"/>
  <c r="J59" i="6" s="1"/>
  <c r="D60" i="6" a="1"/>
  <c r="D60" i="6" s="1"/>
  <c r="L60" i="6" a="1"/>
  <c r="L60" i="6" s="1"/>
  <c r="F61" i="6" a="1"/>
  <c r="F61" i="6" s="1"/>
  <c r="N61" i="6" a="1"/>
  <c r="N61" i="6" s="1"/>
  <c r="H62" i="6" a="1"/>
  <c r="H62" i="6" s="1"/>
  <c r="B63" i="6" a="1"/>
  <c r="B63" i="6" s="1"/>
  <c r="J63" i="6" a="1"/>
  <c r="J63" i="6" s="1"/>
  <c r="D64" i="6" a="1"/>
  <c r="D64" i="6" s="1"/>
  <c r="L64" i="6" a="1"/>
  <c r="L64" i="6" s="1"/>
  <c r="F65" i="6" a="1"/>
  <c r="F65" i="6" s="1"/>
  <c r="N65" i="6" a="1"/>
  <c r="N65" i="6" s="1"/>
  <c r="H66" i="6" a="1"/>
  <c r="H66" i="6" s="1"/>
  <c r="D67" i="6" a="1"/>
  <c r="D67" i="6" s="1"/>
  <c r="H69" i="6" a="1"/>
  <c r="H69" i="6" s="1"/>
  <c r="L71" i="6" a="1"/>
  <c r="L71" i="6" s="1"/>
  <c r="B74" i="6" a="1"/>
  <c r="B74" i="6" s="1"/>
  <c r="F76" i="6" a="1"/>
  <c r="F76" i="6" s="1"/>
  <c r="J78" i="6" a="1"/>
  <c r="J78" i="6" s="1"/>
  <c r="N80" i="6" a="1"/>
  <c r="N80" i="6" s="1"/>
  <c r="D83" i="6" a="1"/>
  <c r="D83" i="6" s="1"/>
  <c r="K86" i="6" a="1"/>
  <c r="K86" i="6" s="1"/>
  <c r="B94" i="6" a="1"/>
  <c r="B94" i="6" s="1"/>
  <c r="K97" i="6" a="1"/>
  <c r="K97" i="6" s="1"/>
  <c r="F101" i="6" a="1"/>
  <c r="F101" i="6" s="1"/>
  <c r="O104" i="6" a="1"/>
  <c r="O104" i="6" s="1"/>
  <c r="K142" i="6" a="1"/>
  <c r="K142" i="6" s="1"/>
  <c r="M425" i="6" a="1"/>
  <c r="M425" i="6" s="1"/>
  <c r="O425" i="6" a="1"/>
  <c r="O425" i="6" s="1"/>
  <c r="I425" i="6" a="1"/>
  <c r="I425" i="6" s="1"/>
  <c r="G424" i="6" a="1"/>
  <c r="G424" i="6" s="1"/>
  <c r="E423" i="6" a="1"/>
  <c r="E423" i="6" s="1"/>
  <c r="C422" i="6" a="1"/>
  <c r="C422" i="6" s="1"/>
  <c r="O420" i="6" a="1"/>
  <c r="O420" i="6" s="1"/>
  <c r="M419" i="6" a="1"/>
  <c r="M419" i="6" s="1"/>
  <c r="K418" i="6" a="1"/>
  <c r="K418" i="6" s="1"/>
  <c r="I417" i="6" a="1"/>
  <c r="I417" i="6" s="1"/>
  <c r="G416" i="6" a="1"/>
  <c r="G416" i="6" s="1"/>
  <c r="E415" i="6" a="1"/>
  <c r="E415" i="6" s="1"/>
  <c r="C414" i="6" a="1"/>
  <c r="C414" i="6" s="1"/>
  <c r="O412" i="6" a="1"/>
  <c r="O412" i="6" s="1"/>
  <c r="M411" i="6" a="1"/>
  <c r="M411" i="6" s="1"/>
  <c r="K410" i="6" a="1"/>
  <c r="K410" i="6" s="1"/>
  <c r="I409" i="6" a="1"/>
  <c r="I409" i="6" s="1"/>
  <c r="G408" i="6" a="1"/>
  <c r="G408" i="6" s="1"/>
  <c r="E407" i="6" a="1"/>
  <c r="E407" i="6" s="1"/>
  <c r="C406" i="6" a="1"/>
  <c r="C406" i="6" s="1"/>
  <c r="G405" i="6" a="1"/>
  <c r="G405" i="6" s="1"/>
  <c r="L404" i="6" a="1"/>
  <c r="L404" i="6" s="1"/>
  <c r="G404" i="6" a="1"/>
  <c r="G404" i="6" s="1"/>
  <c r="L403" i="6" a="1"/>
  <c r="L403" i="6" s="1"/>
  <c r="C403" i="6" a="1"/>
  <c r="C403" i="6" s="1"/>
  <c r="H402" i="6" a="1"/>
  <c r="H402" i="6" s="1"/>
  <c r="H425" i="6" a="1"/>
  <c r="H425" i="6" s="1"/>
  <c r="N425" i="6" a="1"/>
  <c r="N425" i="6" s="1"/>
  <c r="L425" i="6" a="1"/>
  <c r="L425" i="6" s="1"/>
  <c r="O424" i="6" a="1"/>
  <c r="O424" i="6" s="1"/>
  <c r="M423" i="6" a="1"/>
  <c r="M423" i="6" s="1"/>
  <c r="K422" i="6" a="1"/>
  <c r="K422" i="6" s="1"/>
  <c r="I421" i="6" a="1"/>
  <c r="I421" i="6" s="1"/>
  <c r="G420" i="6" a="1"/>
  <c r="G420" i="6" s="1"/>
  <c r="E419" i="6" a="1"/>
  <c r="E419" i="6" s="1"/>
  <c r="C418" i="6" a="1"/>
  <c r="C418" i="6" s="1"/>
  <c r="O416" i="6" a="1"/>
  <c r="O416" i="6" s="1"/>
  <c r="M415" i="6" a="1"/>
  <c r="M415" i="6" s="1"/>
  <c r="K414" i="6" a="1"/>
  <c r="K414" i="6" s="1"/>
  <c r="I413" i="6" a="1"/>
  <c r="I413" i="6" s="1"/>
  <c r="G412" i="6" a="1"/>
  <c r="G412" i="6" s="1"/>
  <c r="E411" i="6" a="1"/>
  <c r="E411" i="6" s="1"/>
  <c r="C410" i="6" a="1"/>
  <c r="C410" i="6" s="1"/>
  <c r="O408" i="6" a="1"/>
  <c r="O408" i="6" s="1"/>
  <c r="M407" i="6" a="1"/>
  <c r="M407" i="6" s="1"/>
  <c r="K406" i="6" a="1"/>
  <c r="K406" i="6" s="1"/>
  <c r="I405" i="6" a="1"/>
  <c r="I405" i="6" s="1"/>
  <c r="N404" i="6" a="1"/>
  <c r="N404" i="6" s="1"/>
  <c r="E404" i="6" a="1"/>
  <c r="E404" i="6" s="1"/>
  <c r="J403" i="6" a="1"/>
  <c r="J403" i="6" s="1"/>
  <c r="E403" i="6" a="1"/>
  <c r="E403" i="6" s="1"/>
  <c r="J402" i="6" a="1"/>
  <c r="J402" i="6" s="1"/>
  <c r="O401" i="6" a="1"/>
  <c r="O401" i="6" s="1"/>
  <c r="K425" i="6" a="1"/>
  <c r="K425" i="6" s="1"/>
  <c r="E425" i="6" a="1"/>
  <c r="E425" i="6" s="1"/>
  <c r="C424" i="6" a="1"/>
  <c r="C424" i="6" s="1"/>
  <c r="O422" i="6" a="1"/>
  <c r="O422" i="6" s="1"/>
  <c r="M421" i="6" a="1"/>
  <c r="M421" i="6" s="1"/>
  <c r="K420" i="6" a="1"/>
  <c r="K420" i="6" s="1"/>
  <c r="I419" i="6" a="1"/>
  <c r="I419" i="6" s="1"/>
  <c r="G418" i="6" a="1"/>
  <c r="G418" i="6" s="1"/>
  <c r="E417" i="6" a="1"/>
  <c r="E417" i="6" s="1"/>
  <c r="C416" i="6" a="1"/>
  <c r="C416" i="6" s="1"/>
  <c r="O414" i="6" a="1"/>
  <c r="O414" i="6" s="1"/>
  <c r="M413" i="6" a="1"/>
  <c r="M413" i="6" s="1"/>
  <c r="K412" i="6" a="1"/>
  <c r="K412" i="6" s="1"/>
  <c r="I411" i="6" a="1"/>
  <c r="I411" i="6" s="1"/>
  <c r="G410" i="6" a="1"/>
  <c r="G410" i="6" s="1"/>
  <c r="J425" i="6" a="1"/>
  <c r="J425" i="6" s="1"/>
  <c r="D425" i="6" a="1"/>
  <c r="D425" i="6" s="1"/>
  <c r="M424" i="6" a="1"/>
  <c r="M424" i="6" s="1"/>
  <c r="H424" i="6" a="1"/>
  <c r="H424" i="6" s="1"/>
  <c r="B424" i="6" a="1"/>
  <c r="B424" i="6" s="1"/>
  <c r="K423" i="6" a="1"/>
  <c r="K423" i="6" s="1"/>
  <c r="F423" i="6" a="1"/>
  <c r="F423" i="6" s="1"/>
  <c r="N422" i="6" a="1"/>
  <c r="N422" i="6" s="1"/>
  <c r="I422" i="6" a="1"/>
  <c r="I422" i="6" s="1"/>
  <c r="D422" i="6" a="1"/>
  <c r="D422" i="6" s="1"/>
  <c r="L421" i="6" a="1"/>
  <c r="L421" i="6" s="1"/>
  <c r="G421" i="6" a="1"/>
  <c r="G421" i="6" s="1"/>
  <c r="B421" i="6" a="1"/>
  <c r="B421" i="6" s="1"/>
  <c r="J420" i="6" a="1"/>
  <c r="J420" i="6" s="1"/>
  <c r="E420" i="6" a="1"/>
  <c r="E420" i="6" s="1"/>
  <c r="N419" i="6" a="1"/>
  <c r="N419" i="6" s="1"/>
  <c r="H419" i="6" a="1"/>
  <c r="H419" i="6" s="1"/>
  <c r="C419" i="6" a="1"/>
  <c r="C419" i="6" s="1"/>
  <c r="L418" i="6" a="1"/>
  <c r="L418" i="6" s="1"/>
  <c r="F418" i="6" a="1"/>
  <c r="F418" i="6" s="1"/>
  <c r="O417" i="6" a="1"/>
  <c r="O417" i="6" s="1"/>
  <c r="J417" i="6" a="1"/>
  <c r="J417" i="6" s="1"/>
  <c r="D417" i="6" a="1"/>
  <c r="D417" i="6" s="1"/>
  <c r="M416" i="6" a="1"/>
  <c r="M416" i="6" s="1"/>
  <c r="H416" i="6" a="1"/>
  <c r="H416" i="6" s="1"/>
  <c r="B416" i="6" a="1"/>
  <c r="B416" i="6" s="1"/>
  <c r="K415" i="6" a="1"/>
  <c r="K415" i="6" s="1"/>
  <c r="F415" i="6" a="1"/>
  <c r="F415" i="6" s="1"/>
  <c r="N414" i="6" a="1"/>
  <c r="N414" i="6" s="1"/>
  <c r="I414" i="6" a="1"/>
  <c r="I414" i="6" s="1"/>
  <c r="D414" i="6" a="1"/>
  <c r="D414" i="6" s="1"/>
  <c r="L413" i="6" a="1"/>
  <c r="L413" i="6" s="1"/>
  <c r="K424" i="6" a="1"/>
  <c r="K424" i="6" s="1"/>
  <c r="G422" i="6" a="1"/>
  <c r="G422" i="6" s="1"/>
  <c r="C420" i="6" a="1"/>
  <c r="C420" i="6" s="1"/>
  <c r="M417" i="6" a="1"/>
  <c r="M417" i="6" s="1"/>
  <c r="I415" i="6" a="1"/>
  <c r="I415" i="6" s="1"/>
  <c r="F413" i="6" a="1"/>
  <c r="F413" i="6" s="1"/>
  <c r="L412" i="6" a="1"/>
  <c r="L412" i="6" s="1"/>
  <c r="C412" i="6" a="1"/>
  <c r="C412" i="6" s="1"/>
  <c r="H411" i="6" a="1"/>
  <c r="H411" i="6" s="1"/>
  <c r="N410" i="6" a="1"/>
  <c r="N410" i="6" s="1"/>
  <c r="E410" i="6" a="1"/>
  <c r="E410" i="6" s="1"/>
  <c r="L409" i="6" a="1"/>
  <c r="L409" i="6" s="1"/>
  <c r="E409" i="6" a="1"/>
  <c r="E409" i="6" s="1"/>
  <c r="L408" i="6" a="1"/>
  <c r="L408" i="6" s="1"/>
  <c r="E408" i="6" a="1"/>
  <c r="E408" i="6" s="1"/>
  <c r="D407" i="6" a="1"/>
  <c r="D407" i="6" s="1"/>
  <c r="L406" i="6" a="1"/>
  <c r="L406" i="6" s="1"/>
  <c r="K405" i="6" a="1"/>
  <c r="K405" i="6" s="1"/>
  <c r="E405" i="6" a="1"/>
  <c r="E405" i="6" s="1"/>
  <c r="M404" i="6" a="1"/>
  <c r="M404" i="6" s="1"/>
  <c r="O403" i="6" a="1"/>
  <c r="O403" i="6" s="1"/>
  <c r="M401" i="6" a="1"/>
  <c r="M401" i="6" s="1"/>
  <c r="D401" i="6" a="1"/>
  <c r="D401" i="6" s="1"/>
  <c r="I400" i="6" a="1"/>
  <c r="I400" i="6" s="1"/>
  <c r="D400" i="6" a="1"/>
  <c r="D400" i="6" s="1"/>
  <c r="I399" i="6" a="1"/>
  <c r="I399" i="6" s="1"/>
  <c r="N398" i="6" a="1"/>
  <c r="N398" i="6" s="1"/>
  <c r="E398" i="6" a="1"/>
  <c r="E398" i="6" s="1"/>
  <c r="N397" i="6" a="1"/>
  <c r="N397" i="6" s="1"/>
  <c r="E397" i="6" a="1"/>
  <c r="E397" i="6" s="1"/>
  <c r="J396" i="6" a="1"/>
  <c r="J396" i="6" s="1"/>
  <c r="O395" i="6" a="1"/>
  <c r="O395" i="6" s="1"/>
  <c r="K395" i="6" a="1"/>
  <c r="K395" i="6" s="1"/>
  <c r="G395" i="6" a="1"/>
  <c r="G395" i="6" s="1"/>
  <c r="C395" i="6" a="1"/>
  <c r="C395" i="6" s="1"/>
  <c r="M394" i="6" a="1"/>
  <c r="M394" i="6" s="1"/>
  <c r="I394" i="6" a="1"/>
  <c r="I394" i="6" s="1"/>
  <c r="E394" i="6" a="1"/>
  <c r="E394" i="6" s="1"/>
  <c r="O393" i="6" a="1"/>
  <c r="O393" i="6" s="1"/>
  <c r="K393" i="6" a="1"/>
  <c r="K393" i="6" s="1"/>
  <c r="G393" i="6" a="1"/>
  <c r="G393" i="6" s="1"/>
  <c r="C393" i="6" a="1"/>
  <c r="C393" i="6" s="1"/>
  <c r="M392" i="6" a="1"/>
  <c r="M392" i="6" s="1"/>
  <c r="I392" i="6" a="1"/>
  <c r="I392" i="6" s="1"/>
  <c r="E392" i="6" a="1"/>
  <c r="E392" i="6" s="1"/>
  <c r="O391" i="6" a="1"/>
  <c r="O391" i="6" s="1"/>
  <c r="K391" i="6" a="1"/>
  <c r="K391" i="6" s="1"/>
  <c r="G391" i="6" a="1"/>
  <c r="G391" i="6" s="1"/>
  <c r="G425" i="6" a="1"/>
  <c r="G425" i="6" s="1"/>
  <c r="J424" i="6" a="1"/>
  <c r="J424" i="6" s="1"/>
  <c r="N423" i="6" a="1"/>
  <c r="N423" i="6" s="1"/>
  <c r="C423" i="6" a="1"/>
  <c r="C423" i="6" s="1"/>
  <c r="F422" i="6" a="1"/>
  <c r="F422" i="6" s="1"/>
  <c r="J421" i="6" a="1"/>
  <c r="J421" i="6" s="1"/>
  <c r="M420" i="6" a="1"/>
  <c r="M420" i="6" s="1"/>
  <c r="B420" i="6" a="1"/>
  <c r="B420" i="6" s="1"/>
  <c r="F419" i="6" a="1"/>
  <c r="F419" i="6" s="1"/>
  <c r="I418" i="6" a="1"/>
  <c r="I418" i="6" s="1"/>
  <c r="L417" i="6" a="1"/>
  <c r="L417" i="6" s="1"/>
  <c r="B417" i="6" a="1"/>
  <c r="B417" i="6" s="1"/>
  <c r="E416" i="6" a="1"/>
  <c r="E416" i="6" s="1"/>
  <c r="H415" i="6" a="1"/>
  <c r="H415" i="6" s="1"/>
  <c r="L414" i="6" a="1"/>
  <c r="L414" i="6" s="1"/>
  <c r="O413" i="6" a="1"/>
  <c r="O413" i="6" s="1"/>
  <c r="E413" i="6" a="1"/>
  <c r="E413" i="6" s="1"/>
  <c r="J412" i="6" a="1"/>
  <c r="J412" i="6" s="1"/>
  <c r="B412" i="6" a="1"/>
  <c r="B412" i="6" s="1"/>
  <c r="G411" i="6" a="1"/>
  <c r="G411" i="6" s="1"/>
  <c r="M410" i="6" a="1"/>
  <c r="M410" i="6" s="1"/>
  <c r="K409" i="6" a="1"/>
  <c r="K409" i="6" s="1"/>
  <c r="D409" i="6" a="1"/>
  <c r="D409" i="6" s="1"/>
  <c r="K408" i="6" a="1"/>
  <c r="K408" i="6" s="1"/>
  <c r="D408" i="6" a="1"/>
  <c r="D408" i="6" s="1"/>
  <c r="K407" i="6" a="1"/>
  <c r="K407" i="6" s="1"/>
  <c r="J406" i="6" a="1"/>
  <c r="J406" i="6" s="1"/>
  <c r="D406" i="6" a="1"/>
  <c r="D406" i="6" s="1"/>
  <c r="D405" i="6" a="1"/>
  <c r="D405" i="6" s="1"/>
  <c r="F404" i="6" a="1"/>
  <c r="F404" i="6" s="1"/>
  <c r="N403" i="6" a="1"/>
  <c r="N403" i="6" s="1"/>
  <c r="H403" i="6" a="1"/>
  <c r="H403" i="6" s="1"/>
  <c r="B403" i="6" a="1"/>
  <c r="B403" i="6" s="1"/>
  <c r="D402" i="6" a="1"/>
  <c r="D402" i="6" s="1"/>
  <c r="H401" i="6" a="1"/>
  <c r="H401" i="6" s="1"/>
  <c r="M400" i="6" a="1"/>
  <c r="M400" i="6" s="1"/>
  <c r="H400" i="6" a="1"/>
  <c r="H400" i="6" s="1"/>
  <c r="M399" i="6" a="1"/>
  <c r="M399" i="6" s="1"/>
  <c r="D399" i="6" a="1"/>
  <c r="D399" i="6" s="1"/>
  <c r="I398" i="6" a="1"/>
  <c r="I398" i="6" s="1"/>
  <c r="D398" i="6" a="1"/>
  <c r="D398" i="6" s="1"/>
  <c r="I397" i="6" a="1"/>
  <c r="I397" i="6" s="1"/>
  <c r="N396" i="6" a="1"/>
  <c r="N396" i="6" s="1"/>
  <c r="E396" i="6" a="1"/>
  <c r="E396" i="6" s="1"/>
  <c r="F425" i="6" a="1"/>
  <c r="F425" i="6" s="1"/>
  <c r="I424" i="6" a="1"/>
  <c r="I424" i="6" s="1"/>
  <c r="L423" i="6" a="1"/>
  <c r="L423" i="6" s="1"/>
  <c r="B423" i="6" a="1"/>
  <c r="B423" i="6" s="1"/>
  <c r="E422" i="6" a="1"/>
  <c r="E422" i="6" s="1"/>
  <c r="H421" i="6" a="1"/>
  <c r="H421" i="6" s="1"/>
  <c r="L420" i="6" a="1"/>
  <c r="L420" i="6" s="1"/>
  <c r="O419" i="6" a="1"/>
  <c r="O419" i="6" s="1"/>
  <c r="D419" i="6" a="1"/>
  <c r="D419" i="6" s="1"/>
  <c r="H418" i="6" a="1"/>
  <c r="H418" i="6" s="1"/>
  <c r="K417" i="6" a="1"/>
  <c r="K417" i="6" s="1"/>
  <c r="N416" i="6" a="1"/>
  <c r="N416" i="6" s="1"/>
  <c r="D416" i="6" a="1"/>
  <c r="D416" i="6" s="1"/>
  <c r="G415" i="6" a="1"/>
  <c r="G415" i="6" s="1"/>
  <c r="J414" i="6" a="1"/>
  <c r="J414" i="6" s="1"/>
  <c r="N413" i="6" a="1"/>
  <c r="N413" i="6" s="1"/>
  <c r="D413" i="6" a="1"/>
  <c r="D413" i="6" s="1"/>
  <c r="I412" i="6" a="1"/>
  <c r="I412" i="6" s="1"/>
  <c r="O411" i="6" a="1"/>
  <c r="O411" i="6" s="1"/>
  <c r="L410" i="6" a="1"/>
  <c r="L410" i="6" s="1"/>
  <c r="D410" i="6" a="1"/>
  <c r="D410" i="6" s="1"/>
  <c r="C409" i="6" a="1"/>
  <c r="C409" i="6" s="1"/>
  <c r="J408" i="6" a="1"/>
  <c r="J408" i="6" s="1"/>
  <c r="C408" i="6" a="1"/>
  <c r="C408" i="6" s="1"/>
  <c r="J407" i="6" a="1"/>
  <c r="J407" i="6" s="1"/>
  <c r="C407" i="6" a="1"/>
  <c r="C407" i="6" s="1"/>
  <c r="B406" i="6" a="1"/>
  <c r="B406" i="6" s="1"/>
  <c r="J405" i="6" a="1"/>
  <c r="J405" i="6" s="1"/>
  <c r="K404" i="6" a="1"/>
  <c r="K404" i="6" s="1"/>
  <c r="M403" i="6" a="1"/>
  <c r="M403" i="6" s="1"/>
  <c r="G403" i="6" a="1"/>
  <c r="G403" i="6" s="1"/>
  <c r="O402" i="6" a="1"/>
  <c r="O402" i="6" s="1"/>
  <c r="I402" i="6" a="1"/>
  <c r="I402" i="6" s="1"/>
  <c r="C402" i="6" a="1"/>
  <c r="C402" i="6" s="1"/>
  <c r="L401" i="6" a="1"/>
  <c r="L401" i="6" s="1"/>
  <c r="C401" i="6" a="1"/>
  <c r="C401" i="6" s="1"/>
  <c r="L400" i="6" a="1"/>
  <c r="L400" i="6" s="1"/>
  <c r="C400" i="6" a="1"/>
  <c r="C400" i="6" s="1"/>
  <c r="H399" i="6" a="1"/>
  <c r="H399" i="6" s="1"/>
  <c r="M398" i="6" a="1"/>
  <c r="M398" i="6" s="1"/>
  <c r="H398" i="6" a="1"/>
  <c r="H398" i="6" s="1"/>
  <c r="M397" i="6" a="1"/>
  <c r="M397" i="6" s="1"/>
  <c r="D397" i="6" a="1"/>
  <c r="D397" i="6" s="1"/>
  <c r="I396" i="6" a="1"/>
  <c r="I396" i="6" s="1"/>
  <c r="D396" i="6" a="1"/>
  <c r="D396" i="6" s="1"/>
  <c r="N395" i="6" a="1"/>
  <c r="N395" i="6" s="1"/>
  <c r="J395" i="6" a="1"/>
  <c r="J395" i="6" s="1"/>
  <c r="F395" i="6" a="1"/>
  <c r="F395" i="6" s="1"/>
  <c r="B395" i="6" a="1"/>
  <c r="B395" i="6" s="1"/>
  <c r="L394" i="6" a="1"/>
  <c r="L394" i="6" s="1"/>
  <c r="H394" i="6" a="1"/>
  <c r="H394" i="6" s="1"/>
  <c r="C425" i="6" a="1"/>
  <c r="C425" i="6" s="1"/>
  <c r="F424" i="6" a="1"/>
  <c r="F424" i="6" s="1"/>
  <c r="J423" i="6" a="1"/>
  <c r="J423" i="6" s="1"/>
  <c r="M422" i="6" a="1"/>
  <c r="M422" i="6" s="1"/>
  <c r="B422" i="6" a="1"/>
  <c r="B422" i="6" s="1"/>
  <c r="F421" i="6" a="1"/>
  <c r="F421" i="6" s="1"/>
  <c r="I420" i="6" a="1"/>
  <c r="I420" i="6" s="1"/>
  <c r="L419" i="6" a="1"/>
  <c r="L419" i="6" s="1"/>
  <c r="B419" i="6" a="1"/>
  <c r="B419" i="6" s="1"/>
  <c r="E418" i="6" a="1"/>
  <c r="E418" i="6" s="1"/>
  <c r="H417" i="6" a="1"/>
  <c r="H417" i="6" s="1"/>
  <c r="L416" i="6" a="1"/>
  <c r="L416" i="6" s="1"/>
  <c r="O415" i="6" a="1"/>
  <c r="O415" i="6" s="1"/>
  <c r="D415" i="6" a="1"/>
  <c r="D415" i="6" s="1"/>
  <c r="H414" i="6" a="1"/>
  <c r="H414" i="6" s="1"/>
  <c r="K413" i="6" a="1"/>
  <c r="K413" i="6" s="1"/>
  <c r="C413" i="6" a="1"/>
  <c r="C413" i="6" s="1"/>
  <c r="N411" i="6" a="1"/>
  <c r="N411" i="6" s="1"/>
  <c r="F411" i="6" a="1"/>
  <c r="F411" i="6" s="1"/>
  <c r="J410" i="6" a="1"/>
  <c r="J410" i="6" s="1"/>
  <c r="B410" i="6" a="1"/>
  <c r="B410" i="6" s="1"/>
  <c r="J409" i="6" a="1"/>
  <c r="J409" i="6" s="1"/>
  <c r="I408" i="6" a="1"/>
  <c r="I408" i="6" s="1"/>
  <c r="B408" i="6" a="1"/>
  <c r="B408" i="6" s="1"/>
  <c r="I407" i="6" a="1"/>
  <c r="I407" i="6" s="1"/>
  <c r="B407" i="6" a="1"/>
  <c r="B407" i="6" s="1"/>
  <c r="I406" i="6" a="1"/>
  <c r="I406" i="6" s="1"/>
  <c r="C405" i="6" a="1"/>
  <c r="C405" i="6" s="1"/>
  <c r="N402" i="6" a="1"/>
  <c r="N402" i="6" s="1"/>
  <c r="G401" i="6" a="1"/>
  <c r="G401" i="6" s="1"/>
  <c r="B401" i="6" a="1"/>
  <c r="B401" i="6" s="1"/>
  <c r="G400" i="6" a="1"/>
  <c r="G400" i="6" s="1"/>
  <c r="L399" i="6" a="1"/>
  <c r="L399" i="6" s="1"/>
  <c r="C399" i="6" a="1"/>
  <c r="C399" i="6" s="1"/>
  <c r="L398" i="6" a="1"/>
  <c r="L398" i="6" s="1"/>
  <c r="C398" i="6" a="1"/>
  <c r="C398" i="6" s="1"/>
  <c r="H397" i="6" a="1"/>
  <c r="H397" i="6" s="1"/>
  <c r="M396" i="6" a="1"/>
  <c r="M396" i="6" s="1"/>
  <c r="H396" i="6" a="1"/>
  <c r="H396" i="6" s="1"/>
  <c r="I423" i="6" a="1"/>
  <c r="I423" i="6" s="1"/>
  <c r="E421" i="6" a="1"/>
  <c r="E421" i="6" s="1"/>
  <c r="O418" i="6" a="1"/>
  <c r="O418" i="6" s="1"/>
  <c r="K416" i="6" a="1"/>
  <c r="K416" i="6" s="1"/>
  <c r="G414" i="6" a="1"/>
  <c r="G414" i="6" s="1"/>
  <c r="B413" i="6" a="1"/>
  <c r="B413" i="6" s="1"/>
  <c r="H412" i="6" a="1"/>
  <c r="H412" i="6" s="1"/>
  <c r="L411" i="6" a="1"/>
  <c r="L411" i="6" s="1"/>
  <c r="D411" i="6" a="1"/>
  <c r="D411" i="6" s="1"/>
  <c r="H409" i="6" a="1"/>
  <c r="H409" i="6" s="1"/>
  <c r="B409" i="6" a="1"/>
  <c r="B409" i="6" s="1"/>
  <c r="O407" i="6" a="1"/>
  <c r="O407" i="6" s="1"/>
  <c r="H407" i="6" a="1"/>
  <c r="H407" i="6" s="1"/>
  <c r="O406" i="6" a="1"/>
  <c r="O406" i="6" s="1"/>
  <c r="H406" i="6" a="1"/>
  <c r="H406" i="6" s="1"/>
  <c r="O405" i="6" a="1"/>
  <c r="O405" i="6" s="1"/>
  <c r="H405" i="6" a="1"/>
  <c r="H405" i="6" s="1"/>
  <c r="B405" i="6" a="1"/>
  <c r="B405" i="6" s="1"/>
  <c r="J404" i="6" a="1"/>
  <c r="J404" i="6" s="1"/>
  <c r="D404" i="6" a="1"/>
  <c r="D404" i="6" s="1"/>
  <c r="F403" i="6" a="1"/>
  <c r="F403" i="6" s="1"/>
  <c r="G402" i="6" a="1"/>
  <c r="G402" i="6" s="1"/>
  <c r="B402" i="6" a="1"/>
  <c r="B402" i="6" s="1"/>
  <c r="K401" i="6" a="1"/>
  <c r="K401" i="6" s="1"/>
  <c r="F401" i="6" a="1"/>
  <c r="F401" i="6" s="1"/>
  <c r="K400" i="6" a="1"/>
  <c r="K400" i="6" s="1"/>
  <c r="B400" i="6" a="1"/>
  <c r="B400" i="6" s="1"/>
  <c r="G399" i="6" a="1"/>
  <c r="G399" i="6" s="1"/>
  <c r="B399" i="6" a="1"/>
  <c r="B399" i="6" s="1"/>
  <c r="G398" i="6" a="1"/>
  <c r="G398" i="6" s="1"/>
  <c r="L397" i="6" a="1"/>
  <c r="L397" i="6" s="1"/>
  <c r="C397" i="6" a="1"/>
  <c r="C397" i="6" s="1"/>
  <c r="L396" i="6" a="1"/>
  <c r="L396" i="6" s="1"/>
  <c r="C396" i="6" a="1"/>
  <c r="C396" i="6" s="1"/>
  <c r="M395" i="6" a="1"/>
  <c r="M395" i="6" s="1"/>
  <c r="I395" i="6" a="1"/>
  <c r="I395" i="6" s="1"/>
  <c r="E395" i="6" a="1"/>
  <c r="E395" i="6" s="1"/>
  <c r="O394" i="6" a="1"/>
  <c r="O394" i="6" s="1"/>
  <c r="K394" i="6" a="1"/>
  <c r="K394" i="6" s="1"/>
  <c r="G394" i="6" a="1"/>
  <c r="G394" i="6" s="1"/>
  <c r="C394" i="6" a="1"/>
  <c r="C394" i="6" s="1"/>
  <c r="M393" i="6" a="1"/>
  <c r="M393" i="6" s="1"/>
  <c r="I393" i="6" a="1"/>
  <c r="I393" i="6" s="1"/>
  <c r="E393" i="6" a="1"/>
  <c r="E393" i="6" s="1"/>
  <c r="O392" i="6" a="1"/>
  <c r="O392" i="6" s="1"/>
  <c r="K392" i="6" a="1"/>
  <c r="K392" i="6" s="1"/>
  <c r="G392" i="6" a="1"/>
  <c r="G392" i="6" s="1"/>
  <c r="B425" i="6" a="1"/>
  <c r="B425" i="6" s="1"/>
  <c r="E424" i="6" a="1"/>
  <c r="E424" i="6" s="1"/>
  <c r="H423" i="6" a="1"/>
  <c r="H423" i="6" s="1"/>
  <c r="L422" i="6" a="1"/>
  <c r="L422" i="6" s="1"/>
  <c r="O421" i="6" a="1"/>
  <c r="O421" i="6" s="1"/>
  <c r="D421" i="6" a="1"/>
  <c r="D421" i="6" s="1"/>
  <c r="H420" i="6" a="1"/>
  <c r="H420" i="6" s="1"/>
  <c r="K419" i="6" a="1"/>
  <c r="K419" i="6" s="1"/>
  <c r="N418" i="6" a="1"/>
  <c r="N418" i="6" s="1"/>
  <c r="D418" i="6" a="1"/>
  <c r="D418" i="6" s="1"/>
  <c r="G417" i="6" a="1"/>
  <c r="G417" i="6" s="1"/>
  <c r="J416" i="6" a="1"/>
  <c r="J416" i="6" s="1"/>
  <c r="N415" i="6" a="1"/>
  <c r="N415" i="6" s="1"/>
  <c r="C415" i="6" a="1"/>
  <c r="C415" i="6" s="1"/>
  <c r="F414" i="6" a="1"/>
  <c r="F414" i="6" s="1"/>
  <c r="J413" i="6" a="1"/>
  <c r="J413" i="6" s="1"/>
  <c r="N412" i="6" a="1"/>
  <c r="N412" i="6" s="1"/>
  <c r="F412" i="6" a="1"/>
  <c r="F412" i="6" s="1"/>
  <c r="C411" i="6" a="1"/>
  <c r="C411" i="6" s="1"/>
  <c r="I410" i="6" a="1"/>
  <c r="I410" i="6" s="1"/>
  <c r="O409" i="6" a="1"/>
  <c r="O409" i="6" s="1"/>
  <c r="N408" i="6" a="1"/>
  <c r="N408" i="6" s="1"/>
  <c r="H408" i="6" a="1"/>
  <c r="H408" i="6" s="1"/>
  <c r="G407" i="6" a="1"/>
  <c r="G407" i="6" s="1"/>
  <c r="N406" i="6" a="1"/>
  <c r="N406" i="6" s="1"/>
  <c r="G406" i="6" a="1"/>
  <c r="G406" i="6" s="1"/>
  <c r="N405" i="6" a="1"/>
  <c r="N405" i="6" s="1"/>
  <c r="O404" i="6" a="1"/>
  <c r="O404" i="6" s="1"/>
  <c r="I404" i="6" a="1"/>
  <c r="I404" i="6" s="1"/>
  <c r="C404" i="6" a="1"/>
  <c r="C404" i="6" s="1"/>
  <c r="K403" i="6" a="1"/>
  <c r="K403" i="6" s="1"/>
  <c r="M402" i="6" a="1"/>
  <c r="M402" i="6" s="1"/>
  <c r="J401" i="6" a="1"/>
  <c r="J401" i="6" s="1"/>
  <c r="O400" i="6" a="1"/>
  <c r="O400" i="6" s="1"/>
  <c r="F400" i="6" a="1"/>
  <c r="F400" i="6" s="1"/>
  <c r="K399" i="6" a="1"/>
  <c r="K399" i="6" s="1"/>
  <c r="F399" i="6" a="1"/>
  <c r="F399" i="6" s="1"/>
  <c r="K398" i="6" a="1"/>
  <c r="K398" i="6" s="1"/>
  <c r="B398" i="6" a="1"/>
  <c r="B398" i="6" s="1"/>
  <c r="G397" i="6" a="1"/>
  <c r="G397" i="6" s="1"/>
  <c r="B397" i="6" a="1"/>
  <c r="B397" i="6" s="1"/>
  <c r="G396" i="6" a="1"/>
  <c r="G396" i="6" s="1"/>
  <c r="N424" i="6" a="1"/>
  <c r="N424" i="6" s="1"/>
  <c r="D424" i="6" a="1"/>
  <c r="D424" i="6" s="1"/>
  <c r="G423" i="6" a="1"/>
  <c r="G423" i="6" s="1"/>
  <c r="J422" i="6" a="1"/>
  <c r="J422" i="6" s="1"/>
  <c r="N421" i="6" a="1"/>
  <c r="N421" i="6" s="1"/>
  <c r="C421" i="6" a="1"/>
  <c r="C421" i="6" s="1"/>
  <c r="F420" i="6" a="1"/>
  <c r="F420" i="6" s="1"/>
  <c r="J419" i="6" a="1"/>
  <c r="J419" i="6" s="1"/>
  <c r="M418" i="6" a="1"/>
  <c r="M418" i="6" s="1"/>
  <c r="B418" i="6" a="1"/>
  <c r="B418" i="6" s="1"/>
  <c r="F417" i="6" a="1"/>
  <c r="F417" i="6" s="1"/>
  <c r="I416" i="6" a="1"/>
  <c r="I416" i="6" s="1"/>
  <c r="L415" i="6" a="1"/>
  <c r="L415" i="6" s="1"/>
  <c r="B415" i="6" a="1"/>
  <c r="B415" i="6" s="1"/>
  <c r="E414" i="6" a="1"/>
  <c r="E414" i="6" s="1"/>
  <c r="H413" i="6" a="1"/>
  <c r="H413" i="6" s="1"/>
  <c r="E412" i="6" a="1"/>
  <c r="E412" i="6" s="1"/>
  <c r="K411" i="6" a="1"/>
  <c r="K411" i="6" s="1"/>
  <c r="B411" i="6" a="1"/>
  <c r="B411" i="6" s="1"/>
  <c r="H410" i="6" a="1"/>
  <c r="H410" i="6" s="1"/>
  <c r="N409" i="6" a="1"/>
  <c r="N409" i="6" s="1"/>
  <c r="G409" i="6" a="1"/>
  <c r="G409" i="6" s="1"/>
  <c r="F408" i="6" a="1"/>
  <c r="F408" i="6" s="1"/>
  <c r="N407" i="6" a="1"/>
  <c r="N407" i="6" s="1"/>
  <c r="M406" i="6" a="1"/>
  <c r="M406" i="6" s="1"/>
  <c r="F406" i="6" a="1"/>
  <c r="F406" i="6" s="1"/>
  <c r="M405" i="6" a="1"/>
  <c r="M405" i="6" s="1"/>
  <c r="B404" i="6" a="1"/>
  <c r="B404" i="6" s="1"/>
  <c r="D403" i="6" a="1"/>
  <c r="D403" i="6" s="1"/>
  <c r="L402" i="6" a="1"/>
  <c r="L402" i="6" s="1"/>
  <c r="F402" i="6" a="1"/>
  <c r="F402" i="6" s="1"/>
  <c r="E401" i="6" a="1"/>
  <c r="E401" i="6" s="1"/>
  <c r="J400" i="6" a="1"/>
  <c r="J400" i="6" s="1"/>
  <c r="O399" i="6" a="1"/>
  <c r="O399" i="6" s="1"/>
  <c r="J399" i="6" a="1"/>
  <c r="J399" i="6" s="1"/>
  <c r="O398" i="6" a="1"/>
  <c r="O398" i="6" s="1"/>
  <c r="F398" i="6" a="1"/>
  <c r="F398" i="6" s="1"/>
  <c r="K397" i="6" a="1"/>
  <c r="K397" i="6" s="1"/>
  <c r="F397" i="6" a="1"/>
  <c r="F397" i="6" s="1"/>
  <c r="K396" i="6" a="1"/>
  <c r="K396" i="6" s="1"/>
  <c r="B396" i="6" a="1"/>
  <c r="B396" i="6" s="1"/>
  <c r="L395" i="6" a="1"/>
  <c r="L395" i="6" s="1"/>
  <c r="H395" i="6" a="1"/>
  <c r="H395" i="6" s="1"/>
  <c r="D395" i="6" a="1"/>
  <c r="D395" i="6" s="1"/>
  <c r="N394" i="6" a="1"/>
  <c r="N394" i="6" s="1"/>
  <c r="J394" i="6" a="1"/>
  <c r="J394" i="6" s="1"/>
  <c r="F394" i="6" a="1"/>
  <c r="F394" i="6" s="1"/>
  <c r="B394" i="6" a="1"/>
  <c r="B394" i="6" s="1"/>
  <c r="L393" i="6" a="1"/>
  <c r="L393" i="6" s="1"/>
  <c r="H393" i="6" a="1"/>
  <c r="H393" i="6" s="1"/>
  <c r="D393" i="6" a="1"/>
  <c r="D393" i="6" s="1"/>
  <c r="L424" i="6" a="1"/>
  <c r="L424" i="6" s="1"/>
  <c r="J418" i="6" a="1"/>
  <c r="J418" i="6" s="1"/>
  <c r="M412" i="6" a="1"/>
  <c r="M412" i="6" s="1"/>
  <c r="H404" i="6" a="1"/>
  <c r="H404" i="6" s="1"/>
  <c r="J398" i="6" a="1"/>
  <c r="J398" i="6" s="1"/>
  <c r="N392" i="6" a="1"/>
  <c r="N392" i="6" s="1"/>
  <c r="D392" i="6" a="1"/>
  <c r="D392" i="6" s="1"/>
  <c r="L391" i="6" a="1"/>
  <c r="L391" i="6" s="1"/>
  <c r="E391" i="6" a="1"/>
  <c r="E391" i="6" s="1"/>
  <c r="N390" i="6" a="1"/>
  <c r="N390" i="6" s="1"/>
  <c r="I390" i="6" a="1"/>
  <c r="I390" i="6" s="1"/>
  <c r="C390" i="6" a="1"/>
  <c r="C390" i="6" s="1"/>
  <c r="L389" i="6" a="1"/>
  <c r="L389" i="6" s="1"/>
  <c r="G389" i="6" a="1"/>
  <c r="G389" i="6" s="1"/>
  <c r="O388" i="6" a="1"/>
  <c r="O388" i="6" s="1"/>
  <c r="J388" i="6" a="1"/>
  <c r="J388" i="6" s="1"/>
  <c r="E388" i="6" a="1"/>
  <c r="E388" i="6" s="1"/>
  <c r="N387" i="6" a="1"/>
  <c r="N387" i="6" s="1"/>
  <c r="I387" i="6" a="1"/>
  <c r="I387" i="6" s="1"/>
  <c r="N386" i="6" a="1"/>
  <c r="N386" i="6" s="1"/>
  <c r="E386" i="6" a="1"/>
  <c r="E386" i="6" s="1"/>
  <c r="J385" i="6" a="1"/>
  <c r="J385" i="6" s="1"/>
  <c r="E385" i="6" a="1"/>
  <c r="E385" i="6" s="1"/>
  <c r="J384" i="6" a="1"/>
  <c r="J384" i="6" s="1"/>
  <c r="O423" i="6" a="1"/>
  <c r="O423" i="6" s="1"/>
  <c r="N417" i="6" a="1"/>
  <c r="N417" i="6" s="1"/>
  <c r="D412" i="6" a="1"/>
  <c r="D412" i="6" s="1"/>
  <c r="L407" i="6" a="1"/>
  <c r="L407" i="6" s="1"/>
  <c r="N400" i="6" a="1"/>
  <c r="N400" i="6" s="1"/>
  <c r="N393" i="6" a="1"/>
  <c r="N393" i="6" s="1"/>
  <c r="C392" i="6" a="1"/>
  <c r="C392" i="6" s="1"/>
  <c r="H390" i="6" a="1"/>
  <c r="H390" i="6" s="1"/>
  <c r="F389" i="6" a="1"/>
  <c r="F389" i="6" s="1"/>
  <c r="D388" i="6" a="1"/>
  <c r="D388" i="6" s="1"/>
  <c r="M387" i="6" a="1"/>
  <c r="M387" i="6" s="1"/>
  <c r="D387" i="6" a="1"/>
  <c r="D387" i="6" s="1"/>
  <c r="I386" i="6" a="1"/>
  <c r="I386" i="6" s="1"/>
  <c r="N385" i="6" a="1"/>
  <c r="N385" i="6" s="1"/>
  <c r="I385" i="6" a="1"/>
  <c r="I385" i="6" s="1"/>
  <c r="N384" i="6" a="1"/>
  <c r="N384" i="6" s="1"/>
  <c r="E384" i="6" a="1"/>
  <c r="E384" i="6" s="1"/>
  <c r="J383" i="6" a="1"/>
  <c r="J383" i="6" s="1"/>
  <c r="E383" i="6" a="1"/>
  <c r="E383" i="6" s="1"/>
  <c r="J382" i="6" a="1"/>
  <c r="J382" i="6" s="1"/>
  <c r="O381" i="6" a="1"/>
  <c r="O381" i="6" s="1"/>
  <c r="F381" i="6" a="1"/>
  <c r="F381" i="6" s="1"/>
  <c r="O380" i="6" a="1"/>
  <c r="O380" i="6" s="1"/>
  <c r="F380" i="6" a="1"/>
  <c r="F380" i="6" s="1"/>
  <c r="K379" i="6" a="1"/>
  <c r="K379" i="6" s="1"/>
  <c r="B379" i="6" a="1"/>
  <c r="B379" i="6" s="1"/>
  <c r="L378" i="6" a="1"/>
  <c r="L378" i="6" s="1"/>
  <c r="H378" i="6" a="1"/>
  <c r="H378" i="6" s="1"/>
  <c r="D378" i="6" a="1"/>
  <c r="D378" i="6" s="1"/>
  <c r="N377" i="6" a="1"/>
  <c r="N377" i="6" s="1"/>
  <c r="J377" i="6" a="1"/>
  <c r="J377" i="6" s="1"/>
  <c r="F377" i="6" a="1"/>
  <c r="F377" i="6" s="1"/>
  <c r="B377" i="6" a="1"/>
  <c r="B377" i="6" s="1"/>
  <c r="L376" i="6" a="1"/>
  <c r="L376" i="6" s="1"/>
  <c r="H376" i="6" a="1"/>
  <c r="H376" i="6" s="1"/>
  <c r="D376" i="6" a="1"/>
  <c r="D376" i="6" s="1"/>
  <c r="D423" i="6" a="1"/>
  <c r="D423" i="6" s="1"/>
  <c r="C417" i="6" a="1"/>
  <c r="C417" i="6" s="1"/>
  <c r="J411" i="6" a="1"/>
  <c r="J411" i="6" s="1"/>
  <c r="F407" i="6" a="1"/>
  <c r="F407" i="6" s="1"/>
  <c r="I403" i="6" a="1"/>
  <c r="I403" i="6" s="1"/>
  <c r="O397" i="6" a="1"/>
  <c r="O397" i="6" s="1"/>
  <c r="L392" i="6" a="1"/>
  <c r="L392" i="6" s="1"/>
  <c r="J391" i="6" a="1"/>
  <c r="J391" i="6" s="1"/>
  <c r="D391" i="6" a="1"/>
  <c r="D391" i="6" s="1"/>
  <c r="M390" i="6" a="1"/>
  <c r="M390" i="6" s="1"/>
  <c r="G390" i="6" a="1"/>
  <c r="G390" i="6" s="1"/>
  <c r="B390" i="6" a="1"/>
  <c r="B390" i="6" s="1"/>
  <c r="K389" i="6" a="1"/>
  <c r="K389" i="6" s="1"/>
  <c r="E389" i="6" a="1"/>
  <c r="E389" i="6" s="1"/>
  <c r="N388" i="6" a="1"/>
  <c r="N388" i="6" s="1"/>
  <c r="I388" i="6" a="1"/>
  <c r="I388" i="6" s="1"/>
  <c r="C388" i="6" a="1"/>
  <c r="C388" i="6" s="1"/>
  <c r="H387" i="6" a="1"/>
  <c r="H387" i="6" s="1"/>
  <c r="M386" i="6" a="1"/>
  <c r="M386" i="6" s="1"/>
  <c r="D386" i="6" a="1"/>
  <c r="D386" i="6" s="1"/>
  <c r="M385" i="6" a="1"/>
  <c r="M385" i="6" s="1"/>
  <c r="D385" i="6" a="1"/>
  <c r="D385" i="6" s="1"/>
  <c r="I384" i="6" a="1"/>
  <c r="I384" i="6" s="1"/>
  <c r="N383" i="6" a="1"/>
  <c r="N383" i="6" s="1"/>
  <c r="I383" i="6" a="1"/>
  <c r="I383" i="6" s="1"/>
  <c r="N382" i="6" a="1"/>
  <c r="N382" i="6" s="1"/>
  <c r="E382" i="6" a="1"/>
  <c r="E382" i="6" s="1"/>
  <c r="J381" i="6" a="1"/>
  <c r="J381" i="6" s="1"/>
  <c r="E381" i="6" a="1"/>
  <c r="E381" i="6" s="1"/>
  <c r="J380" i="6" a="1"/>
  <c r="J380" i="6" s="1"/>
  <c r="O379" i="6" a="1"/>
  <c r="O379" i="6" s="1"/>
  <c r="F379" i="6" a="1"/>
  <c r="F379" i="6" s="1"/>
  <c r="H422" i="6" a="1"/>
  <c r="H422" i="6" s="1"/>
  <c r="F416" i="6" a="1"/>
  <c r="F416" i="6" s="1"/>
  <c r="O410" i="6" a="1"/>
  <c r="O410" i="6" s="1"/>
  <c r="E400" i="6" a="1"/>
  <c r="E400" i="6" s="1"/>
  <c r="J397" i="6" a="1"/>
  <c r="J397" i="6" s="1"/>
  <c r="J393" i="6" a="1"/>
  <c r="J393" i="6" s="1"/>
  <c r="J392" i="6" a="1"/>
  <c r="J392" i="6" s="1"/>
  <c r="B392" i="6" a="1"/>
  <c r="B392" i="6" s="1"/>
  <c r="I391" i="6" a="1"/>
  <c r="I391" i="6" s="1"/>
  <c r="L390" i="6" a="1"/>
  <c r="L390" i="6" s="1"/>
  <c r="J389" i="6" a="1"/>
  <c r="J389" i="6" s="1"/>
  <c r="H388" i="6" a="1"/>
  <c r="H388" i="6" s="1"/>
  <c r="L387" i="6" a="1"/>
  <c r="L387" i="6" s="1"/>
  <c r="C387" i="6" a="1"/>
  <c r="C387" i="6" s="1"/>
  <c r="H386" i="6" a="1"/>
  <c r="H386" i="6" s="1"/>
  <c r="C386" i="6" a="1"/>
  <c r="C386" i="6" s="1"/>
  <c r="H385" i="6" a="1"/>
  <c r="H385" i="6" s="1"/>
  <c r="M384" i="6" a="1"/>
  <c r="M384" i="6" s="1"/>
  <c r="D384" i="6" a="1"/>
  <c r="D384" i="6" s="1"/>
  <c r="M383" i="6" a="1"/>
  <c r="M383" i="6" s="1"/>
  <c r="D383" i="6" a="1"/>
  <c r="D383" i="6" s="1"/>
  <c r="I382" i="6" a="1"/>
  <c r="I382" i="6" s="1"/>
  <c r="N381" i="6" a="1"/>
  <c r="N381" i="6" s="1"/>
  <c r="I381" i="6" a="1"/>
  <c r="I381" i="6" s="1"/>
  <c r="N380" i="6" a="1"/>
  <c r="N380" i="6" s="1"/>
  <c r="E380" i="6" a="1"/>
  <c r="E380" i="6" s="1"/>
  <c r="J379" i="6" a="1"/>
  <c r="J379" i="6" s="1"/>
  <c r="E379" i="6" a="1"/>
  <c r="E379" i="6" s="1"/>
  <c r="O378" i="6" a="1"/>
  <c r="O378" i="6" s="1"/>
  <c r="K378" i="6" a="1"/>
  <c r="K378" i="6" s="1"/>
  <c r="G378" i="6" a="1"/>
  <c r="G378" i="6" s="1"/>
  <c r="C378" i="6" a="1"/>
  <c r="C378" i="6" s="1"/>
  <c r="M377" i="6" a="1"/>
  <c r="M377" i="6" s="1"/>
  <c r="I377" i="6" a="1"/>
  <c r="I377" i="6" s="1"/>
  <c r="E377" i="6" a="1"/>
  <c r="E377" i="6" s="1"/>
  <c r="O376" i="6" a="1"/>
  <c r="O376" i="6" s="1"/>
  <c r="K376" i="6" a="1"/>
  <c r="K376" i="6" s="1"/>
  <c r="G376" i="6" a="1"/>
  <c r="G376" i="6" s="1"/>
  <c r="K421" i="6" a="1"/>
  <c r="K421" i="6" s="1"/>
  <c r="J415" i="6" a="1"/>
  <c r="J415" i="6" s="1"/>
  <c r="F410" i="6" a="1"/>
  <c r="F410" i="6" s="1"/>
  <c r="E406" i="6" a="1"/>
  <c r="E406" i="6" s="1"/>
  <c r="K402" i="6" a="1"/>
  <c r="K402" i="6" s="1"/>
  <c r="N399" i="6" a="1"/>
  <c r="N399" i="6" s="1"/>
  <c r="C391" i="6" a="1"/>
  <c r="C391" i="6" s="1"/>
  <c r="K390" i="6" a="1"/>
  <c r="K390" i="6" s="1"/>
  <c r="F390" i="6" a="1"/>
  <c r="F390" i="6" s="1"/>
  <c r="O389" i="6" a="1"/>
  <c r="O389" i="6" s="1"/>
  <c r="I389" i="6" a="1"/>
  <c r="I389" i="6" s="1"/>
  <c r="D389" i="6" a="1"/>
  <c r="D389" i="6" s="1"/>
  <c r="M388" i="6" a="1"/>
  <c r="M388" i="6" s="1"/>
  <c r="G388" i="6" a="1"/>
  <c r="G388" i="6" s="1"/>
  <c r="B388" i="6" a="1"/>
  <c r="B388" i="6" s="1"/>
  <c r="G387" i="6" a="1"/>
  <c r="G387" i="6" s="1"/>
  <c r="L386" i="6" a="1"/>
  <c r="L386" i="6" s="1"/>
  <c r="G386" i="6" a="1"/>
  <c r="G386" i="6" s="1"/>
  <c r="L385" i="6" a="1"/>
  <c r="L385" i="6" s="1"/>
  <c r="C385" i="6" a="1"/>
  <c r="C385" i="6" s="1"/>
  <c r="H384" i="6" a="1"/>
  <c r="H384" i="6" s="1"/>
  <c r="C384" i="6" a="1"/>
  <c r="C384" i="6" s="1"/>
  <c r="H383" i="6" a="1"/>
  <c r="H383" i="6" s="1"/>
  <c r="M382" i="6" a="1"/>
  <c r="M382" i="6" s="1"/>
  <c r="D382" i="6" a="1"/>
  <c r="D382" i="6" s="1"/>
  <c r="M381" i="6" a="1"/>
  <c r="M381" i="6" s="1"/>
  <c r="D381" i="6" a="1"/>
  <c r="D381" i="6" s="1"/>
  <c r="I380" i="6" a="1"/>
  <c r="I380" i="6" s="1"/>
  <c r="N379" i="6" a="1"/>
  <c r="N379" i="6" s="1"/>
  <c r="I379" i="6" a="1"/>
  <c r="I379" i="6" s="1"/>
  <c r="N420" i="6" a="1"/>
  <c r="N420" i="6" s="1"/>
  <c r="M414" i="6" a="1"/>
  <c r="M414" i="6" s="1"/>
  <c r="M409" i="6" a="1"/>
  <c r="M409" i="6" s="1"/>
  <c r="L405" i="6" a="1"/>
  <c r="L405" i="6" s="1"/>
  <c r="E402" i="6" a="1"/>
  <c r="E402" i="6" s="1"/>
  <c r="O396" i="6" a="1"/>
  <c r="O396" i="6" s="1"/>
  <c r="F393" i="6" a="1"/>
  <c r="F393" i="6" s="1"/>
  <c r="H392" i="6" a="1"/>
  <c r="H392" i="6" s="1"/>
  <c r="N391" i="6" a="1"/>
  <c r="N391" i="6" s="1"/>
  <c r="H391" i="6" a="1"/>
  <c r="H391" i="6" s="1"/>
  <c r="B391" i="6" a="1"/>
  <c r="B391" i="6" s="1"/>
  <c r="N389" i="6" a="1"/>
  <c r="N389" i="6" s="1"/>
  <c r="L388" i="6" a="1"/>
  <c r="L388" i="6" s="1"/>
  <c r="K387" i="6" a="1"/>
  <c r="K387" i="6" s="1"/>
  <c r="B387" i="6" a="1"/>
  <c r="B387" i="6" s="1"/>
  <c r="K386" i="6" a="1"/>
  <c r="K386" i="6" s="1"/>
  <c r="B386" i="6" a="1"/>
  <c r="B386" i="6" s="1"/>
  <c r="G385" i="6" a="1"/>
  <c r="G385" i="6" s="1"/>
  <c r="L384" i="6" a="1"/>
  <c r="L384" i="6" s="1"/>
  <c r="G384" i="6" a="1"/>
  <c r="G384" i="6" s="1"/>
  <c r="L383" i="6" a="1"/>
  <c r="L383" i="6" s="1"/>
  <c r="C383" i="6" a="1"/>
  <c r="C383" i="6" s="1"/>
  <c r="H382" i="6" a="1"/>
  <c r="H382" i="6" s="1"/>
  <c r="C382" i="6" a="1"/>
  <c r="C382" i="6" s="1"/>
  <c r="H381" i="6" a="1"/>
  <c r="H381" i="6" s="1"/>
  <c r="M380" i="6" a="1"/>
  <c r="M380" i="6" s="1"/>
  <c r="D380" i="6" a="1"/>
  <c r="D380" i="6" s="1"/>
  <c r="M379" i="6" a="1"/>
  <c r="M379" i="6" s="1"/>
  <c r="D379" i="6" a="1"/>
  <c r="D379" i="6" s="1"/>
  <c r="N378" i="6" a="1"/>
  <c r="N378" i="6" s="1"/>
  <c r="J378" i="6" a="1"/>
  <c r="J378" i="6" s="1"/>
  <c r="F378" i="6" a="1"/>
  <c r="F378" i="6" s="1"/>
  <c r="B378" i="6" a="1"/>
  <c r="B378" i="6" s="1"/>
  <c r="L377" i="6" a="1"/>
  <c r="L377" i="6" s="1"/>
  <c r="D420" i="6" a="1"/>
  <c r="D420" i="6" s="1"/>
  <c r="B414" i="6" a="1"/>
  <c r="B414" i="6" s="1"/>
  <c r="F409" i="6" a="1"/>
  <c r="F409" i="6" s="1"/>
  <c r="F405" i="6" a="1"/>
  <c r="F405" i="6" s="1"/>
  <c r="N401" i="6" a="1"/>
  <c r="N401" i="6" s="1"/>
  <c r="E399" i="6" a="1"/>
  <c r="E399" i="6" s="1"/>
  <c r="F392" i="6" a="1"/>
  <c r="F392" i="6" s="1"/>
  <c r="M391" i="6" a="1"/>
  <c r="M391" i="6" s="1"/>
  <c r="O390" i="6" a="1"/>
  <c r="O390" i="6" s="1"/>
  <c r="J390" i="6" a="1"/>
  <c r="J390" i="6" s="1"/>
  <c r="E390" i="6" a="1"/>
  <c r="E390" i="6" s="1"/>
  <c r="M389" i="6" a="1"/>
  <c r="M389" i="6" s="1"/>
  <c r="H389" i="6" a="1"/>
  <c r="H389" i="6" s="1"/>
  <c r="C389" i="6" a="1"/>
  <c r="C389" i="6" s="1"/>
  <c r="K388" i="6" a="1"/>
  <c r="K388" i="6" s="1"/>
  <c r="F388" i="6" a="1"/>
  <c r="F388" i="6" s="1"/>
  <c r="O387" i="6" a="1"/>
  <c r="O387" i="6" s="1"/>
  <c r="F387" i="6" a="1"/>
  <c r="F387" i="6" s="1"/>
  <c r="O386" i="6" a="1"/>
  <c r="O386" i="6" s="1"/>
  <c r="F386" i="6" a="1"/>
  <c r="F386" i="6" s="1"/>
  <c r="K385" i="6" a="1"/>
  <c r="K385" i="6" s="1"/>
  <c r="B385" i="6" a="1"/>
  <c r="B385" i="6" s="1"/>
  <c r="K384" i="6" a="1"/>
  <c r="K384" i="6" s="1"/>
  <c r="B384" i="6" a="1"/>
  <c r="B384" i="6" s="1"/>
  <c r="G383" i="6" a="1"/>
  <c r="G383" i="6" s="1"/>
  <c r="L382" i="6" a="1"/>
  <c r="L382" i="6" s="1"/>
  <c r="G382" i="6" a="1"/>
  <c r="G382" i="6" s="1"/>
  <c r="L381" i="6" a="1"/>
  <c r="L381" i="6" s="1"/>
  <c r="C381" i="6" a="1"/>
  <c r="C381" i="6" s="1"/>
  <c r="H380" i="6" a="1"/>
  <c r="H380" i="6" s="1"/>
  <c r="C380" i="6" a="1"/>
  <c r="C380" i="6" s="1"/>
  <c r="H379" i="6" a="1"/>
  <c r="H379" i="6" s="1"/>
  <c r="G419" i="6" a="1"/>
  <c r="G419" i="6" s="1"/>
  <c r="B393" i="6" a="1"/>
  <c r="B393" i="6" s="1"/>
  <c r="J386" i="6" a="1"/>
  <c r="J386" i="6" s="1"/>
  <c r="K382" i="6" a="1"/>
  <c r="K382" i="6" s="1"/>
  <c r="G381" i="6" a="1"/>
  <c r="G381" i="6" s="1"/>
  <c r="M378" i="6" a="1"/>
  <c r="M378" i="6" s="1"/>
  <c r="K377" i="6" a="1"/>
  <c r="K377" i="6" s="1"/>
  <c r="N376" i="6" a="1"/>
  <c r="N376" i="6" s="1"/>
  <c r="K375" i="6" a="1"/>
  <c r="K375" i="6" s="1"/>
  <c r="E375" i="6" a="1"/>
  <c r="E375" i="6" s="1"/>
  <c r="F374" i="6" a="1"/>
  <c r="F374" i="6" s="1"/>
  <c r="N373" i="6" a="1"/>
  <c r="N373" i="6" s="1"/>
  <c r="G373" i="6" a="1"/>
  <c r="G373" i="6" s="1"/>
  <c r="O372" i="6" a="1"/>
  <c r="O372" i="6" s="1"/>
  <c r="B372" i="6" a="1"/>
  <c r="B372" i="6" s="1"/>
  <c r="J371" i="6" a="1"/>
  <c r="J371" i="6" s="1"/>
  <c r="C371" i="6" a="1"/>
  <c r="C371" i="6" s="1"/>
  <c r="K370" i="6" a="1"/>
  <c r="K370" i="6" s="1"/>
  <c r="L369" i="6" a="1"/>
  <c r="L369" i="6" s="1"/>
  <c r="J368" i="6" a="1"/>
  <c r="J368" i="6" s="1"/>
  <c r="E368" i="6" a="1"/>
  <c r="E368" i="6" s="1"/>
  <c r="O367" i="6" a="1"/>
  <c r="O367" i="6" s="1"/>
  <c r="K367" i="6" a="1"/>
  <c r="K367" i="6" s="1"/>
  <c r="G367" i="6" a="1"/>
  <c r="G367" i="6" s="1"/>
  <c r="C367" i="6" a="1"/>
  <c r="C367" i="6" s="1"/>
  <c r="M366" i="6" a="1"/>
  <c r="M366" i="6" s="1"/>
  <c r="I366" i="6" a="1"/>
  <c r="I366" i="6" s="1"/>
  <c r="E366" i="6" a="1"/>
  <c r="E366" i="6" s="1"/>
  <c r="O365" i="6" a="1"/>
  <c r="O365" i="6" s="1"/>
  <c r="K365" i="6" a="1"/>
  <c r="K365" i="6" s="1"/>
  <c r="G365" i="6" a="1"/>
  <c r="G365" i="6" s="1"/>
  <c r="C365" i="6" a="1"/>
  <c r="C365" i="6" s="1"/>
  <c r="M364" i="6" a="1"/>
  <c r="M364" i="6" s="1"/>
  <c r="G413" i="6" a="1"/>
  <c r="G413" i="6" s="1"/>
  <c r="B389" i="6" a="1"/>
  <c r="B389" i="6" s="1"/>
  <c r="O383" i="6" a="1"/>
  <c r="O383" i="6" s="1"/>
  <c r="B380" i="6" a="1"/>
  <c r="B380" i="6" s="1"/>
  <c r="M376" i="6" a="1"/>
  <c r="M376" i="6" s="1"/>
  <c r="C376" i="6" a="1"/>
  <c r="C376" i="6" s="1"/>
  <c r="D375" i="6" a="1"/>
  <c r="D375" i="6" s="1"/>
  <c r="L374" i="6" a="1"/>
  <c r="L374" i="6" s="1"/>
  <c r="E374" i="6" a="1"/>
  <c r="E374" i="6" s="1"/>
  <c r="M373" i="6" a="1"/>
  <c r="M373" i="6" s="1"/>
  <c r="N372" i="6" a="1"/>
  <c r="N372" i="6" s="1"/>
  <c r="H372" i="6" a="1"/>
  <c r="H372" i="6" s="1"/>
  <c r="O371" i="6" a="1"/>
  <c r="O371" i="6" s="1"/>
  <c r="I371" i="6" a="1"/>
  <c r="I371" i="6" s="1"/>
  <c r="J370" i="6" a="1"/>
  <c r="J370" i="6" s="1"/>
  <c r="D370" i="6" a="1"/>
  <c r="D370" i="6" s="1"/>
  <c r="K369" i="6" a="1"/>
  <c r="K369" i="6" s="1"/>
  <c r="F369" i="6" a="1"/>
  <c r="F369" i="6" s="1"/>
  <c r="O368" i="6" a="1"/>
  <c r="O368" i="6" s="1"/>
  <c r="I368" i="6" a="1"/>
  <c r="I368" i="6" s="1"/>
  <c r="M408" i="6" a="1"/>
  <c r="M408" i="6" s="1"/>
  <c r="O385" i="6" a="1"/>
  <c r="O385" i="6" s="1"/>
  <c r="K383" i="6" a="1"/>
  <c r="K383" i="6" s="1"/>
  <c r="L379" i="6" a="1"/>
  <c r="L379" i="6" s="1"/>
  <c r="I378" i="6" a="1"/>
  <c r="I378" i="6" s="1"/>
  <c r="H377" i="6" a="1"/>
  <c r="H377" i="6" s="1"/>
  <c r="B376" i="6" a="1"/>
  <c r="B376" i="6" s="1"/>
  <c r="J375" i="6" a="1"/>
  <c r="J375" i="6" s="1"/>
  <c r="C375" i="6" a="1"/>
  <c r="C375" i="6" s="1"/>
  <c r="K374" i="6" a="1"/>
  <c r="K374" i="6" s="1"/>
  <c r="L373" i="6" a="1"/>
  <c r="L373" i="6" s="1"/>
  <c r="F373" i="6" a="1"/>
  <c r="F373" i="6" s="1"/>
  <c r="M372" i="6" a="1"/>
  <c r="M372" i="6" s="1"/>
  <c r="G372" i="6" a="1"/>
  <c r="G372" i="6" s="1"/>
  <c r="H371" i="6" a="1"/>
  <c r="H371" i="6" s="1"/>
  <c r="B371" i="6" a="1"/>
  <c r="B371" i="6" s="1"/>
  <c r="I370" i="6" a="1"/>
  <c r="I370" i="6" s="1"/>
  <c r="C370" i="6" a="1"/>
  <c r="C370" i="6" s="1"/>
  <c r="N368" i="6" a="1"/>
  <c r="N368" i="6" s="1"/>
  <c r="D368" i="6" a="1"/>
  <c r="D368" i="6" s="1"/>
  <c r="N367" i="6" a="1"/>
  <c r="N367" i="6" s="1"/>
  <c r="J367" i="6" a="1"/>
  <c r="J367" i="6" s="1"/>
  <c r="F367" i="6" a="1"/>
  <c r="F367" i="6" s="1"/>
  <c r="B367" i="6" a="1"/>
  <c r="B367" i="6" s="1"/>
  <c r="L366" i="6" a="1"/>
  <c r="L366" i="6" s="1"/>
  <c r="H366" i="6" a="1"/>
  <c r="H366" i="6" s="1"/>
  <c r="D366" i="6" a="1"/>
  <c r="D366" i="6" s="1"/>
  <c r="N365" i="6" a="1"/>
  <c r="N365" i="6" s="1"/>
  <c r="J365" i="6" a="1"/>
  <c r="J365" i="6" s="1"/>
  <c r="F365" i="6" a="1"/>
  <c r="F365" i="6" s="1"/>
  <c r="B365" i="6" a="1"/>
  <c r="B365" i="6" s="1"/>
  <c r="F391" i="6" a="1"/>
  <c r="F391" i="6" s="1"/>
  <c r="F382" i="6" a="1"/>
  <c r="F382" i="6" s="1"/>
  <c r="B381" i="6" a="1"/>
  <c r="B381" i="6" s="1"/>
  <c r="G377" i="6" a="1"/>
  <c r="G377" i="6" s="1"/>
  <c r="J376" i="6" a="1"/>
  <c r="J376" i="6" s="1"/>
  <c r="O375" i="6" a="1"/>
  <c r="O375" i="6" s="1"/>
  <c r="I375" i="6" a="1"/>
  <c r="I375" i="6" s="1"/>
  <c r="J374" i="6" a="1"/>
  <c r="J374" i="6" s="1"/>
  <c r="D374" i="6" a="1"/>
  <c r="D374" i="6" s="1"/>
  <c r="K373" i="6" a="1"/>
  <c r="K373" i="6" s="1"/>
  <c r="E373" i="6" a="1"/>
  <c r="E373" i="6" s="1"/>
  <c r="F372" i="6" a="1"/>
  <c r="F372" i="6" s="1"/>
  <c r="N371" i="6" a="1"/>
  <c r="N371" i="6" s="1"/>
  <c r="G371" i="6" a="1"/>
  <c r="G371" i="6" s="1"/>
  <c r="O370" i="6" a="1"/>
  <c r="O370" i="6" s="1"/>
  <c r="B370" i="6" a="1"/>
  <c r="B370" i="6" s="1"/>
  <c r="J369" i="6" a="1"/>
  <c r="J369" i="6" s="1"/>
  <c r="E369" i="6" a="1"/>
  <c r="E369" i="6" s="1"/>
  <c r="M368" i="6" a="1"/>
  <c r="M368" i="6" s="1"/>
  <c r="H368" i="6" a="1"/>
  <c r="H368" i="6" s="1"/>
  <c r="I401" i="6" a="1"/>
  <c r="I401" i="6" s="1"/>
  <c r="F385" i="6" a="1"/>
  <c r="F385" i="6" s="1"/>
  <c r="B382" i="6" a="1"/>
  <c r="B382" i="6" s="1"/>
  <c r="L380" i="6" a="1"/>
  <c r="L380" i="6" s="1"/>
  <c r="E378" i="6" a="1"/>
  <c r="E378" i="6" s="1"/>
  <c r="I376" i="6" a="1"/>
  <c r="I376" i="6" s="1"/>
  <c r="H375" i="6" a="1"/>
  <c r="H375" i="6" s="1"/>
  <c r="B375" i="6" a="1"/>
  <c r="B375" i="6" s="1"/>
  <c r="I374" i="6" a="1"/>
  <c r="I374" i="6" s="1"/>
  <c r="C374" i="6" a="1"/>
  <c r="C374" i="6" s="1"/>
  <c r="D373" i="6" a="1"/>
  <c r="D373" i="6" s="1"/>
  <c r="L372" i="6" a="1"/>
  <c r="L372" i="6" s="1"/>
  <c r="E372" i="6" a="1"/>
  <c r="E372" i="6" s="1"/>
  <c r="M371" i="6" a="1"/>
  <c r="M371" i="6" s="1"/>
  <c r="N370" i="6" a="1"/>
  <c r="N370" i="6" s="1"/>
  <c r="H370" i="6" a="1"/>
  <c r="H370" i="6" s="1"/>
  <c r="O369" i="6" a="1"/>
  <c r="O369" i="6" s="1"/>
  <c r="D369" i="6" a="1"/>
  <c r="D369" i="6" s="1"/>
  <c r="C368" i="6" a="1"/>
  <c r="C368" i="6" s="1"/>
  <c r="M367" i="6" a="1"/>
  <c r="M367" i="6" s="1"/>
  <c r="I367" i="6" a="1"/>
  <c r="I367" i="6" s="1"/>
  <c r="E367" i="6" a="1"/>
  <c r="E367" i="6" s="1"/>
  <c r="O366" i="6" a="1"/>
  <c r="O366" i="6" s="1"/>
  <c r="K366" i="6" a="1"/>
  <c r="K366" i="6" s="1"/>
  <c r="G366" i="6" a="1"/>
  <c r="G366" i="6" s="1"/>
  <c r="C366" i="6" a="1"/>
  <c r="C366" i="6" s="1"/>
  <c r="M365" i="6" a="1"/>
  <c r="M365" i="6" s="1"/>
  <c r="I365" i="6" a="1"/>
  <c r="I365" i="6" s="1"/>
  <c r="J387" i="6" a="1"/>
  <c r="J387" i="6" s="1"/>
  <c r="O384" i="6" a="1"/>
  <c r="O384" i="6" s="1"/>
  <c r="F383" i="6" a="1"/>
  <c r="F383" i="6" s="1"/>
  <c r="K380" i="6" a="1"/>
  <c r="K380" i="6" s="1"/>
  <c r="G379" i="6" a="1"/>
  <c r="G379" i="6" s="1"/>
  <c r="D377" i="6" a="1"/>
  <c r="D377" i="6" s="1"/>
  <c r="N375" i="6" a="1"/>
  <c r="N375" i="6" s="1"/>
  <c r="G375" i="6" a="1"/>
  <c r="G375" i="6" s="1"/>
  <c r="O374" i="6" a="1"/>
  <c r="O374" i="6" s="1"/>
  <c r="B374" i="6" a="1"/>
  <c r="B374" i="6" s="1"/>
  <c r="J373" i="6" a="1"/>
  <c r="J373" i="6" s="1"/>
  <c r="C373" i="6" a="1"/>
  <c r="C373" i="6" s="1"/>
  <c r="K372" i="6" a="1"/>
  <c r="K372" i="6" s="1"/>
  <c r="L371" i="6" a="1"/>
  <c r="L371" i="6" s="1"/>
  <c r="F371" i="6" a="1"/>
  <c r="F371" i="6" s="1"/>
  <c r="M370" i="6" a="1"/>
  <c r="M370" i="6" s="1"/>
  <c r="G370" i="6" a="1"/>
  <c r="G370" i="6" s="1"/>
  <c r="I369" i="6" a="1"/>
  <c r="I369" i="6" s="1"/>
  <c r="C369" i="6" a="1"/>
  <c r="C369" i="6" s="1"/>
  <c r="L368" i="6" a="1"/>
  <c r="L368" i="6" s="1"/>
  <c r="G368" i="6" a="1"/>
  <c r="G368" i="6" s="1"/>
  <c r="F396" i="6" a="1"/>
  <c r="F396" i="6" s="1"/>
  <c r="D390" i="6" a="1"/>
  <c r="D390" i="6" s="1"/>
  <c r="E387" i="6" a="1"/>
  <c r="E387" i="6" s="1"/>
  <c r="B383" i="6" a="1"/>
  <c r="B383" i="6" s="1"/>
  <c r="G380" i="6" a="1"/>
  <c r="G380" i="6" s="1"/>
  <c r="C379" i="6" a="1"/>
  <c r="C379" i="6" s="1"/>
  <c r="O377" i="6" a="1"/>
  <c r="O377" i="6" s="1"/>
  <c r="C377" i="6" a="1"/>
  <c r="C377" i="6" s="1"/>
  <c r="F376" i="6" a="1"/>
  <c r="F376" i="6" s="1"/>
  <c r="M375" i="6" a="1"/>
  <c r="M375" i="6" s="1"/>
  <c r="N374" i="6" a="1"/>
  <c r="N374" i="6" s="1"/>
  <c r="H374" i="6" a="1"/>
  <c r="H374" i="6" s="1"/>
  <c r="O373" i="6" a="1"/>
  <c r="O373" i="6" s="1"/>
  <c r="I373" i="6" a="1"/>
  <c r="I373" i="6" s="1"/>
  <c r="J372" i="6" a="1"/>
  <c r="J372" i="6" s="1"/>
  <c r="D372" i="6" a="1"/>
  <c r="D372" i="6" s="1"/>
  <c r="K371" i="6" a="1"/>
  <c r="K371" i="6" s="1"/>
  <c r="E371" i="6" a="1"/>
  <c r="E371" i="6" s="1"/>
  <c r="F370" i="6" a="1"/>
  <c r="F370" i="6" s="1"/>
  <c r="N369" i="6" a="1"/>
  <c r="N369" i="6" s="1"/>
  <c r="H369" i="6" a="1"/>
  <c r="H369" i="6" s="1"/>
  <c r="F368" i="6" a="1"/>
  <c r="F368" i="6" s="1"/>
  <c r="B368" i="6" a="1"/>
  <c r="B368" i="6" s="1"/>
  <c r="L367" i="6" a="1"/>
  <c r="L367" i="6" s="1"/>
  <c r="H367" i="6" a="1"/>
  <c r="H367" i="6" s="1"/>
  <c r="D367" i="6" a="1"/>
  <c r="D367" i="6" s="1"/>
  <c r="N366" i="6" a="1"/>
  <c r="N366" i="6" s="1"/>
  <c r="J366" i="6" a="1"/>
  <c r="J366" i="6" s="1"/>
  <c r="F366" i="6" a="1"/>
  <c r="F366" i="6" s="1"/>
  <c r="B366" i="6" a="1"/>
  <c r="B366" i="6" s="1"/>
  <c r="L365" i="6" a="1"/>
  <c r="L365" i="6" s="1"/>
  <c r="D394" i="6" a="1"/>
  <c r="D394" i="6" s="1"/>
  <c r="H373" i="6" a="1"/>
  <c r="H373" i="6" s="1"/>
  <c r="M369" i="6" a="1"/>
  <c r="M369" i="6" s="1"/>
  <c r="E365" i="6" a="1"/>
  <c r="E365" i="6" s="1"/>
  <c r="J364" i="6" a="1"/>
  <c r="J364" i="6" s="1"/>
  <c r="D364" i="6" a="1"/>
  <c r="D364" i="6" s="1"/>
  <c r="E363" i="6" a="1"/>
  <c r="E363" i="6" s="1"/>
  <c r="M362" i="6" a="1"/>
  <c r="M362" i="6" s="1"/>
  <c r="F362" i="6" a="1"/>
  <c r="F362" i="6" s="1"/>
  <c r="N361" i="6" a="1"/>
  <c r="N361" i="6" s="1"/>
  <c r="O360" i="6" a="1"/>
  <c r="O360" i="6" s="1"/>
  <c r="I360" i="6" a="1"/>
  <c r="I360" i="6" s="1"/>
  <c r="B360" i="6" a="1"/>
  <c r="B360" i="6" s="1"/>
  <c r="J359" i="6" a="1"/>
  <c r="J359" i="6" s="1"/>
  <c r="K358" i="6" a="1"/>
  <c r="K358" i="6" s="1"/>
  <c r="E358" i="6" a="1"/>
  <c r="E358" i="6" s="1"/>
  <c r="L357" i="6" a="1"/>
  <c r="L357" i="6" s="1"/>
  <c r="F357" i="6" a="1"/>
  <c r="F357" i="6" s="1"/>
  <c r="G356" i="6" a="1"/>
  <c r="G356" i="6" s="1"/>
  <c r="O355" i="6" a="1"/>
  <c r="O355" i="6" s="1"/>
  <c r="H355" i="6" a="1"/>
  <c r="H355" i="6" s="1"/>
  <c r="B355" i="6" a="1"/>
  <c r="B355" i="6" s="1"/>
  <c r="C354" i="6" a="1"/>
  <c r="C354" i="6" s="1"/>
  <c r="K353" i="6" a="1"/>
  <c r="K353" i="6" s="1"/>
  <c r="D353" i="6" a="1"/>
  <c r="D353" i="6" s="1"/>
  <c r="L352" i="6" a="1"/>
  <c r="L352" i="6" s="1"/>
  <c r="N351" i="6" a="1"/>
  <c r="N351" i="6" s="1"/>
  <c r="L350" i="6" a="1"/>
  <c r="L350" i="6" s="1"/>
  <c r="J349" i="6" a="1"/>
  <c r="J349" i="6" s="1"/>
  <c r="H348" i="6" a="1"/>
  <c r="H348" i="6" s="1"/>
  <c r="B373" i="6" a="1"/>
  <c r="B373" i="6" s="1"/>
  <c r="G369" i="6" a="1"/>
  <c r="G369" i="6" s="1"/>
  <c r="D365" i="6" a="1"/>
  <c r="D365" i="6" s="1"/>
  <c r="C364" i="6" a="1"/>
  <c r="C364" i="6" s="1"/>
  <c r="K363" i="6" a="1"/>
  <c r="K363" i="6" s="1"/>
  <c r="D363" i="6" a="1"/>
  <c r="D363" i="6" s="1"/>
  <c r="L362" i="6" a="1"/>
  <c r="L362" i="6" s="1"/>
  <c r="M361" i="6" a="1"/>
  <c r="M361" i="6" s="1"/>
  <c r="G361" i="6" a="1"/>
  <c r="G361" i="6" s="1"/>
  <c r="N360" i="6" a="1"/>
  <c r="N360" i="6" s="1"/>
  <c r="H360" i="6" a="1"/>
  <c r="H360" i="6" s="1"/>
  <c r="I359" i="6" a="1"/>
  <c r="I359" i="6" s="1"/>
  <c r="C359" i="6" a="1"/>
  <c r="C359" i="6" s="1"/>
  <c r="J358" i="6" a="1"/>
  <c r="J358" i="6" s="1"/>
  <c r="D358" i="6" a="1"/>
  <c r="D358" i="6" s="1"/>
  <c r="E357" i="6" a="1"/>
  <c r="E357" i="6" s="1"/>
  <c r="M356" i="6" a="1"/>
  <c r="M356" i="6" s="1"/>
  <c r="F356" i="6" a="1"/>
  <c r="F356" i="6" s="1"/>
  <c r="N355" i="6" a="1"/>
  <c r="N355" i="6" s="1"/>
  <c r="O354" i="6" a="1"/>
  <c r="O354" i="6" s="1"/>
  <c r="I354" i="6" a="1"/>
  <c r="I354" i="6" s="1"/>
  <c r="B354" i="6" a="1"/>
  <c r="B354" i="6" s="1"/>
  <c r="J353" i="6" a="1"/>
  <c r="J353" i="6" s="1"/>
  <c r="K352" i="6" a="1"/>
  <c r="K352" i="6" s="1"/>
  <c r="E352" i="6" a="1"/>
  <c r="E352" i="6" s="1"/>
  <c r="M351" i="6" a="1"/>
  <c r="M351" i="6" s="1"/>
  <c r="H351" i="6" a="1"/>
  <c r="H351" i="6" s="1"/>
  <c r="C351" i="6" a="1"/>
  <c r="C351" i="6" s="1"/>
  <c r="K350" i="6" a="1"/>
  <c r="K350" i="6" s="1"/>
  <c r="F350" i="6" a="1"/>
  <c r="F350" i="6" s="1"/>
  <c r="O349" i="6" a="1"/>
  <c r="O349" i="6" s="1"/>
  <c r="I349" i="6" a="1"/>
  <c r="I349" i="6" s="1"/>
  <c r="D349" i="6" a="1"/>
  <c r="D349" i="6" s="1"/>
  <c r="M348" i="6" a="1"/>
  <c r="M348" i="6" s="1"/>
  <c r="G348" i="6" a="1"/>
  <c r="G348" i="6" s="1"/>
  <c r="B348" i="6" a="1"/>
  <c r="B348" i="6" s="1"/>
  <c r="K347" i="6" a="1"/>
  <c r="K347" i="6" s="1"/>
  <c r="E376" i="6" a="1"/>
  <c r="E376" i="6" s="1"/>
  <c r="I372" i="6" a="1"/>
  <c r="I372" i="6" s="1"/>
  <c r="B369" i="6" a="1"/>
  <c r="B369" i="6" s="1"/>
  <c r="I364" i="6" a="1"/>
  <c r="I364" i="6" s="1"/>
  <c r="B364" i="6" a="1"/>
  <c r="B364" i="6" s="1"/>
  <c r="J363" i="6" a="1"/>
  <c r="J363" i="6" s="1"/>
  <c r="K362" i="6" a="1"/>
  <c r="K362" i="6" s="1"/>
  <c r="E362" i="6" a="1"/>
  <c r="E362" i="6" s="1"/>
  <c r="L361" i="6" a="1"/>
  <c r="L361" i="6" s="1"/>
  <c r="F361" i="6" a="1"/>
  <c r="F361" i="6" s="1"/>
  <c r="G360" i="6" a="1"/>
  <c r="G360" i="6" s="1"/>
  <c r="O359" i="6" a="1"/>
  <c r="O359" i="6" s="1"/>
  <c r="H359" i="6" a="1"/>
  <c r="H359" i="6" s="1"/>
  <c r="B359" i="6" a="1"/>
  <c r="B359" i="6" s="1"/>
  <c r="C358" i="6" a="1"/>
  <c r="C358" i="6" s="1"/>
  <c r="K357" i="6" a="1"/>
  <c r="K357" i="6" s="1"/>
  <c r="D357" i="6" a="1"/>
  <c r="D357" i="6" s="1"/>
  <c r="L356" i="6" a="1"/>
  <c r="L356" i="6" s="1"/>
  <c r="M355" i="6" a="1"/>
  <c r="M355" i="6" s="1"/>
  <c r="G355" i="6" a="1"/>
  <c r="G355" i="6" s="1"/>
  <c r="N354" i="6" a="1"/>
  <c r="N354" i="6" s="1"/>
  <c r="H354" i="6" a="1"/>
  <c r="H354" i="6" s="1"/>
  <c r="I353" i="6" a="1"/>
  <c r="I353" i="6" s="1"/>
  <c r="C353" i="6" a="1"/>
  <c r="C353" i="6" s="1"/>
  <c r="J352" i="6" a="1"/>
  <c r="J352" i="6" s="1"/>
  <c r="D352" i="6" a="1"/>
  <c r="D352" i="6" s="1"/>
  <c r="B351" i="6" a="1"/>
  <c r="B351" i="6" s="1"/>
  <c r="N349" i="6" a="1"/>
  <c r="N349" i="6" s="1"/>
  <c r="L348" i="6" a="1"/>
  <c r="L348" i="6" s="1"/>
  <c r="J347" i="6" a="1"/>
  <c r="J347" i="6" s="1"/>
  <c r="F384" i="6" a="1"/>
  <c r="F384" i="6" s="1"/>
  <c r="L375" i="6" a="1"/>
  <c r="L375" i="6" s="1"/>
  <c r="C372" i="6" a="1"/>
  <c r="C372" i="6" s="1"/>
  <c r="K368" i="6" a="1"/>
  <c r="K368" i="6" s="1"/>
  <c r="O364" i="6" a="1"/>
  <c r="O364" i="6" s="1"/>
  <c r="H364" i="6" a="1"/>
  <c r="H364" i="6" s="1"/>
  <c r="I363" i="6" a="1"/>
  <c r="I363" i="6" s="1"/>
  <c r="C363" i="6" a="1"/>
  <c r="C363" i="6" s="1"/>
  <c r="J362" i="6" a="1"/>
  <c r="J362" i="6" s="1"/>
  <c r="D362" i="6" a="1"/>
  <c r="D362" i="6" s="1"/>
  <c r="E361" i="6" a="1"/>
  <c r="E361" i="6" s="1"/>
  <c r="M360" i="6" a="1"/>
  <c r="M360" i="6" s="1"/>
  <c r="F360" i="6" a="1"/>
  <c r="F360" i="6" s="1"/>
  <c r="N359" i="6" a="1"/>
  <c r="N359" i="6" s="1"/>
  <c r="O358" i="6" a="1"/>
  <c r="O358" i="6" s="1"/>
  <c r="I358" i="6" a="1"/>
  <c r="I358" i="6" s="1"/>
  <c r="B358" i="6" a="1"/>
  <c r="B358" i="6" s="1"/>
  <c r="J357" i="6" a="1"/>
  <c r="J357" i="6" s="1"/>
  <c r="K356" i="6" a="1"/>
  <c r="K356" i="6" s="1"/>
  <c r="E356" i="6" a="1"/>
  <c r="E356" i="6" s="1"/>
  <c r="L355" i="6" a="1"/>
  <c r="L355" i="6" s="1"/>
  <c r="F355" i="6" a="1"/>
  <c r="F355" i="6" s="1"/>
  <c r="G354" i="6" a="1"/>
  <c r="G354" i="6" s="1"/>
  <c r="O353" i="6" a="1"/>
  <c r="O353" i="6" s="1"/>
  <c r="H353" i="6" a="1"/>
  <c r="H353" i="6" s="1"/>
  <c r="B353" i="6" a="1"/>
  <c r="B353" i="6" s="1"/>
  <c r="C352" i="6" a="1"/>
  <c r="C352" i="6" s="1"/>
  <c r="L351" i="6" a="1"/>
  <c r="L351" i="6" s="1"/>
  <c r="G351" i="6" a="1"/>
  <c r="G351" i="6" s="1"/>
  <c r="O350" i="6" a="1"/>
  <c r="O350" i="6" s="1"/>
  <c r="J350" i="6" a="1"/>
  <c r="J350" i="6" s="1"/>
  <c r="E350" i="6" a="1"/>
  <c r="E350" i="6" s="1"/>
  <c r="M349" i="6" a="1"/>
  <c r="M349" i="6" s="1"/>
  <c r="H349" i="6" a="1"/>
  <c r="H349" i="6" s="1"/>
  <c r="C349" i="6" a="1"/>
  <c r="C349" i="6" s="1"/>
  <c r="K348" i="6" a="1"/>
  <c r="K348" i="6" s="1"/>
  <c r="F348" i="6" a="1"/>
  <c r="F348" i="6" s="1"/>
  <c r="O347" i="6" a="1"/>
  <c r="O347" i="6" s="1"/>
  <c r="I347" i="6" a="1"/>
  <c r="I347" i="6" s="1"/>
  <c r="O382" i="6" a="1"/>
  <c r="O382" i="6" s="1"/>
  <c r="F375" i="6" a="1"/>
  <c r="F375" i="6" s="1"/>
  <c r="N364" i="6" a="1"/>
  <c r="N364" i="6" s="1"/>
  <c r="G364" i="6" a="1"/>
  <c r="G364" i="6" s="1"/>
  <c r="O363" i="6" a="1"/>
  <c r="O363" i="6" s="1"/>
  <c r="H363" i="6" a="1"/>
  <c r="H363" i="6" s="1"/>
  <c r="B363" i="6" a="1"/>
  <c r="B363" i="6" s="1"/>
  <c r="C362" i="6" a="1"/>
  <c r="C362" i="6" s="1"/>
  <c r="K361" i="6" a="1"/>
  <c r="K361" i="6" s="1"/>
  <c r="D361" i="6" a="1"/>
  <c r="D361" i="6" s="1"/>
  <c r="L360" i="6" a="1"/>
  <c r="L360" i="6" s="1"/>
  <c r="M359" i="6" a="1"/>
  <c r="M359" i="6" s="1"/>
  <c r="G359" i="6" a="1"/>
  <c r="G359" i="6" s="1"/>
  <c r="N358" i="6" a="1"/>
  <c r="N358" i="6" s="1"/>
  <c r="H358" i="6" a="1"/>
  <c r="H358" i="6" s="1"/>
  <c r="I357" i="6" a="1"/>
  <c r="I357" i="6" s="1"/>
  <c r="C357" i="6" a="1"/>
  <c r="C357" i="6" s="1"/>
  <c r="J356" i="6" a="1"/>
  <c r="J356" i="6" s="1"/>
  <c r="D356" i="6" a="1"/>
  <c r="D356" i="6" s="1"/>
  <c r="E355" i="6" a="1"/>
  <c r="E355" i="6" s="1"/>
  <c r="M354" i="6" a="1"/>
  <c r="M354" i="6" s="1"/>
  <c r="F354" i="6" a="1"/>
  <c r="F354" i="6" s="1"/>
  <c r="N353" i="6" a="1"/>
  <c r="N353" i="6" s="1"/>
  <c r="O352" i="6" a="1"/>
  <c r="O352" i="6" s="1"/>
  <c r="I352" i="6" a="1"/>
  <c r="I352" i="6" s="1"/>
  <c r="F351" i="6" a="1"/>
  <c r="F351" i="6" s="1"/>
  <c r="D350" i="6" a="1"/>
  <c r="D350" i="6" s="1"/>
  <c r="B349" i="6" a="1"/>
  <c r="B349" i="6" s="1"/>
  <c r="N347" i="6" a="1"/>
  <c r="N347" i="6" s="1"/>
  <c r="K381" i="6" a="1"/>
  <c r="K381" i="6" s="1"/>
  <c r="M374" i="6" a="1"/>
  <c r="M374" i="6" s="1"/>
  <c r="D371" i="6" a="1"/>
  <c r="D371" i="6" s="1"/>
  <c r="F364" i="6" a="1"/>
  <c r="F364" i="6" s="1"/>
  <c r="N363" i="6" a="1"/>
  <c r="N363" i="6" s="1"/>
  <c r="O362" i="6" a="1"/>
  <c r="O362" i="6" s="1"/>
  <c r="I362" i="6" a="1"/>
  <c r="I362" i="6" s="1"/>
  <c r="B362" i="6" a="1"/>
  <c r="B362" i="6" s="1"/>
  <c r="J361" i="6" a="1"/>
  <c r="J361" i="6" s="1"/>
  <c r="K360" i="6" a="1"/>
  <c r="K360" i="6" s="1"/>
  <c r="E360" i="6" a="1"/>
  <c r="E360" i="6" s="1"/>
  <c r="L359" i="6" a="1"/>
  <c r="L359" i="6" s="1"/>
  <c r="F359" i="6" a="1"/>
  <c r="F359" i="6" s="1"/>
  <c r="G358" i="6" a="1"/>
  <c r="G358" i="6" s="1"/>
  <c r="O357" i="6" a="1"/>
  <c r="O357" i="6" s="1"/>
  <c r="H357" i="6" a="1"/>
  <c r="H357" i="6" s="1"/>
  <c r="B357" i="6" a="1"/>
  <c r="B357" i="6" s="1"/>
  <c r="C356" i="6" a="1"/>
  <c r="C356" i="6" s="1"/>
  <c r="K355" i="6" a="1"/>
  <c r="K355" i="6" s="1"/>
  <c r="D355" i="6" a="1"/>
  <c r="D355" i="6" s="1"/>
  <c r="L354" i="6" a="1"/>
  <c r="L354" i="6" s="1"/>
  <c r="M353" i="6" a="1"/>
  <c r="M353" i="6" s="1"/>
  <c r="G353" i="6" a="1"/>
  <c r="G353" i="6" s="1"/>
  <c r="N352" i="6" a="1"/>
  <c r="N352" i="6" s="1"/>
  <c r="H352" i="6" a="1"/>
  <c r="H352" i="6" s="1"/>
  <c r="B352" i="6" a="1"/>
  <c r="B352" i="6" s="1"/>
  <c r="K351" i="6" a="1"/>
  <c r="K351" i="6" s="1"/>
  <c r="E351" i="6" a="1"/>
  <c r="E351" i="6" s="1"/>
  <c r="N350" i="6" a="1"/>
  <c r="N350" i="6" s="1"/>
  <c r="I350" i="6" a="1"/>
  <c r="I350" i="6" s="1"/>
  <c r="C350" i="6" a="1"/>
  <c r="C350" i="6" s="1"/>
  <c r="L349" i="6" a="1"/>
  <c r="L349" i="6" s="1"/>
  <c r="G349" i="6" a="1"/>
  <c r="G349" i="6" s="1"/>
  <c r="O348" i="6" a="1"/>
  <c r="O348" i="6" s="1"/>
  <c r="J348" i="6" a="1"/>
  <c r="J348" i="6" s="1"/>
  <c r="G374" i="6" a="1"/>
  <c r="G374" i="6" s="1"/>
  <c r="L370" i="6" a="1"/>
  <c r="L370" i="6" s="1"/>
  <c r="H365" i="6" a="1"/>
  <c r="H365" i="6" s="1"/>
  <c r="L364" i="6" a="1"/>
  <c r="L364" i="6" s="1"/>
  <c r="M363" i="6" a="1"/>
  <c r="M363" i="6" s="1"/>
  <c r="G363" i="6" a="1"/>
  <c r="G363" i="6" s="1"/>
  <c r="N362" i="6" a="1"/>
  <c r="N362" i="6" s="1"/>
  <c r="H362" i="6" a="1"/>
  <c r="H362" i="6" s="1"/>
  <c r="I361" i="6" a="1"/>
  <c r="I361" i="6" s="1"/>
  <c r="C361" i="6" a="1"/>
  <c r="C361" i="6" s="1"/>
  <c r="J360" i="6" a="1"/>
  <c r="J360" i="6" s="1"/>
  <c r="D360" i="6" a="1"/>
  <c r="D360" i="6" s="1"/>
  <c r="E359" i="6" a="1"/>
  <c r="E359" i="6" s="1"/>
  <c r="M358" i="6" a="1"/>
  <c r="M358" i="6" s="1"/>
  <c r="F358" i="6" a="1"/>
  <c r="F358" i="6" s="1"/>
  <c r="N357" i="6" a="1"/>
  <c r="N357" i="6" s="1"/>
  <c r="O356" i="6" a="1"/>
  <c r="O356" i="6" s="1"/>
  <c r="I356" i="6" a="1"/>
  <c r="I356" i="6" s="1"/>
  <c r="B356" i="6" a="1"/>
  <c r="B356" i="6" s="1"/>
  <c r="J355" i="6" a="1"/>
  <c r="J355" i="6" s="1"/>
  <c r="K354" i="6" a="1"/>
  <c r="K354" i="6" s="1"/>
  <c r="E354" i="6" a="1"/>
  <c r="E354" i="6" s="1"/>
  <c r="L353" i="6" a="1"/>
  <c r="L353" i="6" s="1"/>
  <c r="F353" i="6" a="1"/>
  <c r="F353" i="6" s="1"/>
  <c r="G352" i="6" a="1"/>
  <c r="G352" i="6" s="1"/>
  <c r="J351" i="6" a="1"/>
  <c r="J351" i="6" s="1"/>
  <c r="H350" i="6" a="1"/>
  <c r="H350" i="6" s="1"/>
  <c r="F349" i="6" a="1"/>
  <c r="F349" i="6" s="1"/>
  <c r="D348" i="6" a="1"/>
  <c r="D348" i="6" s="1"/>
  <c r="F363" i="6" a="1"/>
  <c r="F363" i="6" s="1"/>
  <c r="K359" i="6" a="1"/>
  <c r="K359" i="6" s="1"/>
  <c r="F352" i="6" a="1"/>
  <c r="F352" i="6" s="1"/>
  <c r="E349" i="6" a="1"/>
  <c r="E349" i="6" s="1"/>
  <c r="G347" i="6" a="1"/>
  <c r="G347" i="6" s="1"/>
  <c r="M346" i="6" a="1"/>
  <c r="M346" i="6" s="1"/>
  <c r="E346" i="6" a="1"/>
  <c r="E346" i="6" s="1"/>
  <c r="K345" i="6" a="1"/>
  <c r="K345" i="6" s="1"/>
  <c r="C345" i="6" a="1"/>
  <c r="C345" i="6" s="1"/>
  <c r="I344" i="6" a="1"/>
  <c r="I344" i="6" s="1"/>
  <c r="O343" i="6" a="1"/>
  <c r="O343" i="6" s="1"/>
  <c r="G343" i="6" a="1"/>
  <c r="G343" i="6" s="1"/>
  <c r="M342" i="6" a="1"/>
  <c r="M342" i="6" s="1"/>
  <c r="E342" i="6" a="1"/>
  <c r="E342" i="6" s="1"/>
  <c r="K341" i="6" a="1"/>
  <c r="K341" i="6" s="1"/>
  <c r="C341" i="6" a="1"/>
  <c r="C341" i="6" s="1"/>
  <c r="I340" i="6" a="1"/>
  <c r="I340" i="6" s="1"/>
  <c r="O339" i="6" a="1"/>
  <c r="O339" i="6" s="1"/>
  <c r="G339" i="6" a="1"/>
  <c r="G339" i="6" s="1"/>
  <c r="M338" i="6" a="1"/>
  <c r="M338" i="6" s="1"/>
  <c r="E338" i="6" a="1"/>
  <c r="E338" i="6" s="1"/>
  <c r="K337" i="6" a="1"/>
  <c r="K337" i="6" s="1"/>
  <c r="C337" i="6" a="1"/>
  <c r="C337" i="6" s="1"/>
  <c r="K336" i="6" a="1"/>
  <c r="K336" i="6" s="1"/>
  <c r="F336" i="6" a="1"/>
  <c r="F336" i="6" s="1"/>
  <c r="B336" i="6" a="1"/>
  <c r="B336" i="6" s="1"/>
  <c r="L335" i="6" a="1"/>
  <c r="L335" i="6" s="1"/>
  <c r="H335" i="6" a="1"/>
  <c r="H335" i="6" s="1"/>
  <c r="D335" i="6" a="1"/>
  <c r="D335" i="6" s="1"/>
  <c r="N334" i="6" a="1"/>
  <c r="N334" i="6" s="1"/>
  <c r="J334" i="6" a="1"/>
  <c r="J334" i="6" s="1"/>
  <c r="F334" i="6" a="1"/>
  <c r="F334" i="6" s="1"/>
  <c r="B334" i="6" a="1"/>
  <c r="B334" i="6" s="1"/>
  <c r="L333" i="6" a="1"/>
  <c r="L333" i="6" s="1"/>
  <c r="H333" i="6" a="1"/>
  <c r="H333" i="6" s="1"/>
  <c r="D333" i="6" a="1"/>
  <c r="D333" i="6" s="1"/>
  <c r="N332" i="6" a="1"/>
  <c r="N332" i="6" s="1"/>
  <c r="J332" i="6" a="1"/>
  <c r="J332" i="6" s="1"/>
  <c r="F332" i="6" a="1"/>
  <c r="F332" i="6" s="1"/>
  <c r="B332" i="6" a="1"/>
  <c r="B332" i="6" s="1"/>
  <c r="L331" i="6" a="1"/>
  <c r="L331" i="6" s="1"/>
  <c r="H331" i="6" a="1"/>
  <c r="H331" i="6" s="1"/>
  <c r="D331" i="6" a="1"/>
  <c r="D331" i="6" s="1"/>
  <c r="N330" i="6" a="1"/>
  <c r="N330" i="6" s="1"/>
  <c r="J330" i="6" a="1"/>
  <c r="J330" i="6" s="1"/>
  <c r="F330" i="6" a="1"/>
  <c r="F330" i="6" s="1"/>
  <c r="B330" i="6" a="1"/>
  <c r="B330" i="6" s="1"/>
  <c r="L329" i="6" a="1"/>
  <c r="L329" i="6" s="1"/>
  <c r="H329" i="6" a="1"/>
  <c r="H329" i="6" s="1"/>
  <c r="D329" i="6" a="1"/>
  <c r="D329" i="6" s="1"/>
  <c r="N328" i="6" a="1"/>
  <c r="N328" i="6" s="1"/>
  <c r="D359" i="6" a="1"/>
  <c r="D359" i="6" s="1"/>
  <c r="I355" i="6" a="1"/>
  <c r="I355" i="6" s="1"/>
  <c r="O351" i="6" a="1"/>
  <c r="O351" i="6" s="1"/>
  <c r="N348" i="6" a="1"/>
  <c r="N348" i="6" s="1"/>
  <c r="F347" i="6" a="1"/>
  <c r="F347" i="6" s="1"/>
  <c r="L346" i="6" a="1"/>
  <c r="L346" i="6" s="1"/>
  <c r="D346" i="6" a="1"/>
  <c r="D346" i="6" s="1"/>
  <c r="J345" i="6" a="1"/>
  <c r="J345" i="6" s="1"/>
  <c r="B345" i="6" a="1"/>
  <c r="B345" i="6" s="1"/>
  <c r="H344" i="6" a="1"/>
  <c r="H344" i="6" s="1"/>
  <c r="N343" i="6" a="1"/>
  <c r="N343" i="6" s="1"/>
  <c r="F343" i="6" a="1"/>
  <c r="F343" i="6" s="1"/>
  <c r="L342" i="6" a="1"/>
  <c r="L342" i="6" s="1"/>
  <c r="D342" i="6" a="1"/>
  <c r="D342" i="6" s="1"/>
  <c r="J341" i="6" a="1"/>
  <c r="J341" i="6" s="1"/>
  <c r="B341" i="6" a="1"/>
  <c r="B341" i="6" s="1"/>
  <c r="H340" i="6" a="1"/>
  <c r="H340" i="6" s="1"/>
  <c r="N339" i="6" a="1"/>
  <c r="N339" i="6" s="1"/>
  <c r="F339" i="6" a="1"/>
  <c r="F339" i="6" s="1"/>
  <c r="L338" i="6" a="1"/>
  <c r="L338" i="6" s="1"/>
  <c r="D338" i="6" a="1"/>
  <c r="D338" i="6" s="1"/>
  <c r="J337" i="6" a="1"/>
  <c r="J337" i="6" s="1"/>
  <c r="B337" i="6" a="1"/>
  <c r="B337" i="6" s="1"/>
  <c r="E370" i="6" a="1"/>
  <c r="E370" i="6" s="1"/>
  <c r="G362" i="6" a="1"/>
  <c r="G362" i="6" s="1"/>
  <c r="L358" i="6" a="1"/>
  <c r="L358" i="6" s="1"/>
  <c r="C355" i="6" a="1"/>
  <c r="C355" i="6" s="1"/>
  <c r="I351" i="6" a="1"/>
  <c r="I351" i="6" s="1"/>
  <c r="I348" i="6" a="1"/>
  <c r="I348" i="6" s="1"/>
  <c r="E347" i="6" a="1"/>
  <c r="E347" i="6" s="1"/>
  <c r="K346" i="6" a="1"/>
  <c r="K346" i="6" s="1"/>
  <c r="C346" i="6" a="1"/>
  <c r="C346" i="6" s="1"/>
  <c r="I345" i="6" a="1"/>
  <c r="I345" i="6" s="1"/>
  <c r="O344" i="6" a="1"/>
  <c r="O344" i="6" s="1"/>
  <c r="G344" i="6" a="1"/>
  <c r="G344" i="6" s="1"/>
  <c r="M343" i="6" a="1"/>
  <c r="M343" i="6" s="1"/>
  <c r="E343" i="6" a="1"/>
  <c r="E343" i="6" s="1"/>
  <c r="K342" i="6" a="1"/>
  <c r="K342" i="6" s="1"/>
  <c r="C342" i="6" a="1"/>
  <c r="C342" i="6" s="1"/>
  <c r="I341" i="6" a="1"/>
  <c r="I341" i="6" s="1"/>
  <c r="O340" i="6" a="1"/>
  <c r="O340" i="6" s="1"/>
  <c r="G340" i="6" a="1"/>
  <c r="G340" i="6" s="1"/>
  <c r="M339" i="6" a="1"/>
  <c r="M339" i="6" s="1"/>
  <c r="E339" i="6" a="1"/>
  <c r="E339" i="6" s="1"/>
  <c r="K338" i="6" a="1"/>
  <c r="K338" i="6" s="1"/>
  <c r="C338" i="6" a="1"/>
  <c r="C338" i="6" s="1"/>
  <c r="I337" i="6" a="1"/>
  <c r="I337" i="6" s="1"/>
  <c r="O336" i="6" a="1"/>
  <c r="O336" i="6" s="1"/>
  <c r="J336" i="6" a="1"/>
  <c r="J336" i="6" s="1"/>
  <c r="E336" i="6" a="1"/>
  <c r="E336" i="6" s="1"/>
  <c r="O335" i="6" a="1"/>
  <c r="O335" i="6" s="1"/>
  <c r="K335" i="6" a="1"/>
  <c r="K335" i="6" s="1"/>
  <c r="G335" i="6" a="1"/>
  <c r="G335" i="6" s="1"/>
  <c r="C335" i="6" a="1"/>
  <c r="C335" i="6" s="1"/>
  <c r="M334" i="6" a="1"/>
  <c r="M334" i="6" s="1"/>
  <c r="I334" i="6" a="1"/>
  <c r="I334" i="6" s="1"/>
  <c r="E334" i="6" a="1"/>
  <c r="E334" i="6" s="1"/>
  <c r="O333" i="6" a="1"/>
  <c r="O333" i="6" s="1"/>
  <c r="K333" i="6" a="1"/>
  <c r="K333" i="6" s="1"/>
  <c r="G333" i="6" a="1"/>
  <c r="G333" i="6" s="1"/>
  <c r="C333" i="6" a="1"/>
  <c r="C333" i="6" s="1"/>
  <c r="M332" i="6" a="1"/>
  <c r="M332" i="6" s="1"/>
  <c r="I332" i="6" a="1"/>
  <c r="I332" i="6" s="1"/>
  <c r="E332" i="6" a="1"/>
  <c r="E332" i="6" s="1"/>
  <c r="O331" i="6" a="1"/>
  <c r="O331" i="6" s="1"/>
  <c r="K331" i="6" a="1"/>
  <c r="K331" i="6" s="1"/>
  <c r="G331" i="6" a="1"/>
  <c r="G331" i="6" s="1"/>
  <c r="C331" i="6" a="1"/>
  <c r="C331" i="6" s="1"/>
  <c r="M330" i="6" a="1"/>
  <c r="M330" i="6" s="1"/>
  <c r="I330" i="6" a="1"/>
  <c r="I330" i="6" s="1"/>
  <c r="E330" i="6" a="1"/>
  <c r="E330" i="6" s="1"/>
  <c r="O329" i="6" a="1"/>
  <c r="O329" i="6" s="1"/>
  <c r="K329" i="6" a="1"/>
  <c r="K329" i="6" s="1"/>
  <c r="G329" i="6" a="1"/>
  <c r="G329" i="6" s="1"/>
  <c r="C329" i="6" a="1"/>
  <c r="C329" i="6" s="1"/>
  <c r="M328" i="6" a="1"/>
  <c r="M328" i="6" s="1"/>
  <c r="I328" i="6" a="1"/>
  <c r="I328" i="6" s="1"/>
  <c r="O361" i="6" a="1"/>
  <c r="O361" i="6" s="1"/>
  <c r="J354" i="6" a="1"/>
  <c r="J354" i="6" s="1"/>
  <c r="D351" i="6" a="1"/>
  <c r="D351" i="6" s="1"/>
  <c r="E348" i="6" a="1"/>
  <c r="E348" i="6" s="1"/>
  <c r="D347" i="6" a="1"/>
  <c r="D347" i="6" s="1"/>
  <c r="J346" i="6" a="1"/>
  <c r="J346" i="6" s="1"/>
  <c r="B346" i="6" a="1"/>
  <c r="B346" i="6" s="1"/>
  <c r="H345" i="6" a="1"/>
  <c r="H345" i="6" s="1"/>
  <c r="N344" i="6" a="1"/>
  <c r="N344" i="6" s="1"/>
  <c r="F344" i="6" a="1"/>
  <c r="F344" i="6" s="1"/>
  <c r="L343" i="6" a="1"/>
  <c r="L343" i="6" s="1"/>
  <c r="D343" i="6" a="1"/>
  <c r="D343" i="6" s="1"/>
  <c r="J342" i="6" a="1"/>
  <c r="J342" i="6" s="1"/>
  <c r="B342" i="6" a="1"/>
  <c r="B342" i="6" s="1"/>
  <c r="H341" i="6" a="1"/>
  <c r="H341" i="6" s="1"/>
  <c r="N340" i="6" a="1"/>
  <c r="N340" i="6" s="1"/>
  <c r="F340" i="6" a="1"/>
  <c r="F340" i="6" s="1"/>
  <c r="L339" i="6" a="1"/>
  <c r="L339" i="6" s="1"/>
  <c r="D339" i="6" a="1"/>
  <c r="D339" i="6" s="1"/>
  <c r="J338" i="6" a="1"/>
  <c r="J338" i="6" s="1"/>
  <c r="B338" i="6" a="1"/>
  <c r="B338" i="6" s="1"/>
  <c r="H337" i="6" a="1"/>
  <c r="H337" i="6" s="1"/>
  <c r="I336" i="6" a="1"/>
  <c r="I336" i="6" s="1"/>
  <c r="H361" i="6" a="1"/>
  <c r="H361" i="6" s="1"/>
  <c r="M357" i="6" a="1"/>
  <c r="M357" i="6" s="1"/>
  <c r="D354" i="6" a="1"/>
  <c r="D354" i="6" s="1"/>
  <c r="M350" i="6" a="1"/>
  <c r="M350" i="6" s="1"/>
  <c r="C348" i="6" a="1"/>
  <c r="C348" i="6" s="1"/>
  <c r="C347" i="6" a="1"/>
  <c r="C347" i="6" s="1"/>
  <c r="I346" i="6" a="1"/>
  <c r="I346" i="6" s="1"/>
  <c r="O345" i="6" a="1"/>
  <c r="O345" i="6" s="1"/>
  <c r="G345" i="6" a="1"/>
  <c r="G345" i="6" s="1"/>
  <c r="M344" i="6" a="1"/>
  <c r="M344" i="6" s="1"/>
  <c r="E344" i="6" a="1"/>
  <c r="E344" i="6" s="1"/>
  <c r="K343" i="6" a="1"/>
  <c r="K343" i="6" s="1"/>
  <c r="C343" i="6" a="1"/>
  <c r="C343" i="6" s="1"/>
  <c r="I342" i="6" a="1"/>
  <c r="I342" i="6" s="1"/>
  <c r="O341" i="6" a="1"/>
  <c r="O341" i="6" s="1"/>
  <c r="G341" i="6" a="1"/>
  <c r="G341" i="6" s="1"/>
  <c r="M340" i="6" a="1"/>
  <c r="M340" i="6" s="1"/>
  <c r="E340" i="6" a="1"/>
  <c r="E340" i="6" s="1"/>
  <c r="K339" i="6" a="1"/>
  <c r="K339" i="6" s="1"/>
  <c r="C339" i="6" a="1"/>
  <c r="C339" i="6" s="1"/>
  <c r="I338" i="6" a="1"/>
  <c r="I338" i="6" s="1"/>
  <c r="O337" i="6" a="1"/>
  <c r="O337" i="6" s="1"/>
  <c r="G337" i="6" a="1"/>
  <c r="G337" i="6" s="1"/>
  <c r="N336" i="6" a="1"/>
  <c r="N336" i="6" s="1"/>
  <c r="H336" i="6" a="1"/>
  <c r="H336" i="6" s="1"/>
  <c r="D336" i="6" a="1"/>
  <c r="D336" i="6" s="1"/>
  <c r="N335" i="6" a="1"/>
  <c r="N335" i="6" s="1"/>
  <c r="J335" i="6" a="1"/>
  <c r="J335" i="6" s="1"/>
  <c r="F335" i="6" a="1"/>
  <c r="F335" i="6" s="1"/>
  <c r="B335" i="6" a="1"/>
  <c r="B335" i="6" s="1"/>
  <c r="L334" i="6" a="1"/>
  <c r="L334" i="6" s="1"/>
  <c r="H334" i="6" a="1"/>
  <c r="H334" i="6" s="1"/>
  <c r="D334" i="6" a="1"/>
  <c r="D334" i="6" s="1"/>
  <c r="N333" i="6" a="1"/>
  <c r="N333" i="6" s="1"/>
  <c r="J333" i="6" a="1"/>
  <c r="J333" i="6" s="1"/>
  <c r="F333" i="6" a="1"/>
  <c r="F333" i="6" s="1"/>
  <c r="B333" i="6" a="1"/>
  <c r="B333" i="6" s="1"/>
  <c r="L332" i="6" a="1"/>
  <c r="L332" i="6" s="1"/>
  <c r="H332" i="6" a="1"/>
  <c r="H332" i="6" s="1"/>
  <c r="D332" i="6" a="1"/>
  <c r="D332" i="6" s="1"/>
  <c r="N331" i="6" a="1"/>
  <c r="N331" i="6" s="1"/>
  <c r="J331" i="6" a="1"/>
  <c r="J331" i="6" s="1"/>
  <c r="F331" i="6" a="1"/>
  <c r="F331" i="6" s="1"/>
  <c r="B331" i="6" a="1"/>
  <c r="B331" i="6" s="1"/>
  <c r="L330" i="6" a="1"/>
  <c r="L330" i="6" s="1"/>
  <c r="H330" i="6" a="1"/>
  <c r="H330" i="6" s="1"/>
  <c r="D330" i="6" a="1"/>
  <c r="D330" i="6" s="1"/>
  <c r="K364" i="6" a="1"/>
  <c r="K364" i="6" s="1"/>
  <c r="B361" i="6" a="1"/>
  <c r="B361" i="6" s="1"/>
  <c r="G357" i="6" a="1"/>
  <c r="G357" i="6" s="1"/>
  <c r="G350" i="6" a="1"/>
  <c r="G350" i="6" s="1"/>
  <c r="M347" i="6" a="1"/>
  <c r="M347" i="6" s="1"/>
  <c r="B347" i="6" a="1"/>
  <c r="B347" i="6" s="1"/>
  <c r="H346" i="6" a="1"/>
  <c r="H346" i="6" s="1"/>
  <c r="N345" i="6" a="1"/>
  <c r="N345" i="6" s="1"/>
  <c r="F345" i="6" a="1"/>
  <c r="F345" i="6" s="1"/>
  <c r="L344" i="6" a="1"/>
  <c r="L344" i="6" s="1"/>
  <c r="D344" i="6" a="1"/>
  <c r="D344" i="6" s="1"/>
  <c r="J343" i="6" a="1"/>
  <c r="J343" i="6" s="1"/>
  <c r="B343" i="6" a="1"/>
  <c r="B343" i="6" s="1"/>
  <c r="H342" i="6" a="1"/>
  <c r="H342" i="6" s="1"/>
  <c r="N341" i="6" a="1"/>
  <c r="N341" i="6" s="1"/>
  <c r="F341" i="6" a="1"/>
  <c r="F341" i="6" s="1"/>
  <c r="L340" i="6" a="1"/>
  <c r="L340" i="6" s="1"/>
  <c r="D340" i="6" a="1"/>
  <c r="D340" i="6" s="1"/>
  <c r="J339" i="6" a="1"/>
  <c r="J339" i="6" s="1"/>
  <c r="B339" i="6" a="1"/>
  <c r="B339" i="6" s="1"/>
  <c r="H338" i="6" a="1"/>
  <c r="H338" i="6" s="1"/>
  <c r="N337" i="6" a="1"/>
  <c r="N337" i="6" s="1"/>
  <c r="F337" i="6" a="1"/>
  <c r="F337" i="6" s="1"/>
  <c r="M336" i="6" a="1"/>
  <c r="M336" i="6" s="1"/>
  <c r="E364" i="6" a="1"/>
  <c r="E364" i="6" s="1"/>
  <c r="N356" i="6" a="1"/>
  <c r="N356" i="6" s="1"/>
  <c r="E353" i="6" a="1"/>
  <c r="E353" i="6" s="1"/>
  <c r="B350" i="6" a="1"/>
  <c r="B350" i="6" s="1"/>
  <c r="L347" i="6" a="1"/>
  <c r="L347" i="6" s="1"/>
  <c r="O346" i="6" a="1"/>
  <c r="O346" i="6" s="1"/>
  <c r="G346" i="6" a="1"/>
  <c r="G346" i="6" s="1"/>
  <c r="M345" i="6" a="1"/>
  <c r="M345" i="6" s="1"/>
  <c r="E345" i="6" a="1"/>
  <c r="E345" i="6" s="1"/>
  <c r="K344" i="6" a="1"/>
  <c r="K344" i="6" s="1"/>
  <c r="C344" i="6" a="1"/>
  <c r="C344" i="6" s="1"/>
  <c r="I343" i="6" a="1"/>
  <c r="I343" i="6" s="1"/>
  <c r="O342" i="6" a="1"/>
  <c r="O342" i="6" s="1"/>
  <c r="G342" i="6" a="1"/>
  <c r="G342" i="6" s="1"/>
  <c r="M341" i="6" a="1"/>
  <c r="M341" i="6" s="1"/>
  <c r="E341" i="6" a="1"/>
  <c r="E341" i="6" s="1"/>
  <c r="K340" i="6" a="1"/>
  <c r="K340" i="6" s="1"/>
  <c r="C340" i="6" a="1"/>
  <c r="C340" i="6" s="1"/>
  <c r="I339" i="6" a="1"/>
  <c r="I339" i="6" s="1"/>
  <c r="O338" i="6" a="1"/>
  <c r="O338" i="6" s="1"/>
  <c r="G338" i="6" a="1"/>
  <c r="G338" i="6" s="1"/>
  <c r="M337" i="6" a="1"/>
  <c r="M337" i="6" s="1"/>
  <c r="E337" i="6" a="1"/>
  <c r="E337" i="6" s="1"/>
  <c r="L336" i="6" a="1"/>
  <c r="L336" i="6" s="1"/>
  <c r="G336" i="6" a="1"/>
  <c r="G336" i="6" s="1"/>
  <c r="C336" i="6" a="1"/>
  <c r="C336" i="6" s="1"/>
  <c r="M335" i="6" a="1"/>
  <c r="M335" i="6" s="1"/>
  <c r="I335" i="6" a="1"/>
  <c r="I335" i="6" s="1"/>
  <c r="E335" i="6" a="1"/>
  <c r="E335" i="6" s="1"/>
  <c r="O334" i="6" a="1"/>
  <c r="O334" i="6" s="1"/>
  <c r="K334" i="6" a="1"/>
  <c r="K334" i="6" s="1"/>
  <c r="G334" i="6" a="1"/>
  <c r="G334" i="6" s="1"/>
  <c r="C334" i="6" a="1"/>
  <c r="C334" i="6" s="1"/>
  <c r="M333" i="6" a="1"/>
  <c r="M333" i="6" s="1"/>
  <c r="I333" i="6" a="1"/>
  <c r="I333" i="6" s="1"/>
  <c r="E333" i="6" a="1"/>
  <c r="E333" i="6" s="1"/>
  <c r="O332" i="6" a="1"/>
  <c r="O332" i="6" s="1"/>
  <c r="K332" i="6" a="1"/>
  <c r="K332" i="6" s="1"/>
  <c r="G332" i="6" a="1"/>
  <c r="G332" i="6" s="1"/>
  <c r="C332" i="6" a="1"/>
  <c r="C332" i="6" s="1"/>
  <c r="M331" i="6" a="1"/>
  <c r="M331" i="6" s="1"/>
  <c r="I331" i="6" a="1"/>
  <c r="I331" i="6" s="1"/>
  <c r="E331" i="6" a="1"/>
  <c r="E331" i="6" s="1"/>
  <c r="O330" i="6" a="1"/>
  <c r="O330" i="6" s="1"/>
  <c r="K330" i="6" a="1"/>
  <c r="K330" i="6" s="1"/>
  <c r="G330" i="6" a="1"/>
  <c r="G330" i="6" s="1"/>
  <c r="C330" i="6" a="1"/>
  <c r="C330" i="6" s="1"/>
  <c r="M329" i="6" a="1"/>
  <c r="M329" i="6" s="1"/>
  <c r="I329" i="6" a="1"/>
  <c r="I329" i="6" s="1"/>
  <c r="E329" i="6" a="1"/>
  <c r="E329" i="6" s="1"/>
  <c r="L363" i="6" a="1"/>
  <c r="L363" i="6" s="1"/>
  <c r="L345" i="6" a="1"/>
  <c r="L345" i="6" s="1"/>
  <c r="D341" i="6" a="1"/>
  <c r="D341" i="6" s="1"/>
  <c r="N329" i="6" a="1"/>
  <c r="N329" i="6" s="1"/>
  <c r="F328" i="6" a="1"/>
  <c r="F328" i="6" s="1"/>
  <c r="M327" i="6" a="1"/>
  <c r="M327" i="6" s="1"/>
  <c r="G327" i="6" a="1"/>
  <c r="G327" i="6" s="1"/>
  <c r="H326" i="6" a="1"/>
  <c r="H326" i="6" s="1"/>
  <c r="B326" i="6" a="1"/>
  <c r="B326" i="6" s="1"/>
  <c r="I325" i="6" a="1"/>
  <c r="I325" i="6" s="1"/>
  <c r="C325" i="6" a="1"/>
  <c r="C325" i="6" s="1"/>
  <c r="D324" i="6" a="1"/>
  <c r="D324" i="6" s="1"/>
  <c r="L323" i="6" a="1"/>
  <c r="L323" i="6" s="1"/>
  <c r="E323" i="6" a="1"/>
  <c r="E323" i="6" s="1"/>
  <c r="M322" i="6" a="1"/>
  <c r="M322" i="6" s="1"/>
  <c r="N321" i="6" a="1"/>
  <c r="N321" i="6" s="1"/>
  <c r="H321" i="6" a="1"/>
  <c r="H321" i="6" s="1"/>
  <c r="O320" i="6" a="1"/>
  <c r="O320" i="6" s="1"/>
  <c r="I320" i="6" a="1"/>
  <c r="I320" i="6" s="1"/>
  <c r="J319" i="6" a="1"/>
  <c r="J319" i="6" s="1"/>
  <c r="D319" i="6" a="1"/>
  <c r="D319" i="6" s="1"/>
  <c r="K318" i="6" a="1"/>
  <c r="K318" i="6" s="1"/>
  <c r="E318" i="6" a="1"/>
  <c r="E318" i="6" s="1"/>
  <c r="F317" i="6" a="1"/>
  <c r="F317" i="6" s="1"/>
  <c r="N316" i="6" a="1"/>
  <c r="N316" i="6" s="1"/>
  <c r="G316" i="6" a="1"/>
  <c r="G316" i="6" s="1"/>
  <c r="O315" i="6" a="1"/>
  <c r="O315" i="6" s="1"/>
  <c r="B315" i="6" a="1"/>
  <c r="B315" i="6" s="1"/>
  <c r="J314" i="6" a="1"/>
  <c r="J314" i="6" s="1"/>
  <c r="C314" i="6" a="1"/>
  <c r="C314" i="6" s="1"/>
  <c r="K313" i="6" a="1"/>
  <c r="K313" i="6" s="1"/>
  <c r="L312" i="6" a="1"/>
  <c r="L312" i="6" s="1"/>
  <c r="F312" i="6" a="1"/>
  <c r="F312" i="6" s="1"/>
  <c r="M311" i="6" a="1"/>
  <c r="M311" i="6" s="1"/>
  <c r="G311" i="6" a="1"/>
  <c r="G311" i="6" s="1"/>
  <c r="H310" i="6" a="1"/>
  <c r="H310" i="6" s="1"/>
  <c r="B310" i="6" a="1"/>
  <c r="B310" i="6" s="1"/>
  <c r="I309" i="6" a="1"/>
  <c r="I309" i="6" s="1"/>
  <c r="C309" i="6" a="1"/>
  <c r="C309" i="6" s="1"/>
  <c r="D308" i="6" a="1"/>
  <c r="D308" i="6" s="1"/>
  <c r="L307" i="6" a="1"/>
  <c r="L307" i="6" s="1"/>
  <c r="E307" i="6" a="1"/>
  <c r="E307" i="6" s="1"/>
  <c r="M306" i="6" a="1"/>
  <c r="M306" i="6" s="1"/>
  <c r="N305" i="6" a="1"/>
  <c r="N305" i="6" s="1"/>
  <c r="H305" i="6" a="1"/>
  <c r="H305" i="6" s="1"/>
  <c r="O304" i="6" a="1"/>
  <c r="O304" i="6" s="1"/>
  <c r="I304" i="6" a="1"/>
  <c r="I304" i="6" s="1"/>
  <c r="J303" i="6" a="1"/>
  <c r="J303" i="6" s="1"/>
  <c r="D303" i="6" a="1"/>
  <c r="D303" i="6" s="1"/>
  <c r="K302" i="6" a="1"/>
  <c r="K302" i="6" s="1"/>
  <c r="E302" i="6" a="1"/>
  <c r="E302" i="6" s="1"/>
  <c r="F301" i="6" a="1"/>
  <c r="F301" i="6" s="1"/>
  <c r="N300" i="6" a="1"/>
  <c r="N300" i="6" s="1"/>
  <c r="G300" i="6" a="1"/>
  <c r="G300" i="6" s="1"/>
  <c r="O299" i="6" a="1"/>
  <c r="O299" i="6" s="1"/>
  <c r="B299" i="6" a="1"/>
  <c r="B299" i="6" s="1"/>
  <c r="J298" i="6" a="1"/>
  <c r="J298" i="6" s="1"/>
  <c r="C298" i="6" a="1"/>
  <c r="C298" i="6" s="1"/>
  <c r="K297" i="6" a="1"/>
  <c r="K297" i="6" s="1"/>
  <c r="M296" i="6" a="1"/>
  <c r="M296" i="6" s="1"/>
  <c r="K295" i="6" a="1"/>
  <c r="K295" i="6" s="1"/>
  <c r="C360" i="6" a="1"/>
  <c r="C360" i="6" s="1"/>
  <c r="D345" i="6" a="1"/>
  <c r="D345" i="6" s="1"/>
  <c r="J340" i="6" a="1"/>
  <c r="J340" i="6" s="1"/>
  <c r="L328" i="6" a="1"/>
  <c r="L328" i="6" s="1"/>
  <c r="E328" i="6" a="1"/>
  <c r="E328" i="6" s="1"/>
  <c r="F327" i="6" a="1"/>
  <c r="F327" i="6" s="1"/>
  <c r="N326" i="6" a="1"/>
  <c r="N326" i="6" s="1"/>
  <c r="G326" i="6" a="1"/>
  <c r="G326" i="6" s="1"/>
  <c r="O325" i="6" a="1"/>
  <c r="O325" i="6" s="1"/>
  <c r="B325" i="6" a="1"/>
  <c r="B325" i="6" s="1"/>
  <c r="J324" i="6" a="1"/>
  <c r="J324" i="6" s="1"/>
  <c r="C324" i="6" a="1"/>
  <c r="C324" i="6" s="1"/>
  <c r="K323" i="6" a="1"/>
  <c r="K323" i="6" s="1"/>
  <c r="L322" i="6" a="1"/>
  <c r="L322" i="6" s="1"/>
  <c r="F322" i="6" a="1"/>
  <c r="F322" i="6" s="1"/>
  <c r="M321" i="6" a="1"/>
  <c r="M321" i="6" s="1"/>
  <c r="G321" i="6" a="1"/>
  <c r="G321" i="6" s="1"/>
  <c r="H320" i="6" a="1"/>
  <c r="H320" i="6" s="1"/>
  <c r="B320" i="6" a="1"/>
  <c r="B320" i="6" s="1"/>
  <c r="I319" i="6" a="1"/>
  <c r="I319" i="6" s="1"/>
  <c r="C319" i="6" a="1"/>
  <c r="C319" i="6" s="1"/>
  <c r="D318" i="6" a="1"/>
  <c r="D318" i="6" s="1"/>
  <c r="L317" i="6" a="1"/>
  <c r="L317" i="6" s="1"/>
  <c r="E317" i="6" a="1"/>
  <c r="E317" i="6" s="1"/>
  <c r="M316" i="6" a="1"/>
  <c r="M316" i="6" s="1"/>
  <c r="N315" i="6" a="1"/>
  <c r="N315" i="6" s="1"/>
  <c r="H315" i="6" a="1"/>
  <c r="H315" i="6" s="1"/>
  <c r="O314" i="6" a="1"/>
  <c r="O314" i="6" s="1"/>
  <c r="I314" i="6" a="1"/>
  <c r="I314" i="6" s="1"/>
  <c r="J313" i="6" a="1"/>
  <c r="J313" i="6" s="1"/>
  <c r="D313" i="6" a="1"/>
  <c r="D313" i="6" s="1"/>
  <c r="K312" i="6" a="1"/>
  <c r="K312" i="6" s="1"/>
  <c r="E312" i="6" a="1"/>
  <c r="E312" i="6" s="1"/>
  <c r="F311" i="6" a="1"/>
  <c r="F311" i="6" s="1"/>
  <c r="N310" i="6" a="1"/>
  <c r="N310" i="6" s="1"/>
  <c r="G310" i="6" a="1"/>
  <c r="G310" i="6" s="1"/>
  <c r="O309" i="6" a="1"/>
  <c r="O309" i="6" s="1"/>
  <c r="B309" i="6" a="1"/>
  <c r="B309" i="6" s="1"/>
  <c r="J308" i="6" a="1"/>
  <c r="J308" i="6" s="1"/>
  <c r="C308" i="6" a="1"/>
  <c r="C308" i="6" s="1"/>
  <c r="K307" i="6" a="1"/>
  <c r="K307" i="6" s="1"/>
  <c r="L306" i="6" a="1"/>
  <c r="L306" i="6" s="1"/>
  <c r="F306" i="6" a="1"/>
  <c r="F306" i="6" s="1"/>
  <c r="M305" i="6" a="1"/>
  <c r="M305" i="6" s="1"/>
  <c r="G305" i="6" a="1"/>
  <c r="G305" i="6" s="1"/>
  <c r="H304" i="6" a="1"/>
  <c r="H304" i="6" s="1"/>
  <c r="B304" i="6" a="1"/>
  <c r="B304" i="6" s="1"/>
  <c r="I303" i="6" a="1"/>
  <c r="I303" i="6" s="1"/>
  <c r="C303" i="6" a="1"/>
  <c r="C303" i="6" s="1"/>
  <c r="D302" i="6" a="1"/>
  <c r="D302" i="6" s="1"/>
  <c r="L301" i="6" a="1"/>
  <c r="L301" i="6" s="1"/>
  <c r="E301" i="6" a="1"/>
  <c r="E301" i="6" s="1"/>
  <c r="M300" i="6" a="1"/>
  <c r="M300" i="6" s="1"/>
  <c r="N299" i="6" a="1"/>
  <c r="N299" i="6" s="1"/>
  <c r="H299" i="6" a="1"/>
  <c r="H299" i="6" s="1"/>
  <c r="O298" i="6" a="1"/>
  <c r="O298" i="6" s="1"/>
  <c r="I298" i="6" a="1"/>
  <c r="I298" i="6" s="1"/>
  <c r="J297" i="6" a="1"/>
  <c r="J297" i="6" s="1"/>
  <c r="D297" i="6" a="1"/>
  <c r="D297" i="6" s="1"/>
  <c r="L296" i="6" a="1"/>
  <c r="L296" i="6" s="1"/>
  <c r="G296" i="6" a="1"/>
  <c r="G296" i="6" s="1"/>
  <c r="B296" i="6" a="1"/>
  <c r="B296" i="6" s="1"/>
  <c r="H356" i="6" a="1"/>
  <c r="H356" i="6" s="1"/>
  <c r="J344" i="6" a="1"/>
  <c r="J344" i="6" s="1"/>
  <c r="B340" i="6" a="1"/>
  <c r="B340" i="6" s="1"/>
  <c r="J329" i="6" a="1"/>
  <c r="J329" i="6" s="1"/>
  <c r="K328" i="6" a="1"/>
  <c r="K328" i="6" s="1"/>
  <c r="D328" i="6" a="1"/>
  <c r="D328" i="6" s="1"/>
  <c r="L327" i="6" a="1"/>
  <c r="L327" i="6" s="1"/>
  <c r="E327" i="6" a="1"/>
  <c r="E327" i="6" s="1"/>
  <c r="M326" i="6" a="1"/>
  <c r="M326" i="6" s="1"/>
  <c r="N325" i="6" a="1"/>
  <c r="N325" i="6" s="1"/>
  <c r="H325" i="6" a="1"/>
  <c r="H325" i="6" s="1"/>
  <c r="O324" i="6" a="1"/>
  <c r="O324" i="6" s="1"/>
  <c r="I324" i="6" a="1"/>
  <c r="I324" i="6" s="1"/>
  <c r="J323" i="6" a="1"/>
  <c r="J323" i="6" s="1"/>
  <c r="D323" i="6" a="1"/>
  <c r="D323" i="6" s="1"/>
  <c r="K322" i="6" a="1"/>
  <c r="K322" i="6" s="1"/>
  <c r="E322" i="6" a="1"/>
  <c r="E322" i="6" s="1"/>
  <c r="F321" i="6" a="1"/>
  <c r="F321" i="6" s="1"/>
  <c r="N320" i="6" a="1"/>
  <c r="N320" i="6" s="1"/>
  <c r="G320" i="6" a="1"/>
  <c r="G320" i="6" s="1"/>
  <c r="O319" i="6" a="1"/>
  <c r="O319" i="6" s="1"/>
  <c r="B319" i="6" a="1"/>
  <c r="B319" i="6" s="1"/>
  <c r="J318" i="6" a="1"/>
  <c r="J318" i="6" s="1"/>
  <c r="C318" i="6" a="1"/>
  <c r="C318" i="6" s="1"/>
  <c r="K317" i="6" a="1"/>
  <c r="K317" i="6" s="1"/>
  <c r="L316" i="6" a="1"/>
  <c r="L316" i="6" s="1"/>
  <c r="F316" i="6" a="1"/>
  <c r="F316" i="6" s="1"/>
  <c r="M315" i="6" a="1"/>
  <c r="M315" i="6" s="1"/>
  <c r="G315" i="6" a="1"/>
  <c r="G315" i="6" s="1"/>
  <c r="H314" i="6" a="1"/>
  <c r="H314" i="6" s="1"/>
  <c r="B314" i="6" a="1"/>
  <c r="B314" i="6" s="1"/>
  <c r="I313" i="6" a="1"/>
  <c r="I313" i="6" s="1"/>
  <c r="C313" i="6" a="1"/>
  <c r="C313" i="6" s="1"/>
  <c r="D312" i="6" a="1"/>
  <c r="D312" i="6" s="1"/>
  <c r="L311" i="6" a="1"/>
  <c r="L311" i="6" s="1"/>
  <c r="E311" i="6" a="1"/>
  <c r="E311" i="6" s="1"/>
  <c r="M310" i="6" a="1"/>
  <c r="M310" i="6" s="1"/>
  <c r="N309" i="6" a="1"/>
  <c r="N309" i="6" s="1"/>
  <c r="H309" i="6" a="1"/>
  <c r="H309" i="6" s="1"/>
  <c r="O308" i="6" a="1"/>
  <c r="O308" i="6" s="1"/>
  <c r="I308" i="6" a="1"/>
  <c r="I308" i="6" s="1"/>
  <c r="J307" i="6" a="1"/>
  <c r="J307" i="6" s="1"/>
  <c r="D307" i="6" a="1"/>
  <c r="D307" i="6" s="1"/>
  <c r="K306" i="6" a="1"/>
  <c r="K306" i="6" s="1"/>
  <c r="E306" i="6" a="1"/>
  <c r="E306" i="6" s="1"/>
  <c r="F305" i="6" a="1"/>
  <c r="F305" i="6" s="1"/>
  <c r="N304" i="6" a="1"/>
  <c r="N304" i="6" s="1"/>
  <c r="G304" i="6" a="1"/>
  <c r="G304" i="6" s="1"/>
  <c r="O303" i="6" a="1"/>
  <c r="O303" i="6" s="1"/>
  <c r="B303" i="6" a="1"/>
  <c r="B303" i="6" s="1"/>
  <c r="J302" i="6" a="1"/>
  <c r="J302" i="6" s="1"/>
  <c r="C302" i="6" a="1"/>
  <c r="C302" i="6" s="1"/>
  <c r="K301" i="6" a="1"/>
  <c r="K301" i="6" s="1"/>
  <c r="L300" i="6" a="1"/>
  <c r="L300" i="6" s="1"/>
  <c r="F300" i="6" a="1"/>
  <c r="F300" i="6" s="1"/>
  <c r="M299" i="6" a="1"/>
  <c r="M299" i="6" s="1"/>
  <c r="G299" i="6" a="1"/>
  <c r="G299" i="6" s="1"/>
  <c r="H298" i="6" a="1"/>
  <c r="H298" i="6" s="1"/>
  <c r="B298" i="6" a="1"/>
  <c r="B298" i="6" s="1"/>
  <c r="I297" i="6" a="1"/>
  <c r="I297" i="6" s="1"/>
  <c r="C297" i="6" a="1"/>
  <c r="C297" i="6" s="1"/>
  <c r="O295" i="6" a="1"/>
  <c r="O295" i="6" s="1"/>
  <c r="M352" i="6" a="1"/>
  <c r="M352" i="6" s="1"/>
  <c r="B344" i="6" a="1"/>
  <c r="B344" i="6" s="1"/>
  <c r="H339" i="6" a="1"/>
  <c r="H339" i="6" s="1"/>
  <c r="C328" i="6" a="1"/>
  <c r="C328" i="6" s="1"/>
  <c r="K327" i="6" a="1"/>
  <c r="K327" i="6" s="1"/>
  <c r="L326" i="6" a="1"/>
  <c r="L326" i="6" s="1"/>
  <c r="F326" i="6" a="1"/>
  <c r="F326" i="6" s="1"/>
  <c r="M325" i="6" a="1"/>
  <c r="M325" i="6" s="1"/>
  <c r="G325" i="6" a="1"/>
  <c r="G325" i="6" s="1"/>
  <c r="H324" i="6" a="1"/>
  <c r="H324" i="6" s="1"/>
  <c r="B324" i="6" a="1"/>
  <c r="B324" i="6" s="1"/>
  <c r="I323" i="6" a="1"/>
  <c r="I323" i="6" s="1"/>
  <c r="C323" i="6" a="1"/>
  <c r="C323" i="6" s="1"/>
  <c r="D322" i="6" a="1"/>
  <c r="D322" i="6" s="1"/>
  <c r="L321" i="6" a="1"/>
  <c r="L321" i="6" s="1"/>
  <c r="E321" i="6" a="1"/>
  <c r="E321" i="6" s="1"/>
  <c r="M320" i="6" a="1"/>
  <c r="M320" i="6" s="1"/>
  <c r="N319" i="6" a="1"/>
  <c r="N319" i="6" s="1"/>
  <c r="H319" i="6" a="1"/>
  <c r="H319" i="6" s="1"/>
  <c r="O318" i="6" a="1"/>
  <c r="O318" i="6" s="1"/>
  <c r="I318" i="6" a="1"/>
  <c r="I318" i="6" s="1"/>
  <c r="J317" i="6" a="1"/>
  <c r="J317" i="6" s="1"/>
  <c r="D317" i="6" a="1"/>
  <c r="D317" i="6" s="1"/>
  <c r="K316" i="6" a="1"/>
  <c r="K316" i="6" s="1"/>
  <c r="E316" i="6" a="1"/>
  <c r="E316" i="6" s="1"/>
  <c r="F315" i="6" a="1"/>
  <c r="F315" i="6" s="1"/>
  <c r="N314" i="6" a="1"/>
  <c r="N314" i="6" s="1"/>
  <c r="G314" i="6" a="1"/>
  <c r="G314" i="6" s="1"/>
  <c r="O313" i="6" a="1"/>
  <c r="O313" i="6" s="1"/>
  <c r="B313" i="6" a="1"/>
  <c r="B313" i="6" s="1"/>
  <c r="J312" i="6" a="1"/>
  <c r="J312" i="6" s="1"/>
  <c r="C312" i="6" a="1"/>
  <c r="C312" i="6" s="1"/>
  <c r="K311" i="6" a="1"/>
  <c r="K311" i="6" s="1"/>
  <c r="L310" i="6" a="1"/>
  <c r="L310" i="6" s="1"/>
  <c r="F310" i="6" a="1"/>
  <c r="F310" i="6" s="1"/>
  <c r="M309" i="6" a="1"/>
  <c r="M309" i="6" s="1"/>
  <c r="G309" i="6" a="1"/>
  <c r="G309" i="6" s="1"/>
  <c r="H308" i="6" a="1"/>
  <c r="H308" i="6" s="1"/>
  <c r="B308" i="6" a="1"/>
  <c r="B308" i="6" s="1"/>
  <c r="I307" i="6" a="1"/>
  <c r="I307" i="6" s="1"/>
  <c r="C307" i="6" a="1"/>
  <c r="C307" i="6" s="1"/>
  <c r="D306" i="6" a="1"/>
  <c r="D306" i="6" s="1"/>
  <c r="L305" i="6" a="1"/>
  <c r="L305" i="6" s="1"/>
  <c r="E305" i="6" a="1"/>
  <c r="E305" i="6" s="1"/>
  <c r="M304" i="6" a="1"/>
  <c r="M304" i="6" s="1"/>
  <c r="N303" i="6" a="1"/>
  <c r="N303" i="6" s="1"/>
  <c r="H303" i="6" a="1"/>
  <c r="H303" i="6" s="1"/>
  <c r="O302" i="6" a="1"/>
  <c r="O302" i="6" s="1"/>
  <c r="I302" i="6" a="1"/>
  <c r="I302" i="6" s="1"/>
  <c r="J301" i="6" a="1"/>
  <c r="J301" i="6" s="1"/>
  <c r="D301" i="6" a="1"/>
  <c r="D301" i="6" s="1"/>
  <c r="K300" i="6" a="1"/>
  <c r="K300" i="6" s="1"/>
  <c r="E300" i="6" a="1"/>
  <c r="E300" i="6" s="1"/>
  <c r="F299" i="6" a="1"/>
  <c r="F299" i="6" s="1"/>
  <c r="N298" i="6" a="1"/>
  <c r="N298" i="6" s="1"/>
  <c r="G298" i="6" a="1"/>
  <c r="G298" i="6" s="1"/>
  <c r="O297" i="6" a="1"/>
  <c r="O297" i="6" s="1"/>
  <c r="B297" i="6" a="1"/>
  <c r="B297" i="6" s="1"/>
  <c r="K296" i="6" a="1"/>
  <c r="K296" i="6" s="1"/>
  <c r="F296" i="6" a="1"/>
  <c r="F296" i="6" s="1"/>
  <c r="N295" i="6" a="1"/>
  <c r="N295" i="6" s="1"/>
  <c r="I295" i="6" a="1"/>
  <c r="I295" i="6" s="1"/>
  <c r="K349" i="6" a="1"/>
  <c r="K349" i="6" s="1"/>
  <c r="H343" i="6" a="1"/>
  <c r="H343" i="6" s="1"/>
  <c r="N338" i="6" a="1"/>
  <c r="N338" i="6" s="1"/>
  <c r="F329" i="6" a="1"/>
  <c r="F329" i="6" s="1"/>
  <c r="J328" i="6" a="1"/>
  <c r="J328" i="6" s="1"/>
  <c r="J327" i="6" a="1"/>
  <c r="J327" i="6" s="1"/>
  <c r="D327" i="6" a="1"/>
  <c r="D327" i="6" s="1"/>
  <c r="K326" i="6" a="1"/>
  <c r="K326" i="6" s="1"/>
  <c r="E326" i="6" a="1"/>
  <c r="E326" i="6" s="1"/>
  <c r="F325" i="6" a="1"/>
  <c r="F325" i="6" s="1"/>
  <c r="N324" i="6" a="1"/>
  <c r="N324" i="6" s="1"/>
  <c r="G324" i="6" a="1"/>
  <c r="G324" i="6" s="1"/>
  <c r="O323" i="6" a="1"/>
  <c r="O323" i="6" s="1"/>
  <c r="B323" i="6" a="1"/>
  <c r="B323" i="6" s="1"/>
  <c r="J322" i="6" a="1"/>
  <c r="J322" i="6" s="1"/>
  <c r="C322" i="6" a="1"/>
  <c r="C322" i="6" s="1"/>
  <c r="K321" i="6" a="1"/>
  <c r="K321" i="6" s="1"/>
  <c r="L320" i="6" a="1"/>
  <c r="L320" i="6" s="1"/>
  <c r="F320" i="6" a="1"/>
  <c r="F320" i="6" s="1"/>
  <c r="M319" i="6" a="1"/>
  <c r="M319" i="6" s="1"/>
  <c r="G319" i="6" a="1"/>
  <c r="G319" i="6" s="1"/>
  <c r="H318" i="6" a="1"/>
  <c r="H318" i="6" s="1"/>
  <c r="B318" i="6" a="1"/>
  <c r="B318" i="6" s="1"/>
  <c r="I317" i="6" a="1"/>
  <c r="I317" i="6" s="1"/>
  <c r="C317" i="6" a="1"/>
  <c r="C317" i="6" s="1"/>
  <c r="D316" i="6" a="1"/>
  <c r="D316" i="6" s="1"/>
  <c r="L315" i="6" a="1"/>
  <c r="L315" i="6" s="1"/>
  <c r="E315" i="6" a="1"/>
  <c r="E315" i="6" s="1"/>
  <c r="M314" i="6" a="1"/>
  <c r="M314" i="6" s="1"/>
  <c r="N313" i="6" a="1"/>
  <c r="N313" i="6" s="1"/>
  <c r="H313" i="6" a="1"/>
  <c r="H313" i="6" s="1"/>
  <c r="O312" i="6" a="1"/>
  <c r="O312" i="6" s="1"/>
  <c r="I312" i="6" a="1"/>
  <c r="I312" i="6" s="1"/>
  <c r="J311" i="6" a="1"/>
  <c r="J311" i="6" s="1"/>
  <c r="D311" i="6" a="1"/>
  <c r="D311" i="6" s="1"/>
  <c r="K310" i="6" a="1"/>
  <c r="K310" i="6" s="1"/>
  <c r="E310" i="6" a="1"/>
  <c r="E310" i="6" s="1"/>
  <c r="F309" i="6" a="1"/>
  <c r="F309" i="6" s="1"/>
  <c r="N308" i="6" a="1"/>
  <c r="N308" i="6" s="1"/>
  <c r="G308" i="6" a="1"/>
  <c r="G308" i="6" s="1"/>
  <c r="O307" i="6" a="1"/>
  <c r="O307" i="6" s="1"/>
  <c r="B307" i="6" a="1"/>
  <c r="B307" i="6" s="1"/>
  <c r="J306" i="6" a="1"/>
  <c r="J306" i="6" s="1"/>
  <c r="C306" i="6" a="1"/>
  <c r="C306" i="6" s="1"/>
  <c r="K305" i="6" a="1"/>
  <c r="K305" i="6" s="1"/>
  <c r="L304" i="6" a="1"/>
  <c r="L304" i="6" s="1"/>
  <c r="F304" i="6" a="1"/>
  <c r="F304" i="6" s="1"/>
  <c r="M303" i="6" a="1"/>
  <c r="M303" i="6" s="1"/>
  <c r="G303" i="6" a="1"/>
  <c r="G303" i="6" s="1"/>
  <c r="H302" i="6" a="1"/>
  <c r="H302" i="6" s="1"/>
  <c r="B302" i="6" a="1"/>
  <c r="B302" i="6" s="1"/>
  <c r="I301" i="6" a="1"/>
  <c r="I301" i="6" s="1"/>
  <c r="C301" i="6" a="1"/>
  <c r="C301" i="6" s="1"/>
  <c r="D300" i="6" a="1"/>
  <c r="D300" i="6" s="1"/>
  <c r="L299" i="6" a="1"/>
  <c r="L299" i="6" s="1"/>
  <c r="E299" i="6" a="1"/>
  <c r="E299" i="6" s="1"/>
  <c r="M298" i="6" a="1"/>
  <c r="M298" i="6" s="1"/>
  <c r="N297" i="6" a="1"/>
  <c r="N297" i="6" s="1"/>
  <c r="H297" i="6" a="1"/>
  <c r="H297" i="6" s="1"/>
  <c r="H347" i="6" a="1"/>
  <c r="H347" i="6" s="1"/>
  <c r="N342" i="6" a="1"/>
  <c r="N342" i="6" s="1"/>
  <c r="F338" i="6" a="1"/>
  <c r="F338" i="6" s="1"/>
  <c r="H328" i="6" a="1"/>
  <c r="H328" i="6" s="1"/>
  <c r="B328" i="6" a="1"/>
  <c r="B328" i="6" s="1"/>
  <c r="I327" i="6" a="1"/>
  <c r="I327" i="6" s="1"/>
  <c r="C327" i="6" a="1"/>
  <c r="C327" i="6" s="1"/>
  <c r="D326" i="6" a="1"/>
  <c r="D326" i="6" s="1"/>
  <c r="L325" i="6" a="1"/>
  <c r="L325" i="6" s="1"/>
  <c r="E325" i="6" a="1"/>
  <c r="E325" i="6" s="1"/>
  <c r="M324" i="6" a="1"/>
  <c r="M324" i="6" s="1"/>
  <c r="N323" i="6" a="1"/>
  <c r="N323" i="6" s="1"/>
  <c r="H323" i="6" a="1"/>
  <c r="H323" i="6" s="1"/>
  <c r="O322" i="6" a="1"/>
  <c r="O322" i="6" s="1"/>
  <c r="I322" i="6" a="1"/>
  <c r="I322" i="6" s="1"/>
  <c r="J321" i="6" a="1"/>
  <c r="J321" i="6" s="1"/>
  <c r="D321" i="6" a="1"/>
  <c r="D321" i="6" s="1"/>
  <c r="K320" i="6" a="1"/>
  <c r="K320" i="6" s="1"/>
  <c r="E320" i="6" a="1"/>
  <c r="E320" i="6" s="1"/>
  <c r="F319" i="6" a="1"/>
  <c r="F319" i="6" s="1"/>
  <c r="N318" i="6" a="1"/>
  <c r="N318" i="6" s="1"/>
  <c r="G318" i="6" a="1"/>
  <c r="G318" i="6" s="1"/>
  <c r="O317" i="6" a="1"/>
  <c r="O317" i="6" s="1"/>
  <c r="B317" i="6" a="1"/>
  <c r="B317" i="6" s="1"/>
  <c r="J316" i="6" a="1"/>
  <c r="J316" i="6" s="1"/>
  <c r="C316" i="6" a="1"/>
  <c r="C316" i="6" s="1"/>
  <c r="K315" i="6" a="1"/>
  <c r="K315" i="6" s="1"/>
  <c r="L314" i="6" a="1"/>
  <c r="L314" i="6" s="1"/>
  <c r="F314" i="6" a="1"/>
  <c r="F314" i="6" s="1"/>
  <c r="M313" i="6" a="1"/>
  <c r="M313" i="6" s="1"/>
  <c r="G313" i="6" a="1"/>
  <c r="G313" i="6" s="1"/>
  <c r="H312" i="6" a="1"/>
  <c r="H312" i="6" s="1"/>
  <c r="B312" i="6" a="1"/>
  <c r="B312" i="6" s="1"/>
  <c r="I311" i="6" a="1"/>
  <c r="I311" i="6" s="1"/>
  <c r="C311" i="6" a="1"/>
  <c r="C311" i="6" s="1"/>
  <c r="D310" i="6" a="1"/>
  <c r="D310" i="6" s="1"/>
  <c r="L309" i="6" a="1"/>
  <c r="L309" i="6" s="1"/>
  <c r="E309" i="6" a="1"/>
  <c r="E309" i="6" s="1"/>
  <c r="M308" i="6" a="1"/>
  <c r="M308" i="6" s="1"/>
  <c r="N307" i="6" a="1"/>
  <c r="N307" i="6" s="1"/>
  <c r="H307" i="6" a="1"/>
  <c r="H307" i="6" s="1"/>
  <c r="O306" i="6" a="1"/>
  <c r="O306" i="6" s="1"/>
  <c r="I306" i="6" a="1"/>
  <c r="I306" i="6" s="1"/>
  <c r="J305" i="6" a="1"/>
  <c r="J305" i="6" s="1"/>
  <c r="D305" i="6" a="1"/>
  <c r="D305" i="6" s="1"/>
  <c r="K304" i="6" a="1"/>
  <c r="K304" i="6" s="1"/>
  <c r="E304" i="6" a="1"/>
  <c r="E304" i="6" s="1"/>
  <c r="F303" i="6" a="1"/>
  <c r="F303" i="6" s="1"/>
  <c r="N302" i="6" a="1"/>
  <c r="N302" i="6" s="1"/>
  <c r="G302" i="6" a="1"/>
  <c r="G302" i="6" s="1"/>
  <c r="O301" i="6" a="1"/>
  <c r="O301" i="6" s="1"/>
  <c r="B301" i="6" a="1"/>
  <c r="B301" i="6" s="1"/>
  <c r="J300" i="6" a="1"/>
  <c r="J300" i="6" s="1"/>
  <c r="C300" i="6" a="1"/>
  <c r="C300" i="6" s="1"/>
  <c r="K299" i="6" a="1"/>
  <c r="K299" i="6" s="1"/>
  <c r="L298" i="6" a="1"/>
  <c r="L298" i="6" s="1"/>
  <c r="F298" i="6" a="1"/>
  <c r="F298" i="6" s="1"/>
  <c r="M297" i="6" a="1"/>
  <c r="M297" i="6" s="1"/>
  <c r="G297" i="6" a="1"/>
  <c r="G297" i="6" s="1"/>
  <c r="O296" i="6" a="1"/>
  <c r="O296" i="6" s="1"/>
  <c r="N346" i="6" a="1"/>
  <c r="N346" i="6" s="1"/>
  <c r="F342" i="6" a="1"/>
  <c r="F342" i="6" s="1"/>
  <c r="L337" i="6" a="1"/>
  <c r="L337" i="6" s="1"/>
  <c r="B329" i="6" a="1"/>
  <c r="B329" i="6" s="1"/>
  <c r="G328" i="6" a="1"/>
  <c r="G328" i="6" s="1"/>
  <c r="O327" i="6" a="1"/>
  <c r="O327" i="6" s="1"/>
  <c r="B327" i="6" a="1"/>
  <c r="B327" i="6" s="1"/>
  <c r="J326" i="6" a="1"/>
  <c r="J326" i="6" s="1"/>
  <c r="C326" i="6" a="1"/>
  <c r="C326" i="6" s="1"/>
  <c r="K325" i="6" a="1"/>
  <c r="K325" i="6" s="1"/>
  <c r="L324" i="6" a="1"/>
  <c r="L324" i="6" s="1"/>
  <c r="F324" i="6" a="1"/>
  <c r="F324" i="6" s="1"/>
  <c r="M323" i="6" a="1"/>
  <c r="M323" i="6" s="1"/>
  <c r="G323" i="6" a="1"/>
  <c r="G323" i="6" s="1"/>
  <c r="H322" i="6" a="1"/>
  <c r="H322" i="6" s="1"/>
  <c r="B322" i="6" a="1"/>
  <c r="B322" i="6" s="1"/>
  <c r="I321" i="6" a="1"/>
  <c r="I321" i="6" s="1"/>
  <c r="C321" i="6" a="1"/>
  <c r="C321" i="6" s="1"/>
  <c r="D320" i="6" a="1"/>
  <c r="D320" i="6" s="1"/>
  <c r="L319" i="6" a="1"/>
  <c r="L319" i="6" s="1"/>
  <c r="E319" i="6" a="1"/>
  <c r="E319" i="6" s="1"/>
  <c r="M318" i="6" a="1"/>
  <c r="M318" i="6" s="1"/>
  <c r="N317" i="6" a="1"/>
  <c r="N317" i="6" s="1"/>
  <c r="H317" i="6" a="1"/>
  <c r="H317" i="6" s="1"/>
  <c r="O316" i="6" a="1"/>
  <c r="O316" i="6" s="1"/>
  <c r="I316" i="6" a="1"/>
  <c r="I316" i="6" s="1"/>
  <c r="J315" i="6" a="1"/>
  <c r="J315" i="6" s="1"/>
  <c r="D315" i="6" a="1"/>
  <c r="D315" i="6" s="1"/>
  <c r="K314" i="6" a="1"/>
  <c r="K314" i="6" s="1"/>
  <c r="E314" i="6" a="1"/>
  <c r="E314" i="6" s="1"/>
  <c r="F313" i="6" a="1"/>
  <c r="F313" i="6" s="1"/>
  <c r="N312" i="6" a="1"/>
  <c r="N312" i="6" s="1"/>
  <c r="G312" i="6" a="1"/>
  <c r="G312" i="6" s="1"/>
  <c r="O311" i="6" a="1"/>
  <c r="O311" i="6" s="1"/>
  <c r="B311" i="6" a="1"/>
  <c r="B311" i="6" s="1"/>
  <c r="J310" i="6" a="1"/>
  <c r="J310" i="6" s="1"/>
  <c r="C310" i="6" a="1"/>
  <c r="C310" i="6" s="1"/>
  <c r="K309" i="6" a="1"/>
  <c r="K309" i="6" s="1"/>
  <c r="L308" i="6" a="1"/>
  <c r="L308" i="6" s="1"/>
  <c r="F308" i="6" a="1"/>
  <c r="F308" i="6" s="1"/>
  <c r="M307" i="6" a="1"/>
  <c r="M307" i="6" s="1"/>
  <c r="G307" i="6" a="1"/>
  <c r="G307" i="6" s="1"/>
  <c r="H306" i="6" a="1"/>
  <c r="H306" i="6" s="1"/>
  <c r="B306" i="6" a="1"/>
  <c r="B306" i="6" s="1"/>
  <c r="I305" i="6" a="1"/>
  <c r="I305" i="6" s="1"/>
  <c r="C305" i="6" a="1"/>
  <c r="C305" i="6" s="1"/>
  <c r="D304" i="6" a="1"/>
  <c r="D304" i="6" s="1"/>
  <c r="L303" i="6" a="1"/>
  <c r="L303" i="6" s="1"/>
  <c r="E303" i="6" a="1"/>
  <c r="E303" i="6" s="1"/>
  <c r="M302" i="6" a="1"/>
  <c r="M302" i="6" s="1"/>
  <c r="N301" i="6" a="1"/>
  <c r="N301" i="6" s="1"/>
  <c r="H301" i="6" a="1"/>
  <c r="H301" i="6" s="1"/>
  <c r="O300" i="6" a="1"/>
  <c r="O300" i="6" s="1"/>
  <c r="I300" i="6" a="1"/>
  <c r="I300" i="6" s="1"/>
  <c r="J299" i="6" a="1"/>
  <c r="J299" i="6" s="1"/>
  <c r="D299" i="6" a="1"/>
  <c r="D299" i="6" s="1"/>
  <c r="K298" i="6" a="1"/>
  <c r="K298" i="6" s="1"/>
  <c r="E298" i="6" a="1"/>
  <c r="E298" i="6" s="1"/>
  <c r="F297" i="6" a="1"/>
  <c r="F297" i="6" s="1"/>
  <c r="I296" i="6" a="1"/>
  <c r="I296" i="6" s="1"/>
  <c r="G295" i="6" a="1"/>
  <c r="G295" i="6" s="1"/>
  <c r="F346" i="6" a="1"/>
  <c r="F346" i="6" s="1"/>
  <c r="N327" i="6" a="1"/>
  <c r="N327" i="6" s="1"/>
  <c r="E324" i="6" a="1"/>
  <c r="E324" i="6" s="1"/>
  <c r="J320" i="6" a="1"/>
  <c r="J320" i="6" s="1"/>
  <c r="E313" i="6" a="1"/>
  <c r="E313" i="6" s="1"/>
  <c r="J309" i="6" a="1"/>
  <c r="J309" i="6" s="1"/>
  <c r="O305" i="6" a="1"/>
  <c r="O305" i="6" s="1"/>
  <c r="F302" i="6" a="1"/>
  <c r="F302" i="6" s="1"/>
  <c r="H296" i="6" a="1"/>
  <c r="H296" i="6" s="1"/>
  <c r="B295" i="6" a="1"/>
  <c r="B295" i="6" s="1"/>
  <c r="K294" i="6" a="1"/>
  <c r="K294" i="6" s="1"/>
  <c r="O293" i="6" a="1"/>
  <c r="O293" i="6" s="1"/>
  <c r="J293" i="6" a="1"/>
  <c r="J293" i="6" s="1"/>
  <c r="O292" i="6" a="1"/>
  <c r="O292" i="6" s="1"/>
  <c r="F292" i="6" a="1"/>
  <c r="F292" i="6" s="1"/>
  <c r="L341" i="6" a="1"/>
  <c r="L341" i="6" s="1"/>
  <c r="H327" i="6" a="1"/>
  <c r="H327" i="6" s="1"/>
  <c r="C320" i="6" a="1"/>
  <c r="C320" i="6" s="1"/>
  <c r="H316" i="6" a="1"/>
  <c r="H316" i="6" s="1"/>
  <c r="M312" i="6" a="1"/>
  <c r="M312" i="6" s="1"/>
  <c r="D309" i="6" a="1"/>
  <c r="D309" i="6" s="1"/>
  <c r="M301" i="6" a="1"/>
  <c r="M301" i="6" s="1"/>
  <c r="D298" i="6" a="1"/>
  <c r="D298" i="6" s="1"/>
  <c r="E296" i="6" a="1"/>
  <c r="E296" i="6" s="1"/>
  <c r="H295" i="6" a="1"/>
  <c r="H295" i="6" s="1"/>
  <c r="J294" i="6" a="1"/>
  <c r="J294" i="6" s="1"/>
  <c r="E294" i="6" a="1"/>
  <c r="E294" i="6" s="1"/>
  <c r="N293" i="6" a="1"/>
  <c r="N293" i="6" s="1"/>
  <c r="E293" i="6" a="1"/>
  <c r="E293" i="6" s="1"/>
  <c r="J292" i="6" a="1"/>
  <c r="J292" i="6" s="1"/>
  <c r="O291" i="6" a="1"/>
  <c r="O291" i="6" s="1"/>
  <c r="K291" i="6" a="1"/>
  <c r="K291" i="6" s="1"/>
  <c r="G291" i="6" a="1"/>
  <c r="G291" i="6" s="1"/>
  <c r="C291" i="6" a="1"/>
  <c r="C291" i="6" s="1"/>
  <c r="M290" i="6" a="1"/>
  <c r="M290" i="6" s="1"/>
  <c r="I290" i="6" a="1"/>
  <c r="I290" i="6" s="1"/>
  <c r="E290" i="6" a="1"/>
  <c r="E290" i="6" s="1"/>
  <c r="O289" i="6" a="1"/>
  <c r="O289" i="6" s="1"/>
  <c r="K289" i="6" a="1"/>
  <c r="K289" i="6" s="1"/>
  <c r="G289" i="6" a="1"/>
  <c r="G289" i="6" s="1"/>
  <c r="C289" i="6" a="1"/>
  <c r="C289" i="6" s="1"/>
  <c r="M288" i="6" a="1"/>
  <c r="M288" i="6" s="1"/>
  <c r="I288" i="6" a="1"/>
  <c r="I288" i="6" s="1"/>
  <c r="E288" i="6" a="1"/>
  <c r="E288" i="6" s="1"/>
  <c r="O287" i="6" a="1"/>
  <c r="O287" i="6" s="1"/>
  <c r="K287" i="6" a="1"/>
  <c r="K287" i="6" s="1"/>
  <c r="G287" i="6" a="1"/>
  <c r="G287" i="6" s="1"/>
  <c r="C287" i="6" a="1"/>
  <c r="C287" i="6" s="1"/>
  <c r="M286" i="6" a="1"/>
  <c r="M286" i="6" s="1"/>
  <c r="I286" i="6" a="1"/>
  <c r="I286" i="6" s="1"/>
  <c r="E286" i="6" a="1"/>
  <c r="E286" i="6" s="1"/>
  <c r="O285" i="6" a="1"/>
  <c r="O285" i="6" s="1"/>
  <c r="K285" i="6" a="1"/>
  <c r="K285" i="6" s="1"/>
  <c r="G285" i="6" a="1"/>
  <c r="G285" i="6" s="1"/>
  <c r="D337" i="6" a="1"/>
  <c r="D337" i="6" s="1"/>
  <c r="O326" i="6" a="1"/>
  <c r="O326" i="6" s="1"/>
  <c r="F323" i="6" a="1"/>
  <c r="F323" i="6" s="1"/>
  <c r="K319" i="6" a="1"/>
  <c r="K319" i="6" s="1"/>
  <c r="B316" i="6" a="1"/>
  <c r="B316" i="6" s="1"/>
  <c r="K308" i="6" a="1"/>
  <c r="K308" i="6" s="1"/>
  <c r="B305" i="6" a="1"/>
  <c r="B305" i="6" s="1"/>
  <c r="G301" i="6" a="1"/>
  <c r="G301" i="6" s="1"/>
  <c r="L297" i="6" a="1"/>
  <c r="L297" i="6" s="1"/>
  <c r="D296" i="6" a="1"/>
  <c r="D296" i="6" s="1"/>
  <c r="F295" i="6" a="1"/>
  <c r="F295" i="6" s="1"/>
  <c r="O294" i="6" a="1"/>
  <c r="O294" i="6" s="1"/>
  <c r="D294" i="6" a="1"/>
  <c r="D294" i="6" s="1"/>
  <c r="I293" i="6" a="1"/>
  <c r="I293" i="6" s="1"/>
  <c r="N292" i="6" a="1"/>
  <c r="N292" i="6" s="1"/>
  <c r="E292" i="6" a="1"/>
  <c r="E292" i="6" s="1"/>
  <c r="I326" i="6" a="1"/>
  <c r="I326" i="6" s="1"/>
  <c r="N322" i="6" a="1"/>
  <c r="N322" i="6" s="1"/>
  <c r="I315" i="6" a="1"/>
  <c r="I315" i="6" s="1"/>
  <c r="N311" i="6" a="1"/>
  <c r="N311" i="6" s="1"/>
  <c r="E308" i="6" a="1"/>
  <c r="E308" i="6" s="1"/>
  <c r="J304" i="6" a="1"/>
  <c r="J304" i="6" s="1"/>
  <c r="E297" i="6" a="1"/>
  <c r="E297" i="6" s="1"/>
  <c r="C296" i="6" a="1"/>
  <c r="C296" i="6" s="1"/>
  <c r="N294" i="6" a="1"/>
  <c r="N294" i="6" s="1"/>
  <c r="I294" i="6" a="1"/>
  <c r="I294" i="6" s="1"/>
  <c r="M293" i="6" a="1"/>
  <c r="M293" i="6" s="1"/>
  <c r="D293" i="6" a="1"/>
  <c r="D293" i="6" s="1"/>
  <c r="I292" i="6" a="1"/>
  <c r="I292" i="6" s="1"/>
  <c r="D292" i="6" a="1"/>
  <c r="D292" i="6" s="1"/>
  <c r="N291" i="6" a="1"/>
  <c r="N291" i="6" s="1"/>
  <c r="J291" i="6" a="1"/>
  <c r="J291" i="6" s="1"/>
  <c r="F291" i="6" a="1"/>
  <c r="F291" i="6" s="1"/>
  <c r="B291" i="6" a="1"/>
  <c r="B291" i="6" s="1"/>
  <c r="L290" i="6" a="1"/>
  <c r="L290" i="6" s="1"/>
  <c r="H290" i="6" a="1"/>
  <c r="H290" i="6" s="1"/>
  <c r="D290" i="6" a="1"/>
  <c r="D290" i="6" s="1"/>
  <c r="N289" i="6" a="1"/>
  <c r="N289" i="6" s="1"/>
  <c r="J289" i="6" a="1"/>
  <c r="J289" i="6" s="1"/>
  <c r="F289" i="6" a="1"/>
  <c r="F289" i="6" s="1"/>
  <c r="B289" i="6" a="1"/>
  <c r="B289" i="6" s="1"/>
  <c r="L288" i="6" a="1"/>
  <c r="L288" i="6" s="1"/>
  <c r="H288" i="6" a="1"/>
  <c r="H288" i="6" s="1"/>
  <c r="D288" i="6" a="1"/>
  <c r="D288" i="6" s="1"/>
  <c r="N287" i="6" a="1"/>
  <c r="N287" i="6" s="1"/>
  <c r="J287" i="6" a="1"/>
  <c r="J287" i="6" s="1"/>
  <c r="F287" i="6" a="1"/>
  <c r="F287" i="6" s="1"/>
  <c r="B287" i="6" a="1"/>
  <c r="B287" i="6" s="1"/>
  <c r="L286" i="6" a="1"/>
  <c r="L286" i="6" s="1"/>
  <c r="H286" i="6" a="1"/>
  <c r="H286" i="6" s="1"/>
  <c r="D286" i="6" a="1"/>
  <c r="D286" i="6" s="1"/>
  <c r="N285" i="6" a="1"/>
  <c r="N285" i="6" s="1"/>
  <c r="J285" i="6" a="1"/>
  <c r="J285" i="6" s="1"/>
  <c r="F285" i="6" a="1"/>
  <c r="F285" i="6" s="1"/>
  <c r="B285" i="6" a="1"/>
  <c r="B285" i="6" s="1"/>
  <c r="G322" i="6" a="1"/>
  <c r="G322" i="6" s="1"/>
  <c r="L318" i="6" a="1"/>
  <c r="L318" i="6" s="1"/>
  <c r="C315" i="6" a="1"/>
  <c r="C315" i="6" s="1"/>
  <c r="H311" i="6" a="1"/>
  <c r="H311" i="6" s="1"/>
  <c r="C304" i="6" a="1"/>
  <c r="C304" i="6" s="1"/>
  <c r="H300" i="6" a="1"/>
  <c r="H300" i="6" s="1"/>
  <c r="E295" i="6" a="1"/>
  <c r="E295" i="6" s="1"/>
  <c r="H294" i="6" a="1"/>
  <c r="H294" i="6" s="1"/>
  <c r="C294" i="6" a="1"/>
  <c r="C294" i="6" s="1"/>
  <c r="H293" i="6" a="1"/>
  <c r="H293" i="6" s="1"/>
  <c r="M292" i="6" a="1"/>
  <c r="M292" i="6" s="1"/>
  <c r="H292" i="6" a="1"/>
  <c r="H292" i="6" s="1"/>
  <c r="J325" i="6" a="1"/>
  <c r="J325" i="6" s="1"/>
  <c r="O321" i="6" a="1"/>
  <c r="O321" i="6" s="1"/>
  <c r="F318" i="6" a="1"/>
  <c r="F318" i="6" s="1"/>
  <c r="O310" i="6" a="1"/>
  <c r="O310" i="6" s="1"/>
  <c r="F307" i="6" a="1"/>
  <c r="F307" i="6" s="1"/>
  <c r="K303" i="6" a="1"/>
  <c r="K303" i="6" s="1"/>
  <c r="B300" i="6" a="1"/>
  <c r="B300" i="6" s="1"/>
  <c r="N296" i="6" a="1"/>
  <c r="N296" i="6" s="1"/>
  <c r="M295" i="6" a="1"/>
  <c r="M295" i="6" s="1"/>
  <c r="D295" i="6" a="1"/>
  <c r="D295" i="6" s="1"/>
  <c r="M294" i="6" a="1"/>
  <c r="M294" i="6" s="1"/>
  <c r="L293" i="6" a="1"/>
  <c r="L293" i="6" s="1"/>
  <c r="C293" i="6" a="1"/>
  <c r="C293" i="6" s="1"/>
  <c r="L292" i="6" a="1"/>
  <c r="L292" i="6" s="1"/>
  <c r="C292" i="6" a="1"/>
  <c r="C292" i="6" s="1"/>
  <c r="M291" i="6" a="1"/>
  <c r="M291" i="6" s="1"/>
  <c r="I291" i="6" a="1"/>
  <c r="I291" i="6" s="1"/>
  <c r="E291" i="6" a="1"/>
  <c r="E291" i="6" s="1"/>
  <c r="O290" i="6" a="1"/>
  <c r="O290" i="6" s="1"/>
  <c r="K290" i="6" a="1"/>
  <c r="K290" i="6" s="1"/>
  <c r="G290" i="6" a="1"/>
  <c r="G290" i="6" s="1"/>
  <c r="C290" i="6" a="1"/>
  <c r="C290" i="6" s="1"/>
  <c r="M289" i="6" a="1"/>
  <c r="M289" i="6" s="1"/>
  <c r="I289" i="6" a="1"/>
  <c r="I289" i="6" s="1"/>
  <c r="E289" i="6" a="1"/>
  <c r="E289" i="6" s="1"/>
  <c r="O288" i="6" a="1"/>
  <c r="O288" i="6" s="1"/>
  <c r="K288" i="6" a="1"/>
  <c r="K288" i="6" s="1"/>
  <c r="G288" i="6" a="1"/>
  <c r="G288" i="6" s="1"/>
  <c r="C288" i="6" a="1"/>
  <c r="C288" i="6" s="1"/>
  <c r="M287" i="6" a="1"/>
  <c r="M287" i="6" s="1"/>
  <c r="I287" i="6" a="1"/>
  <c r="I287" i="6" s="1"/>
  <c r="E287" i="6" a="1"/>
  <c r="E287" i="6" s="1"/>
  <c r="O286" i="6" a="1"/>
  <c r="O286" i="6" s="1"/>
  <c r="K286" i="6" a="1"/>
  <c r="K286" i="6" s="1"/>
  <c r="G286" i="6" a="1"/>
  <c r="G286" i="6" s="1"/>
  <c r="C286" i="6" a="1"/>
  <c r="C286" i="6" s="1"/>
  <c r="M285" i="6" a="1"/>
  <c r="M285" i="6" s="1"/>
  <c r="O328" i="6" a="1"/>
  <c r="O328" i="6" s="1"/>
  <c r="D325" i="6" a="1"/>
  <c r="D325" i="6" s="1"/>
  <c r="M317" i="6" a="1"/>
  <c r="M317" i="6" s="1"/>
  <c r="D314" i="6" a="1"/>
  <c r="D314" i="6" s="1"/>
  <c r="I310" i="6" a="1"/>
  <c r="I310" i="6" s="1"/>
  <c r="N306" i="6" a="1"/>
  <c r="N306" i="6" s="1"/>
  <c r="I299" i="6" a="1"/>
  <c r="I299" i="6" s="1"/>
  <c r="L295" i="6" a="1"/>
  <c r="L295" i="6" s="1"/>
  <c r="L294" i="6" a="1"/>
  <c r="L294" i="6" s="1"/>
  <c r="G294" i="6" a="1"/>
  <c r="G294" i="6" s="1"/>
  <c r="B294" i="6" a="1"/>
  <c r="B294" i="6" s="1"/>
  <c r="G293" i="6" a="1"/>
  <c r="G293" i="6" s="1"/>
  <c r="B293" i="6" a="1"/>
  <c r="B293" i="6" s="1"/>
  <c r="G292" i="6" a="1"/>
  <c r="G292" i="6" s="1"/>
  <c r="C299" i="6" a="1"/>
  <c r="C299" i="6" s="1"/>
  <c r="F293" i="6" a="1"/>
  <c r="F293" i="6" s="1"/>
  <c r="N290" i="6" a="1"/>
  <c r="N290" i="6" s="1"/>
  <c r="J288" i="6" a="1"/>
  <c r="J288" i="6" s="1"/>
  <c r="F286" i="6" a="1"/>
  <c r="F286" i="6" s="1"/>
  <c r="O284" i="6" a="1"/>
  <c r="O284" i="6" s="1"/>
  <c r="G284" i="6" a="1"/>
  <c r="G284" i="6" s="1"/>
  <c r="M283" i="6" a="1"/>
  <c r="M283" i="6" s="1"/>
  <c r="E283" i="6" a="1"/>
  <c r="E283" i="6" s="1"/>
  <c r="K282" i="6" a="1"/>
  <c r="K282" i="6" s="1"/>
  <c r="C282" i="6" a="1"/>
  <c r="C282" i="6" s="1"/>
  <c r="I281" i="6" a="1"/>
  <c r="I281" i="6" s="1"/>
  <c r="O280" i="6" a="1"/>
  <c r="O280" i="6" s="1"/>
  <c r="G280" i="6" a="1"/>
  <c r="G280" i="6" s="1"/>
  <c r="M279" i="6" a="1"/>
  <c r="M279" i="6" s="1"/>
  <c r="E279" i="6" a="1"/>
  <c r="E279" i="6" s="1"/>
  <c r="K278" i="6" a="1"/>
  <c r="K278" i="6" s="1"/>
  <c r="C278" i="6" a="1"/>
  <c r="C278" i="6" s="1"/>
  <c r="I277" i="6" a="1"/>
  <c r="I277" i="6" s="1"/>
  <c r="K324" i="6" a="1"/>
  <c r="K324" i="6" s="1"/>
  <c r="J296" i="6" a="1"/>
  <c r="J296" i="6" s="1"/>
  <c r="J290" i="6" a="1"/>
  <c r="J290" i="6" s="1"/>
  <c r="F288" i="6" a="1"/>
  <c r="F288" i="6" s="1"/>
  <c r="B286" i="6" a="1"/>
  <c r="B286" i="6" s="1"/>
  <c r="N284" i="6" a="1"/>
  <c r="N284" i="6" s="1"/>
  <c r="F284" i="6" a="1"/>
  <c r="F284" i="6" s="1"/>
  <c r="L283" i="6" a="1"/>
  <c r="L283" i="6" s="1"/>
  <c r="D283" i="6" a="1"/>
  <c r="D283" i="6" s="1"/>
  <c r="J282" i="6" a="1"/>
  <c r="J282" i="6" s="1"/>
  <c r="B282" i="6" a="1"/>
  <c r="B282" i="6" s="1"/>
  <c r="H281" i="6" a="1"/>
  <c r="H281" i="6" s="1"/>
  <c r="N280" i="6" a="1"/>
  <c r="N280" i="6" s="1"/>
  <c r="F280" i="6" a="1"/>
  <c r="F280" i="6" s="1"/>
  <c r="L279" i="6" a="1"/>
  <c r="L279" i="6" s="1"/>
  <c r="D279" i="6" a="1"/>
  <c r="D279" i="6" s="1"/>
  <c r="J278" i="6" a="1"/>
  <c r="J278" i="6" s="1"/>
  <c r="B278" i="6" a="1"/>
  <c r="B278" i="6" s="1"/>
  <c r="H277" i="6" a="1"/>
  <c r="H277" i="6" s="1"/>
  <c r="B321" i="6" a="1"/>
  <c r="B321" i="6" s="1"/>
  <c r="J295" i="6" a="1"/>
  <c r="J295" i="6" s="1"/>
  <c r="K292" i="6" a="1"/>
  <c r="K292" i="6" s="1"/>
  <c r="F290" i="6" a="1"/>
  <c r="F290" i="6" s="1"/>
  <c r="B288" i="6" a="1"/>
  <c r="B288" i="6" s="1"/>
  <c r="L285" i="6" a="1"/>
  <c r="L285" i="6" s="1"/>
  <c r="M284" i="6" a="1"/>
  <c r="M284" i="6" s="1"/>
  <c r="E284" i="6" a="1"/>
  <c r="E284" i="6" s="1"/>
  <c r="K283" i="6" a="1"/>
  <c r="K283" i="6" s="1"/>
  <c r="C283" i="6" a="1"/>
  <c r="C283" i="6" s="1"/>
  <c r="I282" i="6" a="1"/>
  <c r="I282" i="6" s="1"/>
  <c r="O281" i="6" a="1"/>
  <c r="O281" i="6" s="1"/>
  <c r="G281" i="6" a="1"/>
  <c r="G281" i="6" s="1"/>
  <c r="M280" i="6" a="1"/>
  <c r="M280" i="6" s="1"/>
  <c r="E280" i="6" a="1"/>
  <c r="E280" i="6" s="1"/>
  <c r="K279" i="6" a="1"/>
  <c r="K279" i="6" s="1"/>
  <c r="C279" i="6" a="1"/>
  <c r="C279" i="6" s="1"/>
  <c r="I278" i="6" a="1"/>
  <c r="I278" i="6" s="1"/>
  <c r="O277" i="6" a="1"/>
  <c r="O277" i="6" s="1"/>
  <c r="G277" i="6" a="1"/>
  <c r="G277" i="6" s="1"/>
  <c r="G317" i="6" a="1"/>
  <c r="G317" i="6" s="1"/>
  <c r="C295" i="6" a="1"/>
  <c r="C295" i="6" s="1"/>
  <c r="B290" i="6" a="1"/>
  <c r="B290" i="6" s="1"/>
  <c r="L287" i="6" a="1"/>
  <c r="L287" i="6" s="1"/>
  <c r="I285" i="6" a="1"/>
  <c r="I285" i="6" s="1"/>
  <c r="L284" i="6" a="1"/>
  <c r="L284" i="6" s="1"/>
  <c r="D284" i="6" a="1"/>
  <c r="D284" i="6" s="1"/>
  <c r="J283" i="6" a="1"/>
  <c r="J283" i="6" s="1"/>
  <c r="B283" i="6" a="1"/>
  <c r="B283" i="6" s="1"/>
  <c r="H282" i="6" a="1"/>
  <c r="H282" i="6" s="1"/>
  <c r="N281" i="6" a="1"/>
  <c r="N281" i="6" s="1"/>
  <c r="F281" i="6" a="1"/>
  <c r="F281" i="6" s="1"/>
  <c r="L280" i="6" a="1"/>
  <c r="L280" i="6" s="1"/>
  <c r="D280" i="6" a="1"/>
  <c r="D280" i="6" s="1"/>
  <c r="J279" i="6" a="1"/>
  <c r="J279" i="6" s="1"/>
  <c r="B279" i="6" a="1"/>
  <c r="B279" i="6" s="1"/>
  <c r="H278" i="6" a="1"/>
  <c r="H278" i="6" s="1"/>
  <c r="N277" i="6" a="1"/>
  <c r="N277" i="6" s="1"/>
  <c r="F277" i="6" a="1"/>
  <c r="F277" i="6" s="1"/>
  <c r="L313" i="6" a="1"/>
  <c r="L313" i="6" s="1"/>
  <c r="B292" i="6" a="1"/>
  <c r="B292" i="6" s="1"/>
  <c r="L289" i="6" a="1"/>
  <c r="L289" i="6" s="1"/>
  <c r="H287" i="6" a="1"/>
  <c r="H287" i="6" s="1"/>
  <c r="H285" i="6" a="1"/>
  <c r="H285" i="6" s="1"/>
  <c r="K284" i="6" a="1"/>
  <c r="K284" i="6" s="1"/>
  <c r="C284" i="6" a="1"/>
  <c r="C284" i="6" s="1"/>
  <c r="I283" i="6" a="1"/>
  <c r="I283" i="6" s="1"/>
  <c r="O282" i="6" a="1"/>
  <c r="O282" i="6" s="1"/>
  <c r="G282" i="6" a="1"/>
  <c r="G282" i="6" s="1"/>
  <c r="M281" i="6" a="1"/>
  <c r="M281" i="6" s="1"/>
  <c r="E281" i="6" a="1"/>
  <c r="E281" i="6" s="1"/>
  <c r="K280" i="6" a="1"/>
  <c r="K280" i="6" s="1"/>
  <c r="C280" i="6" a="1"/>
  <c r="C280" i="6" s="1"/>
  <c r="I279" i="6" a="1"/>
  <c r="I279" i="6" s="1"/>
  <c r="O278" i="6" a="1"/>
  <c r="O278" i="6" s="1"/>
  <c r="G278" i="6" a="1"/>
  <c r="G278" i="6" s="1"/>
  <c r="M277" i="6" a="1"/>
  <c r="M277" i="6" s="1"/>
  <c r="E277" i="6" a="1"/>
  <c r="E277" i="6" s="1"/>
  <c r="F294" i="6" a="1"/>
  <c r="F294" i="6" s="1"/>
  <c r="L291" i="6" a="1"/>
  <c r="L291" i="6" s="1"/>
  <c r="H289" i="6" a="1"/>
  <c r="H289" i="6" s="1"/>
  <c r="D287" i="6" a="1"/>
  <c r="D287" i="6" s="1"/>
  <c r="E285" i="6" a="1"/>
  <c r="E285" i="6" s="1"/>
  <c r="J284" i="6" a="1"/>
  <c r="J284" i="6" s="1"/>
  <c r="B284" i="6" a="1"/>
  <c r="B284" i="6" s="1"/>
  <c r="H283" i="6" a="1"/>
  <c r="H283" i="6" s="1"/>
  <c r="N282" i="6" a="1"/>
  <c r="N282" i="6" s="1"/>
  <c r="F282" i="6" a="1"/>
  <c r="F282" i="6" s="1"/>
  <c r="L281" i="6" a="1"/>
  <c r="L281" i="6" s="1"/>
  <c r="D281" i="6" a="1"/>
  <c r="D281" i="6" s="1"/>
  <c r="J280" i="6" a="1"/>
  <c r="J280" i="6" s="1"/>
  <c r="B280" i="6" a="1"/>
  <c r="B280" i="6" s="1"/>
  <c r="H279" i="6" a="1"/>
  <c r="H279" i="6" s="1"/>
  <c r="N278" i="6" a="1"/>
  <c r="N278" i="6" s="1"/>
  <c r="F278" i="6" a="1"/>
  <c r="F278" i="6" s="1"/>
  <c r="L277" i="6" a="1"/>
  <c r="L277" i="6" s="1"/>
  <c r="D277" i="6" a="1"/>
  <c r="D277" i="6" s="1"/>
  <c r="G306" i="6" a="1"/>
  <c r="G306" i="6" s="1"/>
  <c r="H291" i="6" a="1"/>
  <c r="H291" i="6" s="1"/>
  <c r="D289" i="6" a="1"/>
  <c r="D289" i="6" s="1"/>
  <c r="N286" i="6" a="1"/>
  <c r="N286" i="6" s="1"/>
  <c r="D285" i="6" a="1"/>
  <c r="D285" i="6" s="1"/>
  <c r="I284" i="6" a="1"/>
  <c r="I284" i="6" s="1"/>
  <c r="O283" i="6" a="1"/>
  <c r="O283" i="6" s="1"/>
  <c r="G283" i="6" a="1"/>
  <c r="G283" i="6" s="1"/>
  <c r="M282" i="6" a="1"/>
  <c r="M282" i="6" s="1"/>
  <c r="E282" i="6" a="1"/>
  <c r="E282" i="6" s="1"/>
  <c r="K281" i="6" a="1"/>
  <c r="K281" i="6" s="1"/>
  <c r="C281" i="6" a="1"/>
  <c r="C281" i="6" s="1"/>
  <c r="I280" i="6" a="1"/>
  <c r="I280" i="6" s="1"/>
  <c r="O279" i="6" a="1"/>
  <c r="O279" i="6" s="1"/>
  <c r="G279" i="6" a="1"/>
  <c r="G279" i="6" s="1"/>
  <c r="M278" i="6" a="1"/>
  <c r="M278" i="6" s="1"/>
  <c r="E278" i="6" a="1"/>
  <c r="E278" i="6" s="1"/>
  <c r="K277" i="6" a="1"/>
  <c r="K277" i="6" s="1"/>
  <c r="C277" i="6" a="1"/>
  <c r="C277" i="6" s="1"/>
  <c r="L302" i="6" a="1"/>
  <c r="L302" i="6" s="1"/>
  <c r="F283" i="6" a="1"/>
  <c r="F283" i="6" s="1"/>
  <c r="L278" i="6" a="1"/>
  <c r="L278" i="6" s="1"/>
  <c r="K293" i="6" a="1"/>
  <c r="K293" i="6" s="1"/>
  <c r="L282" i="6" a="1"/>
  <c r="L282" i="6" s="1"/>
  <c r="D278" i="6" a="1"/>
  <c r="D278" i="6" s="1"/>
  <c r="D291" i="6" a="1"/>
  <c r="D291" i="6" s="1"/>
  <c r="D282" i="6" a="1"/>
  <c r="D282" i="6" s="1"/>
  <c r="J277" i="6" a="1"/>
  <c r="J277" i="6" s="1"/>
  <c r="N288" i="6" a="1"/>
  <c r="N288" i="6" s="1"/>
  <c r="J281" i="6" a="1"/>
  <c r="J281" i="6" s="1"/>
  <c r="B277" i="6" a="1"/>
  <c r="B277" i="6" s="1"/>
  <c r="J286" i="6" a="1"/>
  <c r="J286" i="6" s="1"/>
  <c r="B281" i="6" a="1"/>
  <c r="B281" i="6" s="1"/>
  <c r="C285" i="6" a="1"/>
  <c r="C285" i="6" s="1"/>
  <c r="H280" i="6" a="1"/>
  <c r="H280" i="6" s="1"/>
  <c r="H284" i="6" a="1"/>
  <c r="H284" i="6" s="1"/>
  <c r="N279" i="6" a="1"/>
  <c r="N279" i="6" s="1"/>
  <c r="N283" i="6" a="1"/>
  <c r="N283" i="6" s="1"/>
  <c r="F279" i="6" a="1"/>
  <c r="F279" i="6" s="1"/>
  <c r="C2" i="6" a="1"/>
  <c r="C2" i="6" s="1"/>
  <c r="G2" i="6" a="1"/>
  <c r="G2" i="6" s="1"/>
  <c r="K2" i="6" a="1"/>
  <c r="K2" i="6" s="1"/>
  <c r="O2" i="6" a="1"/>
  <c r="O2" i="6" s="1"/>
  <c r="E3" i="6" a="1"/>
  <c r="E3" i="6" s="1"/>
  <c r="I3" i="6" a="1"/>
  <c r="I3" i="6" s="1"/>
  <c r="M3" i="6" a="1"/>
  <c r="M3" i="6" s="1"/>
  <c r="C4" i="6" a="1"/>
  <c r="C4" i="6" s="1"/>
  <c r="G4" i="6" a="1"/>
  <c r="G4" i="6" s="1"/>
  <c r="M4" i="6" a="1"/>
  <c r="M4" i="6" s="1"/>
  <c r="G5" i="6" a="1"/>
  <c r="G5" i="6" s="1"/>
  <c r="O5" i="6" a="1"/>
  <c r="O5" i="6" s="1"/>
  <c r="I6" i="6" a="1"/>
  <c r="I6" i="6" s="1"/>
  <c r="C7" i="6" a="1"/>
  <c r="C7" i="6" s="1"/>
  <c r="K7" i="6" a="1"/>
  <c r="K7" i="6" s="1"/>
  <c r="E8" i="6" a="1"/>
  <c r="E8" i="6" s="1"/>
  <c r="M8" i="6" a="1"/>
  <c r="M8" i="6" s="1"/>
  <c r="G9" i="6" a="1"/>
  <c r="G9" i="6" s="1"/>
  <c r="O9" i="6" a="1"/>
  <c r="O9" i="6" s="1"/>
  <c r="I10" i="6" a="1"/>
  <c r="I10" i="6" s="1"/>
  <c r="C11" i="6" a="1"/>
  <c r="C11" i="6" s="1"/>
  <c r="K11" i="6" a="1"/>
  <c r="K11" i="6" s="1"/>
  <c r="E12" i="6" a="1"/>
  <c r="E12" i="6" s="1"/>
  <c r="M12" i="6" a="1"/>
  <c r="M12" i="6" s="1"/>
  <c r="G13" i="6" a="1"/>
  <c r="G13" i="6" s="1"/>
  <c r="O13" i="6" a="1"/>
  <c r="O13" i="6" s="1"/>
  <c r="I14" i="6" a="1"/>
  <c r="I14" i="6" s="1"/>
  <c r="C15" i="6" a="1"/>
  <c r="C15" i="6" s="1"/>
  <c r="K15" i="6" a="1"/>
  <c r="K15" i="6" s="1"/>
  <c r="E16" i="6" a="1"/>
  <c r="E16" i="6" s="1"/>
  <c r="M16" i="6" a="1"/>
  <c r="M16" i="6" s="1"/>
  <c r="G17" i="6" a="1"/>
  <c r="G17" i="6" s="1"/>
  <c r="O17" i="6" a="1"/>
  <c r="O17" i="6" s="1"/>
  <c r="I18" i="6" a="1"/>
  <c r="I18" i="6" s="1"/>
  <c r="C19" i="6" a="1"/>
  <c r="C19" i="6" s="1"/>
  <c r="K19" i="6" a="1"/>
  <c r="K19" i="6" s="1"/>
  <c r="E20" i="6" a="1"/>
  <c r="E20" i="6" s="1"/>
  <c r="M20" i="6" a="1"/>
  <c r="M20" i="6" s="1"/>
  <c r="G21" i="6" a="1"/>
  <c r="G21" i="6" s="1"/>
  <c r="O21" i="6" a="1"/>
  <c r="O21" i="6" s="1"/>
  <c r="I22" i="6" a="1"/>
  <c r="I22" i="6" s="1"/>
  <c r="C23" i="6" a="1"/>
  <c r="C23" i="6" s="1"/>
  <c r="K23" i="6" a="1"/>
  <c r="K23" i="6" s="1"/>
  <c r="E24" i="6" a="1"/>
  <c r="E24" i="6" s="1"/>
  <c r="M24" i="6" a="1"/>
  <c r="M24" i="6" s="1"/>
  <c r="G25" i="6" a="1"/>
  <c r="G25" i="6" s="1"/>
  <c r="O25" i="6" a="1"/>
  <c r="O25" i="6" s="1"/>
  <c r="I26" i="6" a="1"/>
  <c r="I26" i="6" s="1"/>
  <c r="C27" i="6" a="1"/>
  <c r="C27" i="6" s="1"/>
  <c r="K27" i="6" a="1"/>
  <c r="K27" i="6" s="1"/>
  <c r="E28" i="6" a="1"/>
  <c r="E28" i="6" s="1"/>
  <c r="M28" i="6" a="1"/>
  <c r="M28" i="6" s="1"/>
  <c r="G29" i="6" a="1"/>
  <c r="G29" i="6" s="1"/>
  <c r="O29" i="6" a="1"/>
  <c r="O29" i="6" s="1"/>
  <c r="I30" i="6" a="1"/>
  <c r="I30" i="6" s="1"/>
  <c r="C31" i="6" a="1"/>
  <c r="C31" i="6" s="1"/>
  <c r="K31" i="6" a="1"/>
  <c r="K31" i="6" s="1"/>
  <c r="E32" i="6" a="1"/>
  <c r="E32" i="6" s="1"/>
  <c r="M32" i="6" a="1"/>
  <c r="M32" i="6" s="1"/>
  <c r="G33" i="6" a="1"/>
  <c r="G33" i="6" s="1"/>
  <c r="O33" i="6" a="1"/>
  <c r="O33" i="6" s="1"/>
  <c r="I34" i="6" a="1"/>
  <c r="I34" i="6" s="1"/>
  <c r="C35" i="6" a="1"/>
  <c r="C35" i="6" s="1"/>
  <c r="K35" i="6" a="1"/>
  <c r="K35" i="6" s="1"/>
  <c r="E36" i="6" a="1"/>
  <c r="E36" i="6" s="1"/>
  <c r="M36" i="6" a="1"/>
  <c r="M36" i="6" s="1"/>
  <c r="G37" i="6" a="1"/>
  <c r="G37" i="6" s="1"/>
  <c r="O37" i="6" a="1"/>
  <c r="O37" i="6" s="1"/>
  <c r="I38" i="6" a="1"/>
  <c r="I38" i="6" s="1"/>
  <c r="C39" i="6" a="1"/>
  <c r="C39" i="6" s="1"/>
  <c r="K39" i="6" a="1"/>
  <c r="K39" i="6" s="1"/>
  <c r="E40" i="6" a="1"/>
  <c r="E40" i="6" s="1"/>
  <c r="M40" i="6" a="1"/>
  <c r="M40" i="6" s="1"/>
  <c r="G41" i="6" a="1"/>
  <c r="G41" i="6" s="1"/>
  <c r="O41" i="6" a="1"/>
  <c r="O41" i="6" s="1"/>
  <c r="I42" i="6" a="1"/>
  <c r="I42" i="6" s="1"/>
  <c r="C43" i="6" a="1"/>
  <c r="C43" i="6" s="1"/>
  <c r="K43" i="6" a="1"/>
  <c r="K43" i="6" s="1"/>
  <c r="E44" i="6" a="1"/>
  <c r="E44" i="6" s="1"/>
  <c r="M44" i="6" a="1"/>
  <c r="M44" i="6" s="1"/>
  <c r="G45" i="6" a="1"/>
  <c r="G45" i="6" s="1"/>
  <c r="O45" i="6" a="1"/>
  <c r="O45" i="6" s="1"/>
  <c r="I46" i="6" a="1"/>
  <c r="I46" i="6" s="1"/>
  <c r="C47" i="6" a="1"/>
  <c r="C47" i="6" s="1"/>
  <c r="K47" i="6" a="1"/>
  <c r="K47" i="6" s="1"/>
  <c r="E48" i="6" a="1"/>
  <c r="E48" i="6" s="1"/>
  <c r="M48" i="6" a="1"/>
  <c r="M48" i="6" s="1"/>
  <c r="G49" i="6" a="1"/>
  <c r="G49" i="6" s="1"/>
  <c r="O49" i="6" a="1"/>
  <c r="O49" i="6" s="1"/>
  <c r="I50" i="6" a="1"/>
  <c r="I50" i="6" s="1"/>
  <c r="C51" i="6" a="1"/>
  <c r="C51" i="6" s="1"/>
  <c r="K51" i="6" a="1"/>
  <c r="K51" i="6" s="1"/>
  <c r="E52" i="6" a="1"/>
  <c r="E52" i="6" s="1"/>
  <c r="M52" i="6" a="1"/>
  <c r="M52" i="6" s="1"/>
  <c r="G53" i="6" a="1"/>
  <c r="G53" i="6" s="1"/>
  <c r="O53" i="6" a="1"/>
  <c r="O53" i="6" s="1"/>
  <c r="I54" i="6" a="1"/>
  <c r="I54" i="6" s="1"/>
  <c r="C55" i="6" a="1"/>
  <c r="C55" i="6" s="1"/>
  <c r="K55" i="6" a="1"/>
  <c r="K55" i="6" s="1"/>
  <c r="E56" i="6" a="1"/>
  <c r="E56" i="6" s="1"/>
  <c r="M56" i="6" a="1"/>
  <c r="M56" i="6" s="1"/>
  <c r="G57" i="6" a="1"/>
  <c r="G57" i="6" s="1"/>
  <c r="O57" i="6" a="1"/>
  <c r="O57" i="6" s="1"/>
  <c r="I58" i="6" a="1"/>
  <c r="I58" i="6" s="1"/>
  <c r="C59" i="6" a="1"/>
  <c r="C59" i="6" s="1"/>
  <c r="K59" i="6" a="1"/>
  <c r="K59" i="6" s="1"/>
  <c r="E60" i="6" a="1"/>
  <c r="E60" i="6" s="1"/>
  <c r="M60" i="6" a="1"/>
  <c r="M60" i="6" s="1"/>
  <c r="G61" i="6" a="1"/>
  <c r="G61" i="6" s="1"/>
  <c r="O61" i="6" a="1"/>
  <c r="O61" i="6" s="1"/>
  <c r="I62" i="6" a="1"/>
  <c r="I62" i="6" s="1"/>
  <c r="C63" i="6" a="1"/>
  <c r="C63" i="6" s="1"/>
  <c r="K63" i="6" a="1"/>
  <c r="K63" i="6" s="1"/>
  <c r="E64" i="6" a="1"/>
  <c r="E64" i="6" s="1"/>
  <c r="M64" i="6" a="1"/>
  <c r="M64" i="6" s="1"/>
  <c r="G65" i="6" a="1"/>
  <c r="G65" i="6" s="1"/>
  <c r="O65" i="6" a="1"/>
  <c r="O65" i="6" s="1"/>
  <c r="I66" i="6" a="1"/>
  <c r="I66" i="6" s="1"/>
  <c r="H67" i="6" a="1"/>
  <c r="H67" i="6" s="1"/>
  <c r="L69" i="6" a="1"/>
  <c r="L69" i="6" s="1"/>
  <c r="B72" i="6" a="1"/>
  <c r="B72" i="6" s="1"/>
  <c r="F74" i="6" a="1"/>
  <c r="F74" i="6" s="1"/>
  <c r="J76" i="6" a="1"/>
  <c r="J76" i="6" s="1"/>
  <c r="N78" i="6" a="1"/>
  <c r="N78" i="6" s="1"/>
  <c r="D81" i="6" a="1"/>
  <c r="D81" i="6" s="1"/>
  <c r="D87" i="6" a="1"/>
  <c r="D87" i="6" s="1"/>
  <c r="M90" i="6" a="1"/>
  <c r="M90" i="6" s="1"/>
  <c r="H94" i="6" a="1"/>
  <c r="H94" i="6" s="1"/>
  <c r="C98" i="6" a="1"/>
  <c r="C98" i="6" s="1"/>
  <c r="H105" i="6" a="1"/>
  <c r="H105" i="6" s="1"/>
  <c r="O147" i="6" a="1"/>
  <c r="O147" i="6" s="1"/>
</calcChain>
</file>

<file path=xl/sharedStrings.xml><?xml version="1.0" encoding="utf-8"?>
<sst xmlns="http://schemas.openxmlformats.org/spreadsheetml/2006/main" count="4600" uniqueCount="2054">
  <si>
    <t>LOCALIDAD</t>
  </si>
  <si>
    <t>DEPARTAMENTO</t>
  </si>
  <si>
    <t>BANDA</t>
  </si>
  <si>
    <t>FREC.</t>
  </si>
  <si>
    <t>PRESBITERIO</t>
  </si>
  <si>
    <t>ESTADO</t>
  </si>
  <si>
    <t>INCIDENCIAS</t>
  </si>
  <si>
    <t>ULTIMA ACTUALIZACION</t>
  </si>
  <si>
    <t>OBSERVACIONES</t>
  </si>
  <si>
    <t>ID</t>
  </si>
  <si>
    <t>RESPONSABLE</t>
  </si>
  <si>
    <t>NIVEL</t>
  </si>
  <si>
    <t>PRESUP S/.</t>
  </si>
  <si>
    <t>PRESUP $</t>
  </si>
  <si>
    <t>Fecha F.A</t>
  </si>
  <si>
    <t>Tiempo F.A</t>
  </si>
  <si>
    <t>RENOVACION</t>
  </si>
  <si>
    <t>Amotape</t>
  </si>
  <si>
    <t>Piura</t>
  </si>
  <si>
    <t>VHF</t>
  </si>
  <si>
    <t>A.A</t>
  </si>
  <si>
    <t>AMOTAPE</t>
  </si>
  <si>
    <t>21/11/2025 - Sectoristas - Se envió al pastor el presupuesto para compra de implementos para mantenimiento de torre el día lunes 17 de noviembre, señalo por motivo de salud de su esposa no podrá atenderlo por ahora.</t>
  </si>
  <si>
    <t>Sectoristas</t>
  </si>
  <si>
    <t>Nivel 1</t>
  </si>
  <si>
    <t>Ayabaca</t>
  </si>
  <si>
    <t>FM</t>
  </si>
  <si>
    <t>AYABACA</t>
  </si>
  <si>
    <t>1/12/2025 - Sectoristas - Con fecha de ayer domingo 30 de noviembre el pastor envía videos donde se corrobora la operatividad de la radio y el canal.</t>
  </si>
  <si>
    <t>Bagua - La Peca</t>
  </si>
  <si>
    <t>Amazonas</t>
  </si>
  <si>
    <t>UHF</t>
  </si>
  <si>
    <t>BAGUA</t>
  </si>
  <si>
    <t>4/11/2025 - Sectoristas - Al aire</t>
  </si>
  <si>
    <t>BAGUA FM</t>
  </si>
  <si>
    <t>27/11/2025 - Sectoristas - Con fecha martes 25 de noviembre el pastor envía evidencia en video donde sintoniza la radio.</t>
  </si>
  <si>
    <t xml:space="preserve">04/11/2025 Según información brindada por Gregorio se conectó el transmisor de la radio pero con un estabilizador de computadora pues su estabilizador esta quemado. </t>
  </si>
  <si>
    <t>Bagua Grande</t>
  </si>
  <si>
    <t>BAGUA GRANDE</t>
  </si>
  <si>
    <t>1/12/2025 - Sectoristas - Con fecha sábado 29 de noviembre el pastor local señala que la radio se encuentra operativa enviando videos.</t>
  </si>
  <si>
    <t>Bambamarca</t>
  </si>
  <si>
    <t>Cajamarca</t>
  </si>
  <si>
    <t>BAMBAMARCA</t>
  </si>
  <si>
    <t>27/11/2025 - Sectoristas - Con fecha martes 25 de noviembre el pastor local señala que la radio se encuentra al aire, pero NO envia video de evidencia.</t>
  </si>
  <si>
    <t>Cabana</t>
  </si>
  <si>
    <t>Ancash</t>
  </si>
  <si>
    <t>CABANA</t>
  </si>
  <si>
    <t>1/12/2025 - Sectoristas - Con fecha jueves 27 de noviembre el pastor confirma que la radio se encuentra operativa enviando un video donde muestra la sintonia.</t>
  </si>
  <si>
    <t>27/11/2025 - Sectoristas - Con fecha martes 25 de noviembre el pastor envía como evidencia video donde se visualiza la sintonía del canal. Falto que envie de radio.</t>
  </si>
  <si>
    <t>Cajabamba</t>
  </si>
  <si>
    <t>CAJABAMBA</t>
  </si>
  <si>
    <t>4/12/2025 - Sectoristas - Con fecha lunes 01 de diciembre el pastor envia video evidenciando la operatividad</t>
  </si>
  <si>
    <t>CAJAMARCA</t>
  </si>
  <si>
    <t>10/11/2025 - Ingeniería - Se restableció nuevamente el fluido eléctrico por tema de mantenimiento de la empresa eléctrica. Se puso nuevamente al aire.</t>
  </si>
  <si>
    <t>04/11/2025 El pastor local señalo el día jueves 30 de octubre que las estaciones estarían fuera del aire una semana</t>
  </si>
  <si>
    <t>Ingeniería</t>
  </si>
  <si>
    <t>104.5</t>
  </si>
  <si>
    <t>11/11/2025 - Ingeniería - Se restableció nuevamente el fluido eléctrico por tema de mantenimiento de la empresa eléctrica. Se puso nuevamente al aire.</t>
  </si>
  <si>
    <t>Callayuc</t>
  </si>
  <si>
    <t>92.5</t>
  </si>
  <si>
    <t>CALLAYUC</t>
  </si>
  <si>
    <t>3/11/2025 - Sectoristas - Con fecha 01 de noviembre el pastor local y el hno Gregorio confirman que la radio se encuentra operativa asimismo enviaron audio como evidencia</t>
  </si>
  <si>
    <t>Campanilla</t>
  </si>
  <si>
    <t>San Martin</t>
  </si>
  <si>
    <t>CAMPANILLA</t>
  </si>
  <si>
    <t>9/10/2025 - Sectoristas - El día de hoy jueves 09 de octubre el pastor local señala que la radio se encuentra operativa las 24 horas, el pastor envió video evidenciando la operatividad. Asimismo, se le envió mensaje orientando sobre la renovacion de autorizacion</t>
  </si>
  <si>
    <t>31/01/2025 El pastor comunico eo dia de hoy que nuevamente se encuentra operativa</t>
  </si>
  <si>
    <t>Caraz</t>
  </si>
  <si>
    <t>CARAZ</t>
  </si>
  <si>
    <t>21/10/2025 - Sectoristas - Con fecha jueves 16 de octubre el pastor local señal que la radio y el canal se encuentran operativos</t>
  </si>
  <si>
    <t>Casa Grande</t>
  </si>
  <si>
    <t>La Libertad</t>
  </si>
  <si>
    <t>CASA GRANDE</t>
  </si>
  <si>
    <t>27/11/2025 - Sectoristas - Con fecha 25 de noviembre el pastor envía audio donde se verifica la operatividad de la radio</t>
  </si>
  <si>
    <t>Casma</t>
  </si>
  <si>
    <t>CASMA</t>
  </si>
  <si>
    <t>27/11/2025 - Sectoristas - El dia de hoy jueves 27 de noviembre el pastor local envía video evidenciando que la radio se encuentra con señal al aire.</t>
  </si>
  <si>
    <t>Homologacion transmisor nuevo</t>
  </si>
  <si>
    <t>Celendin</t>
  </si>
  <si>
    <t>CELENDIN</t>
  </si>
  <si>
    <t>10/10/2025 - Sectoristas - Con fecha 01 de octubre el pastor local señala que la radio y televisión se encuentran con señal al aire. Estuvieron operativos también en setiembre.</t>
  </si>
  <si>
    <t>Chacas</t>
  </si>
  <si>
    <t>93.7</t>
  </si>
  <si>
    <t>CHACAS</t>
  </si>
  <si>
    <t>27/11/2025 - Sectoristas - Con fecha de hoy 27 de noviembre el pastor local envia video evidenciando la operatividad de la radio</t>
  </si>
  <si>
    <t>Chachapoyas</t>
  </si>
  <si>
    <t>CHACHAPOYAS</t>
  </si>
  <si>
    <t>31/10/2025 - Sectoristas - Con fecha 29 de octubre se solicita al pastor Rolando que confirme operatividad, que envíe un audio para verificar si sale señal de la radio y se le consulta si desactivo el timer, señalando que esta operando como se le solicito</t>
  </si>
  <si>
    <t>Chalaco</t>
  </si>
  <si>
    <t>CHALACO</t>
  </si>
  <si>
    <t>20/11/2025 - Ingeniería - Con el apoyo local de un hermano de la zona, se logró poner nuevamente operativa la estación en el Caserío Lanche, ubicación autorizada.</t>
  </si>
  <si>
    <t>Chepén</t>
  </si>
  <si>
    <t>CHEPEN</t>
  </si>
  <si>
    <t>4/12/2025 - Sectoristas - Con fecha de hoy 04 de diciembre el hno Walter envía videos para evidenciar la señal de radio y televisión</t>
  </si>
  <si>
    <t>CHEPÉN</t>
  </si>
  <si>
    <t>Chiclayo</t>
  </si>
  <si>
    <t>Lambayeque</t>
  </si>
  <si>
    <t>CHICLAYO</t>
  </si>
  <si>
    <t>27/11/2025 - Sectoristas - El dia de ayer 26 de noviembre el pastor Vilcarima señalo que las dos frecuencias de radio y el canal se encuentran operativos, no se le solicito video.</t>
  </si>
  <si>
    <t>Chiclayo - San Jose</t>
  </si>
  <si>
    <t>AM</t>
  </si>
  <si>
    <t xml:space="preserve">Chiclayo </t>
  </si>
  <si>
    <t>107.7</t>
  </si>
  <si>
    <t>CHICLAYO FM</t>
  </si>
  <si>
    <t>Chimbote</t>
  </si>
  <si>
    <t>CHIMBOTE</t>
  </si>
  <si>
    <t>18/11/2025 - Sectoristas - El pastor Omar el día de ayer señalo que la radio se encuentra operativa.</t>
  </si>
  <si>
    <t>Homologacion de transmisor</t>
  </si>
  <si>
    <t>Chongoyape</t>
  </si>
  <si>
    <t>CHONGOYAPE</t>
  </si>
  <si>
    <t>27/11/2025 - Sectoristas - El dia de hoy el pastor local envia video evidenciando que la radio se encuentra opeartiva.</t>
  </si>
  <si>
    <t>Revision transmisor</t>
  </si>
  <si>
    <t>Chulucanas</t>
  </si>
  <si>
    <t>CHULUCANAS</t>
  </si>
  <si>
    <t>27/11/2025 - Sectoristas - Con fecha martes 25 de noviembre el pastor local envía evidencia de operatividad a través de video y audio.</t>
  </si>
  <si>
    <t>Mantenimiento antenas</t>
  </si>
  <si>
    <t>Conchucos</t>
  </si>
  <si>
    <t>CONCHUCOS</t>
  </si>
  <si>
    <t>27/11/2025 - Sectoristas - Con fecha 27 de noviembre 2025 el pastor envia evidencia por video de la operatividad del canal</t>
  </si>
  <si>
    <t>Huacrachuco</t>
  </si>
  <si>
    <t>Huanuco</t>
  </si>
  <si>
    <t>HUACRACHUCO</t>
  </si>
  <si>
    <t>1/12/2025 - Sectoristas - Con fecha martes 25 jueves 27 de noviembre y lunes 01 de diciembre se solicitó evidencia de monitoreo, el pastor envió esta evidencia en video el dia de hoy.</t>
  </si>
  <si>
    <t>Huamachuco</t>
  </si>
  <si>
    <t>HUAMACHUCO</t>
  </si>
  <si>
    <t>25/11/2025 - Sectoristas - Según información facilitada por el pastor con fecha 19 de noviembre la radio se encuentra con señal al aire</t>
  </si>
  <si>
    <t>Huaraz</t>
  </si>
  <si>
    <t>HUARAZ</t>
  </si>
  <si>
    <t>28/11/2025 - Sectoristas - Con fecha jueves 27 de noviembre el hno Kelion envia video donde se visualiza la señal de tv</t>
  </si>
  <si>
    <t xml:space="preserve">Huaraz </t>
  </si>
  <si>
    <t>1/12/2025 - Sectoristas - El pastor Abel Cueto estuvo el dia viernes 28 de noviembre por la localidad verificando operatividad de la radio y canal. Pero como los equipos están bastante deteriorados pero en uso, se enviara presupuesto para adquisición de los mismos en esta primera semana de diciembre.</t>
  </si>
  <si>
    <t>Huari</t>
  </si>
  <si>
    <t>HUARI</t>
  </si>
  <si>
    <t>27/11/2025 - Sectoristas - El día de ayer 26 de noviembre el pastor local, envio evidencia por audio y video donde se evidencia la operatividad</t>
  </si>
  <si>
    <t>Huarmey</t>
  </si>
  <si>
    <t>HUARMEY</t>
  </si>
  <si>
    <t>9/10/2025 - Sectoristas - Se consulto el día de hoy al pastor Victor Vilela por la operatividad de la radio y tv, señalando que operan normalmente.</t>
  </si>
  <si>
    <t>San Jacinto - Ignacio Escudero</t>
  </si>
  <si>
    <t>IGNACIO ESCUDERO</t>
  </si>
  <si>
    <t>1/12/2025 - Sectoristas - Con fecha martes 25 y jueves 27 de noviembre se solicito al pastor evidencia de operatividad de la radio, sin embargo no había enviado nada, el día de hoy 01 de diciembre se volvió a tener comunicación, enviaron video donde se evidencia la operatividad.</t>
  </si>
  <si>
    <t>Jaen</t>
  </si>
  <si>
    <t>JAEN</t>
  </si>
  <si>
    <t>25/11/2025 - Sectoristas - Según información del pastor local con fecha 19 de noviembre la radio se encuentra operativa</t>
  </si>
  <si>
    <t xml:space="preserve">retorno la señal el 20 de enero </t>
  </si>
  <si>
    <t>Juanjui</t>
  </si>
  <si>
    <t>JUANJUI</t>
  </si>
  <si>
    <t>25/11/2025 - Sectoristas - con fecha 06 de noviembre la radio se encuentra con señal al aire segun lo informado or el pastor local</t>
  </si>
  <si>
    <t>La Arena</t>
  </si>
  <si>
    <t>LA ARENA</t>
  </si>
  <si>
    <t>28/11/2025 - Sectoristas - Con fecha jueves 27 de noviembre el pastor envía audio donde se escucha la operatividad de la radio</t>
  </si>
  <si>
    <t>Lamud</t>
  </si>
  <si>
    <t>LAMUD</t>
  </si>
  <si>
    <t>25/11/2025 - Sectoristas - Con fecha 20 de noviembre el pastor local señala que la radio opera normalmente</t>
  </si>
  <si>
    <t>31/01/2025 El pastor comunico el dia de hoy que nuevamente se encuentra operativa</t>
  </si>
  <si>
    <t>Las Lomas</t>
  </si>
  <si>
    <t>LAS LOMAS</t>
  </si>
  <si>
    <t>4/12/2025 - Sectoristas - Con fecha 01 de diciembre el pastor envía video evidenciando la operatividad de la radio.</t>
  </si>
  <si>
    <t>Leymebamba</t>
  </si>
  <si>
    <t>LEYMEBAMBA</t>
  </si>
  <si>
    <t>25/11/2025 - Sectoristas - El pastor local con fecha 20 de noviembre señala que la radio tiene buena señal</t>
  </si>
  <si>
    <t>Llamellin</t>
  </si>
  <si>
    <t>LLAMELLIN</t>
  </si>
  <si>
    <t>28/11/2025 - Sectoristas - Estación operativa</t>
  </si>
  <si>
    <t>El dia viernes 03 de octubre el pastor local señala que la radio se encuentra con señal al aire.</t>
  </si>
  <si>
    <t>Lonya Grande</t>
  </si>
  <si>
    <t>LONYA GRANDE</t>
  </si>
  <si>
    <t>27/11/2025 - Sectoristas - Con fecha 25 de noviembre el pastor local envia video donde se evidencia que la radio esta operativa</t>
  </si>
  <si>
    <t>Los Organos</t>
  </si>
  <si>
    <t>LOS ORGANOS</t>
  </si>
  <si>
    <t>27/11/2025 - Sectoristas - Con fecha martes 25 de noviembre el pastor envía audio evidenciando la operatividad de la radio</t>
  </si>
  <si>
    <t>Máncora</t>
  </si>
  <si>
    <t>MANCORA</t>
  </si>
  <si>
    <t>1/12/2025 - Sectoristas - Con fecha martes 25 de noviembre y lunes 01 de diciembre se solicitó evidencia de monitoreo, el pastor envió esta evidencia en video el dia de hoy.</t>
  </si>
  <si>
    <t>21/02/2025 Desde el jueves 20 la estsacion se encuentra nuevamente al aire con el apoyo de Quevin. 13/02/2025 en espera de visita de tecnico para instalacion y levantamiento de informacion</t>
  </si>
  <si>
    <t>Mendoza - San Nicolas</t>
  </si>
  <si>
    <t>MENDOZA</t>
  </si>
  <si>
    <t>27/11/2025 - Sectoristas - Con fecha martes 25 de noviembre el pastor envia video donde se evidencia que la radio esta operativa</t>
  </si>
  <si>
    <t>Morrope</t>
  </si>
  <si>
    <t>MORROPE</t>
  </si>
  <si>
    <t>28/11/2025 - Sectoristas - Con fecha miércoles 26 de noviembre el pastor envía video pero no se abre. Se le ha solicitado que envie nuevo video</t>
  </si>
  <si>
    <t>Motupe</t>
  </si>
  <si>
    <t>MOTUPE</t>
  </si>
  <si>
    <t>28/11/2025 - Sectoristas - Con fecha jueves 27 de noviembre el pastor envía video para evidenciar operatividad</t>
  </si>
  <si>
    <t>Moyobamba</t>
  </si>
  <si>
    <t>MOYOBAMBA</t>
  </si>
  <si>
    <t>28/11/2025 - Sectoristas - Con fecha jueves 27 de noviembre el hno José Huanca envía video donde se sintoniza la radio y otro donde se sintoniza la señal del canal.</t>
  </si>
  <si>
    <t xml:space="preserve">En espera de transmisor para revision </t>
  </si>
  <si>
    <t>Nepeña</t>
  </si>
  <si>
    <t>NEPEÑA</t>
  </si>
  <si>
    <t>28/11/2025 - Sectoristas - El viernes 21 de noviembre la estación paso inspección de renovación. La estación opera con normalidad</t>
  </si>
  <si>
    <t>Nueva Cajamarca</t>
  </si>
  <si>
    <t>NUEVA CAJAMARCA</t>
  </si>
  <si>
    <t>1/12/2025 - Sectoristas - Con fecha martes 25 de noviembre y lunes 01 de diciembre se solicitó evidencia de monitoreo, el pastor escribió señalando que la radio tiene señal las 24 horas del dia.</t>
  </si>
  <si>
    <t>Olmos</t>
  </si>
  <si>
    <t>OLMOS</t>
  </si>
  <si>
    <t>3/11/2025 - Sectoristas - Se realizo consulta al pastor por la operatividad el dia jueves 30 pero no contesto, el dia de hoy 03 de noviembre se volvió a consultar, el pastor contesto señalando que la radio se encuentra operativa enviando evidencia de video donde se visualiza y escucha la señal de la radio.</t>
  </si>
  <si>
    <t>Otuzco</t>
  </si>
  <si>
    <t>106.1</t>
  </si>
  <si>
    <t>OTUZCO</t>
  </si>
  <si>
    <t>13/11/2025 - Ingeniería - En coordinación con el hno. Manuel Espinoza, informa que la estación se encuentra al aire nuevamente, según manifiesta el nuevo pastor, Wilfredo.</t>
  </si>
  <si>
    <t>Pacasmayo</t>
  </si>
  <si>
    <t>PACASMAYO</t>
  </si>
  <si>
    <t>28/11/2025 - Sectoristas - Con fecha miércoles 26 de noviembre el pastor envía video evidenciando la operativdad de la radio</t>
  </si>
  <si>
    <t>Paita</t>
  </si>
  <si>
    <t>PAITA</t>
  </si>
  <si>
    <t>10/10/2025 - Sectoristas - Según lo mencionado por el pastor Alex el día de hoy 10 de octubre la radio se encuentra operativa.</t>
  </si>
  <si>
    <t>Parcoy</t>
  </si>
  <si>
    <t>94.1</t>
  </si>
  <si>
    <t>PARCOY</t>
  </si>
  <si>
    <t>28/11/2025 - Sectoristas - Con fecha martes 25 de noviembre el pastor envía video evidenciando que la radio esta operativa</t>
  </si>
  <si>
    <t>Pariacoto - Yautan</t>
  </si>
  <si>
    <t>PARIACOTO</t>
  </si>
  <si>
    <t>3/11/2025 - Sectoristas - Con fecha 31 de octubre el pastor local señala que la radio se encuentra con señal al aire</t>
  </si>
  <si>
    <t>Pataz</t>
  </si>
  <si>
    <t>PATAZ</t>
  </si>
  <si>
    <t>3/11/2025 - Sectoristas - Con fecha 30 de octubre el pastor local señala que la radio se encuentra con señal al aire.</t>
  </si>
  <si>
    <t>Pedro Galvez - Chancay - San Marcos</t>
  </si>
  <si>
    <t>PEDRO GALVEZ</t>
  </si>
  <si>
    <t>28/11/2025 - Sectoristas - La estacion se encuentra operativa</t>
  </si>
  <si>
    <t>Picota</t>
  </si>
  <si>
    <t>PICOTA</t>
  </si>
  <si>
    <t>25/11/2025 - Sectoristas - El dia de hoy 25 de noviembre el pastor envía evidencia en audio para corroborar la operatividad</t>
  </si>
  <si>
    <t>Piscobamba</t>
  </si>
  <si>
    <t>F.A</t>
  </si>
  <si>
    <t>PISCOBAMBA</t>
  </si>
  <si>
    <t>3/12/2025 - Sectoristas - Con fecha de hoy 03 de diciembre el pastor comunica que ha conversado con el obrero que deberá volver a revisar que ha sucedido nuevamente con la radio pues se apago nuevamente según lo comunicado por el pastor nuevamente el dia lunes 01 de diciembre. El dia lunes 08 viajara el hno a Piscobamba a revisar</t>
  </si>
  <si>
    <t>PIURA</t>
  </si>
  <si>
    <t>28/11/2025 - Sectoristas - La estación se encuentra operativa</t>
  </si>
  <si>
    <t>101.9</t>
  </si>
  <si>
    <t>PIURA FM</t>
  </si>
  <si>
    <t>Pomabamba</t>
  </si>
  <si>
    <t>POMABAMBA</t>
  </si>
  <si>
    <t>27/11/2025 - Sectoristas - Con fecha de ayer miércoles 26 de noviembre el pastor Abel Chuquillanqui llamo para confirmar que la radio ya recupero señal, le ayudo un hermano electricista obrero de la zona</t>
  </si>
  <si>
    <t>Roque</t>
  </si>
  <si>
    <t>ROQUE</t>
  </si>
  <si>
    <t>2/12/2025 - Sectoristas - Con fecha 01 de diciembre el pastor local señala que la radio se encuentra operativa, se volvió a reiterar que envie el video</t>
  </si>
  <si>
    <t>San Ignacio</t>
  </si>
  <si>
    <t>SAN IGNACIO</t>
  </si>
  <si>
    <t>1/12/2025 - Sectoristas - Con fecha martes 25 de noviembre y lunes 01 de diciembre se solicitó evidencia de monitoreo, el pastor envió esta evidencia el dia de hoy.</t>
  </si>
  <si>
    <t>13/02/2025 en espera de visita de tecnico para instalacion y levantamiento de informacion</t>
  </si>
  <si>
    <t>San Jose de Sisa</t>
  </si>
  <si>
    <t>SAN JOSE DE SISA</t>
  </si>
  <si>
    <t>28/11/2025 - Sectoristas - El dia de ayer jueves 27 de noviembre el pastor envia video evidenciando que la radio esta operativa, pero se le solicito un nuevo video pues no se oye casi nada la señal</t>
  </si>
  <si>
    <t>Pedro Galvez - Ichocan</t>
  </si>
  <si>
    <t>SAN MARCOS</t>
  </si>
  <si>
    <t>30/10/2025 - Sectoristas - La estación se encuentra operativa</t>
  </si>
  <si>
    <t>San Miguel de Pallaques</t>
  </si>
  <si>
    <t>SAN MIGUEL DE PALLAQUES</t>
  </si>
  <si>
    <t>2/12/2025 - Sectoristas - Con fecha 01 de diciembre el hno Santos envia video del domicilio de un hermano que vive a 5km de la caseta, en este televisión se ve algo lluviosa la señal. Pero queda la evidencia de que el canal se encuentra operando, se solicito al hno Israel que haga la revision.</t>
  </si>
  <si>
    <t>31/01/2025 Desde hace una semana atras se acabo la recarga, no han podido volver arecargar pues estn juntando lo de canon, la seman entrante estaran juntando para poner recarga</t>
  </si>
  <si>
    <t>Santa</t>
  </si>
  <si>
    <t>SANTA</t>
  </si>
  <si>
    <t>28/11/2025 - Sectoristas - Con fecha jueves 27 de noviembre el pastor envia video evidenciando la operatividad de la radio</t>
  </si>
  <si>
    <t>Santa Cruz</t>
  </si>
  <si>
    <t>SANTA CRUZ</t>
  </si>
  <si>
    <t>28/11/2025 - Sectoristas - Con fecha jueves 27 de noviembre el pastor local envia video donde se evidencia la operatividad de la radio</t>
  </si>
  <si>
    <t>Santiago de Chuco</t>
  </si>
  <si>
    <t>SANTIAGO DE CHUCO</t>
  </si>
  <si>
    <t>28/11/2025 - Sectoristas - El dia de hoy el pastor señala que el canal esta opeartivo pero falta que envie video</t>
  </si>
  <si>
    <t>Sechura</t>
  </si>
  <si>
    <t>SECHURA</t>
  </si>
  <si>
    <t>28/11/2025 - Sectoristas - Con fecha jueves 27 de noviembre el pastor envia video evidenciando que la radio esta operativa</t>
  </si>
  <si>
    <t>28/11/2025 - Sectoristas - Con fecha jueves 27 de noviembre el pastor envia video evidenciando la operatividad del canal, se realizo consulta pues en la pantalla sale canal 22.2</t>
  </si>
  <si>
    <t>Sihuas</t>
  </si>
  <si>
    <t>SIHUAS</t>
  </si>
  <si>
    <t>28/11/2025 - Sectoristas - Con fecha miércoles 26 de noviembre el pastor envía video evidenciando la operatividad de la radio</t>
  </si>
  <si>
    <t>Sondorillo</t>
  </si>
  <si>
    <t>SONDORILLO</t>
  </si>
  <si>
    <t>12/11/2025 - Sectoristas - La estación se puso operativa el día de hoy 12 de noviembre con apoyo del hno Manuel Alvarado, el deco se encontraba sin volumen.</t>
  </si>
  <si>
    <t>Succha</t>
  </si>
  <si>
    <t>SUCCHA</t>
  </si>
  <si>
    <t>1/12/2025 - Sectoristas - Con fecha sabado 29 de noviembre el pastor envia evidencia de videos y fotos donde se puede comprobar la operatividad de la radio</t>
  </si>
  <si>
    <t>Sullana</t>
  </si>
  <si>
    <t>SULLANA</t>
  </si>
  <si>
    <t>28/11/2025 - Sectoristas - Con fecha martes 25 de noviembre el pastor envío evidencia mediante video señalando que la radio esta con señal al aire.</t>
  </si>
  <si>
    <t>Tabalosos</t>
  </si>
  <si>
    <t>TABALOSOS</t>
  </si>
  <si>
    <t>25/11/2025 - Sectoristas - Con fecha 06 de noviembre el pastor Alex envia video para verificar la señal de la radio</t>
  </si>
  <si>
    <t>Tarapoto</t>
  </si>
  <si>
    <t>TARAPOTO</t>
  </si>
  <si>
    <t>4/12/2025 - Sectoristas - Con fecha 01 de diciembre el pastor Roly envía videos donde se evidencia la operatividad de la radio y el canal</t>
  </si>
  <si>
    <t xml:space="preserve">Tarapoto </t>
  </si>
  <si>
    <t>Taurija</t>
  </si>
  <si>
    <t>96.9</t>
  </si>
  <si>
    <t>TAURIJA</t>
  </si>
  <si>
    <t>28/11/2025 - Sectoristas - Con fecha jueves 27 de noviembre el pastor señala que la radio esta operativa pero falta enviar video pues señalo que no se encontraba en la localidad.</t>
  </si>
  <si>
    <t>Tayabamba</t>
  </si>
  <si>
    <t>TAYABAMBA</t>
  </si>
  <si>
    <t>3/12/2025 - Sectoristas - Con fecha lunes 01 de diciembre se consulto al pastor sobre la operatividad de la radio. El pastor señala que no estaba en Tayabamba y cuando llegara enviaria el video solicitado. Con fecha de hoy 03 de diciembre el pastor envio video confirmando la operatividad de la radio.</t>
  </si>
  <si>
    <t>Tembladera</t>
  </si>
  <si>
    <t>99.7</t>
  </si>
  <si>
    <t>TEMBLADERA</t>
  </si>
  <si>
    <t>28/11/2025 - Sectoristas - Con fecha jueves 27 de noviembre el pastor envio video evidenciando la operatividad de la radio</t>
  </si>
  <si>
    <t>Ticapampa</t>
  </si>
  <si>
    <t>TICAPAMPA</t>
  </si>
  <si>
    <t>28/11/2025 - Sectoristas - Con fecha 27 de noviembre se coordino con el pastor Dino y Jeronimo respecto a la operatividad del canal pues lo tenían apagado por dos meses por el costo alto de la energía eléctrica, el pastor consulto si puede usar timer para ahorrar se le indico que pasara a consulta, y en conversacion el dia de hoy viernes 28 el pastor Jeronimo comento que ya prendieron el canal.</t>
  </si>
  <si>
    <t xml:space="preserve">Ticapampa </t>
  </si>
  <si>
    <t>28/11/2025 - Sectoristas - Con fecha de ayer jueves 27 de noviembre el pastor local señala que la radio se encuentra operativa evidenciando con un video</t>
  </si>
  <si>
    <t>Tocache</t>
  </si>
  <si>
    <t>TOCACHE</t>
  </si>
  <si>
    <t>3/12/2025 - Sectoristas - Con fecha de ayer 02 de diciembre el pastor señala que el transmisor no funciona, señalando se envíe el transmisor por el que realizó pago para restructuración.</t>
  </si>
  <si>
    <t>Trujillo</t>
  </si>
  <si>
    <t>TRUJILLO</t>
  </si>
  <si>
    <t>28/11/2025 - Sectoristas - La radio y el canal se encuentran operativos</t>
  </si>
  <si>
    <t>96.1</t>
  </si>
  <si>
    <t>Tumbes</t>
  </si>
  <si>
    <t>TUMBES</t>
  </si>
  <si>
    <t>27/11/2025 - Sectoristas - Con fecha de hoy 27 de noviembre el pastor local envia video evidenciando la operatividad de la radio y el canal.</t>
  </si>
  <si>
    <t>Usquil</t>
  </si>
  <si>
    <t>USQUIL</t>
  </si>
  <si>
    <t>28/11/2025 - Sectoristas - Con fecha 27 de noviembre el pastor local envía audio para evidenciar que la radio se encuentra operativa</t>
  </si>
  <si>
    <t>Virú</t>
  </si>
  <si>
    <t>VIRU</t>
  </si>
  <si>
    <t>28/11/2025 - Sectoristas - Con fecha 27 de noviembre el pastor local, envía video evidenciando que la radio se encuentra con señal al aire.</t>
  </si>
  <si>
    <t>Yungay</t>
  </si>
  <si>
    <t>YUNGAY</t>
  </si>
  <si>
    <t>3/12/2025 - Sectoristas - Con fecha jueves 28 de noviembre se solicita información al pastor por la operatividad, sin respuesta, el dia de hoy 03 de diciembre se volvió a solicitar la informacion</t>
  </si>
  <si>
    <t>Zaña</t>
  </si>
  <si>
    <t>ZAÑA</t>
  </si>
  <si>
    <t>28/11/2025 - Sectoristas - Con fecha de ayer jueves 27 de noviembre el pastor envía audio evidenciando que la radio se encuentra operativa</t>
  </si>
  <si>
    <t>Zarumilla</t>
  </si>
  <si>
    <t>ZARUMILLA</t>
  </si>
  <si>
    <t>9/10/2025 - Sectoristas - La estación volvió a estar operativa desde el día martes 07 de octubre, según lo comunicado por el técnico y el pastor local, la estación fue atendida por el técnico Lizandro, quien también realizo la reparación del transmisor.</t>
  </si>
  <si>
    <t>Zorritos</t>
  </si>
  <si>
    <t>ZORRITOS</t>
  </si>
  <si>
    <t>28/11/2025 - Sectoristas - Con fecha de ayer 27 de noviembre el pastor local envia video donde se puede evidenciar que la radio se encuentra operativa, revisar si el audio que sale es de tv o radio.</t>
  </si>
  <si>
    <t>Aija</t>
  </si>
  <si>
    <t>AIJA</t>
  </si>
  <si>
    <t>21/11/2025 - Ingeniería - Por correo se facilitó la cotización de un tx nacional de 50 W, canal 9</t>
  </si>
  <si>
    <t>No tiene transmisor, hay una obrera</t>
  </si>
  <si>
    <t>Nivel 3</t>
  </si>
  <si>
    <t>21/11/2025 - Sectoristas - Con fecha lunes 17 de noviembre el hno Israel señala que Manuel ira a la localidad para la atención técnica revisión de cable heliax u otros pues cambiaron de ambiente los equipos de la radio.</t>
  </si>
  <si>
    <t>Chavin de Huantar</t>
  </si>
  <si>
    <t>CHAVIN DE HUANTAR</t>
  </si>
  <si>
    <t>3/12/2025 - Ingeniería - Tras la visita técnica del hno. Manuel Espinoza a la estación, se puso nuevamente al aire.</t>
  </si>
  <si>
    <t>Chazuta</t>
  </si>
  <si>
    <t>CHAZUTA</t>
  </si>
  <si>
    <t>4/12/2025 - Sectoristas - Con fecha de ayer 03 de diciembre el pastor Caleb envía coordenadas de la nueva ubicación, falta documentos para verificar dirección.</t>
  </si>
  <si>
    <t>Ubicacion de planta</t>
  </si>
  <si>
    <t>18/11/2025 - Sectoristas - El transmisor se encuentra en atención técnica del ingeniero  Lingan por daños en el transmisor uno de ellos el excitador</t>
  </si>
  <si>
    <t>Chota</t>
  </si>
  <si>
    <t>CHOTA</t>
  </si>
  <si>
    <t>24/11/2025 - Sectoristas - El dia sábado 22 de noviembre el pastor Robert en comunicación con el hno Israel se verifico que el tx se esta alarmando por tanto necesitara la visita de un tecnico</t>
  </si>
  <si>
    <t>Cuispes - Pedro Ruiz</t>
  </si>
  <si>
    <t>CUISPES</t>
  </si>
  <si>
    <t>12/11/2025 - Sectoristas - La radio se encuentra sin señal según la información brindada por el hno. Gregorio el día de hoy miércoles 12 de noviembre al pastor Guillermo Navarro</t>
  </si>
  <si>
    <t>Cutervo</t>
  </si>
  <si>
    <t>CUTERVO</t>
  </si>
  <si>
    <t>30/10/2025 - Sectoristas - El pastor local señala lo siguiente:
Dios le bendiga hna Ruth, sobre el funcionamiento de la radio en este tiempo de lluvias torrenciales por prevención y cuidado se apaga y cuando ya baja la intensidad de las lluvias se vuelve a encender. Pero anterior a las lluvias estuvo muy bien.
Desde la segunda semana de octubre, hermana
Cuando empezaron las lluvias con fuerza
Entre los días 9 y 10</t>
  </si>
  <si>
    <t>Devolucion trasmisor</t>
  </si>
  <si>
    <t>Huancabamba</t>
  </si>
  <si>
    <t>HUANCABAMBA</t>
  </si>
  <si>
    <t>12/11/2025 - Sectoristas - La estación salió fuera del aire pues tiene el LNB malogrado. Fue atendida por Lizandro, en espera de esta adquisición.</t>
  </si>
  <si>
    <t>12/11/2025 - Sectoristas - El hno Lizandro atendió la estación señalando que se quemo el deco</t>
  </si>
  <si>
    <t>Huicungo</t>
  </si>
  <si>
    <t>HUICUNGO</t>
  </si>
  <si>
    <t>27/11/2025 - Sectoristas - Con fecha de hoy 27 de noviembre 2025 el hno Sócrates señala por el grupo de la estación que se esta dejando el transmisor en el laboratorio para reparación. (se copia nuevamente la información pues no se selecciono que estaba fuera del aire)</t>
  </si>
  <si>
    <t>Laboratorio</t>
  </si>
  <si>
    <t>27/11/2025 - Sectoristas - En espera de visita de técnico para atención de la estación</t>
  </si>
  <si>
    <t>Mover templadores</t>
  </si>
  <si>
    <t>Operaciones</t>
  </si>
  <si>
    <t>Olleros</t>
  </si>
  <si>
    <t>OLLEROS</t>
  </si>
  <si>
    <t>21/11/2025 - Ingeniería - Con fecha 30/04/25, el área de Laboratorio mandó el presupuesto por la reparación del tx. Se ha pedido una actualización de dicho presupuesto.</t>
  </si>
  <si>
    <t xml:space="preserve">23/01/2025 El transmisor sera atendido el dia de hoy por Kelion y Abel, comunicaran por el grupo si le dieron solucion </t>
  </si>
  <si>
    <t>3784.20</t>
  </si>
  <si>
    <t>27/11/2025 - Sectoristas - El pastor Abel Delgado señalo que en esta semana del 24 al 28 estaría buscando ubicación para la radio, se deberá llamar la semana que viene para consultar.</t>
  </si>
  <si>
    <t>El MTC oficio respecto al cambio de ubicacion ingresado con uso compartido a la fm de Sechura, no se podra instalar en esa ubicacion. Se trasladara la planta de la radio a Sechura en la caseta de la radio y tv de la localidad</t>
  </si>
  <si>
    <t>Iglesia Local</t>
  </si>
  <si>
    <t>Poroto - Simbal</t>
  </si>
  <si>
    <t>103.7</t>
  </si>
  <si>
    <t>POROTO</t>
  </si>
  <si>
    <t>21/11/2025 - Ingeniería - Se facilitó en el grupo de WhatsApp el presupuesto de un tx y ax nuevas e implementación necesaria para torre. En espera del depósito e información de la nueva ubicación para la planta tx.</t>
  </si>
  <si>
    <t>Nivel 2</t>
  </si>
  <si>
    <t>13388.76</t>
  </si>
  <si>
    <t>Quiruvilca</t>
  </si>
  <si>
    <t>QUIRUVILCA</t>
  </si>
  <si>
    <t>25/11/2025 - Sectoristas - El pastor Daniel el dia de hoy señala que el martes 18 movio los equipos de la radio a un espacio que adecuo en el templo para la caseta, tambien movio parabolica, mastil y antena. Desde ese dia salio fuera del aire pues no pudo recuperar la señal del satelite, este jueves 27 con la ayuda de Espinoza intentara bajar la señal, asimismo el dia de mañana enviara fotos del nuevo ambiente de la radio</t>
  </si>
  <si>
    <t>San Juan de Bigote - Morropon</t>
  </si>
  <si>
    <t>SAN JUAN DE BIGOTE</t>
  </si>
  <si>
    <t>3/12/2025 - Sectoristas - Con fecha de hoy 03 de diciembre se vuelve a consultar al pastor por la atención a la estación que aun esta inoperativa</t>
  </si>
  <si>
    <t>Talara - Pariñas</t>
  </si>
  <si>
    <t>TALARA</t>
  </si>
  <si>
    <t>25/11/2025 - Sectoristas - Se actualizó información brindada por el pastor local Alexis por el grupo de whatsapp señalando que la radio la apagaron desde el 23 de octubre con el fin de realizar la demolicion del templo pues se esta derrumbando. Asimismo, el dia de ayer 24 de noviembre el pastor señala que ya realizaron el desmontaje de la torre, la cual tiene deteriorado algunos cuerpos.</t>
  </si>
  <si>
    <t>28/11/2025 - Sectoristas - Al dia de hoy 28 de noviembre el hno Maguiña aun no brinda información sobre el transmisor</t>
  </si>
  <si>
    <t>Otro</t>
  </si>
  <si>
    <t>Corongo</t>
  </si>
  <si>
    <t>107.3</t>
  </si>
  <si>
    <t>N.I</t>
  </si>
  <si>
    <t>CORONGO</t>
  </si>
  <si>
    <t>26/09/2025 - Sectoristas - Se debe buscar una ubicación para la estación, consultar con el ingeniero Lingan.</t>
  </si>
  <si>
    <t>Huanchay</t>
  </si>
  <si>
    <t>HUANCHAY</t>
  </si>
  <si>
    <t>26/09/2025 - Sectoristas - No hay iglesia no hay equipamiento.</t>
  </si>
  <si>
    <t xml:space="preserve">La Pampa </t>
  </si>
  <si>
    <t>LA PAMPA</t>
  </si>
  <si>
    <t>9/10/2025 - Sectoristas - L a iglesia ha conseguido un terreno propio se ha solicitado el envío de coordenadas, el transmisor  ya esta homologado, listo para ser enviado.</t>
  </si>
  <si>
    <t>Pamparomas</t>
  </si>
  <si>
    <t>PAMPAROMAS</t>
  </si>
  <si>
    <t>26/09/2025 - Sectoristas - Se le menciono al pastor Guillermo que esta pendiente la instalación, realizo consulta por la iglesia y ahora no hay anexo.</t>
  </si>
  <si>
    <t>Parobamba</t>
  </si>
  <si>
    <t>PAROBAMBA</t>
  </si>
  <si>
    <t>26/09/2025 - Sectoristas - Esta en evaluación darle de baja a la autorización.</t>
  </si>
  <si>
    <t>Pinra</t>
  </si>
  <si>
    <t>95.3</t>
  </si>
  <si>
    <t>PINRA</t>
  </si>
  <si>
    <t>26/09/2025 - Sectoristas - Se tiene una ubicación para instalación la envió un hno el 01/07/2025</t>
  </si>
  <si>
    <t>Le brindaran apoyo para instalacion</t>
  </si>
  <si>
    <t>1/10/2025 - Sectoristas - El pastor y el presbitero señalan que no se puede instalar la estacion por tema de economía</t>
  </si>
  <si>
    <t>DPTO.</t>
  </si>
  <si>
    <t>ESTADO,</t>
  </si>
  <si>
    <t>ÚLTIMA ACTUALIZACIÓN</t>
  </si>
  <si>
    <t>Lima</t>
  </si>
  <si>
    <t>LIMA</t>
  </si>
  <si>
    <t>31/10/2025 - Sectoristas - Operativo de acuerdo a lo informado por Hno. Manuel Alvarado</t>
  </si>
  <si>
    <t>100.1</t>
  </si>
  <si>
    <t>Iquitos</t>
  </si>
  <si>
    <t>Loreto</t>
  </si>
  <si>
    <t>IQUITOS</t>
  </si>
  <si>
    <t>14/08/2025 - Sectoristas - A la fecho no se realizo la compra de los equipos</t>
  </si>
  <si>
    <t>Santa Maria de Nanay</t>
  </si>
  <si>
    <t>94.5</t>
  </si>
  <si>
    <t>NANAY</t>
  </si>
  <si>
    <t>2/12/2025 - Sectoristas - Informar que la estación se encuentra inoperativo de acuerdo a lo informado por el pastor de la zona en esta sema lo estará poniendo operativo</t>
  </si>
  <si>
    <t>Tamshiyacu - Fernando Lores</t>
  </si>
  <si>
    <t>TAMSHIYACU</t>
  </si>
  <si>
    <t>2/12/2025 - Sectoristas - La estación se encuentra en observación ya que se encuentra fuera del aire por desfiguración del decodificador</t>
  </si>
  <si>
    <t>Ayacucho</t>
  </si>
  <si>
    <t>AYACUCHO</t>
  </si>
  <si>
    <t>2/12/2025 - Sectoristas - Operativo de acuerdo a lo informado por el área técnica y las coordinaciones en el WhatsApp</t>
  </si>
  <si>
    <t xml:space="preserve"> </t>
  </si>
  <si>
    <t xml:space="preserve">OM </t>
  </si>
  <si>
    <t>AYACUCHO OM</t>
  </si>
  <si>
    <t>Cangallo</t>
  </si>
  <si>
    <t>CANGALLO</t>
  </si>
  <si>
    <t>2/10/2025 - Sectoristas - Operativo de acuerdo a lo informado por el pastor de la zona</t>
  </si>
  <si>
    <t>Huanta</t>
  </si>
  <si>
    <t>HUANTA</t>
  </si>
  <si>
    <t>14/08/2025 - Sectoristas - Operativo de acuerdo a lo informado por el pastor de la zona</t>
  </si>
  <si>
    <t>Pampa Cangallo - Los Morochucos</t>
  </si>
  <si>
    <t>PAMPA CANGALLO</t>
  </si>
  <si>
    <t>23/11/2025 - Ingeniería - Con el apoyo del equipo técnico zonal de Ayacucho, se puso al aire nuevamente la estación. Información facilitada por el hno. Abel Oré.</t>
  </si>
  <si>
    <t>San Miguel</t>
  </si>
  <si>
    <t>SAN MIGUEL</t>
  </si>
  <si>
    <t>3/10/2025 - Sectoristas - Operativo de acuerdo a lo informado por el pastor de la zona</t>
  </si>
  <si>
    <t>Sancos</t>
  </si>
  <si>
    <t>SANCOS</t>
  </si>
  <si>
    <t>3/10/2025 - Sectoristas - Operativo de acuerdo a lo informado por el pastor de la zona (06 Am a 08 Pm)</t>
  </si>
  <si>
    <t>Tambo</t>
  </si>
  <si>
    <t>TAMBO</t>
  </si>
  <si>
    <t>3/10/2025 - Sectoristas - Operativo de acuerdo a lo informado por el pastor de zona</t>
  </si>
  <si>
    <t>Huancayo</t>
  </si>
  <si>
    <t>Junin</t>
  </si>
  <si>
    <t>HUANCAYO</t>
  </si>
  <si>
    <t>3/10/2025 - Sectoristas - Operativo de acuerdo a lo informado por el presbítero de la zona</t>
  </si>
  <si>
    <t>HUANCAYO FM</t>
  </si>
  <si>
    <t>Pazos</t>
  </si>
  <si>
    <t>Huancavelica</t>
  </si>
  <si>
    <t>PAZOS</t>
  </si>
  <si>
    <t>Masisea</t>
  </si>
  <si>
    <t>Ucayali</t>
  </si>
  <si>
    <t>MASISEA</t>
  </si>
  <si>
    <t>Pucallpa</t>
  </si>
  <si>
    <t>PUCALLPA</t>
  </si>
  <si>
    <t>Pucallpa - Calleria</t>
  </si>
  <si>
    <t>Huacho</t>
  </si>
  <si>
    <t>HUACHO</t>
  </si>
  <si>
    <t>Huacho - Santa Maria</t>
  </si>
  <si>
    <t>HUACHO OM</t>
  </si>
  <si>
    <t>31/10/2025 - Sectoristas - A la fecha la estación sigue inoperativo</t>
  </si>
  <si>
    <t>Huancapallac</t>
  </si>
  <si>
    <t>HUANCAPALLAC</t>
  </si>
  <si>
    <t>7/05/2025 - Sectoristas - La estación de radio fue aprobada en diciembre del 2024 teniendo como plazo mínimo para su instalación hasta diciembre del 2025</t>
  </si>
  <si>
    <t>Huánuco</t>
  </si>
  <si>
    <t>HUÁNUCO</t>
  </si>
  <si>
    <t>9/10/2025 - Sectoristas - Operativo de acuerdo a lo informado por el pastor Nolasco Ponciano, de la zona opera las 24 horas del día</t>
  </si>
  <si>
    <t>Cachicoto - Monzón</t>
  </si>
  <si>
    <t>CACHICOTO</t>
  </si>
  <si>
    <t>9/10/2025 -  -  Operativo de acuerdo a lo informado por el pastor Nolasco Ponciano, de la zona opera las 24 horas del día</t>
  </si>
  <si>
    <t>Cashapampa-Monzón</t>
  </si>
  <si>
    <t>CASHAPAMPA</t>
  </si>
  <si>
    <t>Monzon</t>
  </si>
  <si>
    <t>104.7</t>
  </si>
  <si>
    <t>MONZON</t>
  </si>
  <si>
    <t>3/10/2025 - Sectoristas - Operativo de acuerdo a lo informado por el hno Nilo</t>
  </si>
  <si>
    <t>Tingo María - Rupa Rupa</t>
  </si>
  <si>
    <t>TINGO MARÍA</t>
  </si>
  <si>
    <t>Pichanaki</t>
  </si>
  <si>
    <t>PICHANAKI</t>
  </si>
  <si>
    <t>23/10/2025 - Sectoristas - Operativo de acuerdo a lo informado por el pastor de la zona</t>
  </si>
  <si>
    <t>Satipo</t>
  </si>
  <si>
    <t>SATIPO</t>
  </si>
  <si>
    <t>23/10/2025 - Sectoristas - Operativo de acuerdo a lo informado por el presbítero (24 horas)</t>
  </si>
  <si>
    <t>Codo del Pozuzo</t>
  </si>
  <si>
    <t>CODO DEL POZUZO</t>
  </si>
  <si>
    <t>28/10/2025 - Sectoristas - Operativo de acuerdo a lo informado por el pastor Ps. Hermes responsable de la estación de radio (opera de 04 am a 11 pm)</t>
  </si>
  <si>
    <t>Constitucion</t>
  </si>
  <si>
    <t>Pasco</t>
  </si>
  <si>
    <t>100.3</t>
  </si>
  <si>
    <t>CONSTITUCIÓN</t>
  </si>
  <si>
    <t>28/10/2025 - Sectoristas - Operativo de acuerdo a lo informado por el presbítero</t>
  </si>
  <si>
    <t>Palcazu</t>
  </si>
  <si>
    <t>PALCAZU</t>
  </si>
  <si>
    <t>27/10/2025 - Sectoristas - Operativo de acuerdo a lo informado por el pastor de la zona, solo opera con una antena los otros están inoperativo</t>
  </si>
  <si>
    <t>Puerto Bermudez</t>
  </si>
  <si>
    <t>PUERTO BERMUDEZ</t>
  </si>
  <si>
    <t>1/12/2025 - Telecomunicaciones - Posible falla en la fuente del transmisor Importado Marca "Harris". el Ps enviará el Tx a Lima</t>
  </si>
  <si>
    <t>Puerto Inca</t>
  </si>
  <si>
    <t>101.7</t>
  </si>
  <si>
    <t>PUERTO INCA</t>
  </si>
  <si>
    <t>Cieneguilla</t>
  </si>
  <si>
    <t>CIENEGUILLA</t>
  </si>
  <si>
    <t>28/10/2025 - Sectoristas - Operativo de acuerdo a lo informado por el pastor Carlos encargado de la estación de radio opera entre 18 a 20 horas diarios</t>
  </si>
  <si>
    <t>Huarochirí</t>
  </si>
  <si>
    <t>HUAROCHIRÍ</t>
  </si>
  <si>
    <t>28/10/2025 - Sectoristas - Operativo de acuerdo a lo informado por el pastor Juan Carlos, encargado de la estación de radio opera 06 hora diarias en la mañana</t>
  </si>
  <si>
    <t>Caballococha - Ramón Castilla</t>
  </si>
  <si>
    <t>97.1</t>
  </si>
  <si>
    <t>CABALLOCOCHA</t>
  </si>
  <si>
    <t>28/10/2025 - Sectoristas - Operativo de acuerdo a lo informado por el pastor Jonatan García, presbítero de la zona, la estación opera entre 20 a 18 horas diarias por fluido eléctrico</t>
  </si>
  <si>
    <t>San Pablo de Loreto</t>
  </si>
  <si>
    <t>101.3</t>
  </si>
  <si>
    <t>SAN PABLO</t>
  </si>
  <si>
    <t>28/10/2025 - Sectoristas - Operativo de acuerdo a lo informado por el pastor de la zona</t>
  </si>
  <si>
    <t>Requena</t>
  </si>
  <si>
    <t>REQUENA</t>
  </si>
  <si>
    <t>9/08/2025 - Ingeniería - La estación se puso nuevamente al aire, después de haber reparado su tx</t>
  </si>
  <si>
    <t>Nauta</t>
  </si>
  <si>
    <t>NAUTA</t>
  </si>
  <si>
    <t>Villa Trompeteros</t>
  </si>
  <si>
    <t>TROMPETEROS</t>
  </si>
  <si>
    <t>28/10/2025 - Sectoristas - Operativo de acuerdo a lo informado por pastor José Luis responsable de la estación de radio (la estación de radio opera 20 horas al día ya que el fluido eléctrico es solo 20 horas)</t>
  </si>
  <si>
    <t>Barranca - San Lorenzo</t>
  </si>
  <si>
    <t>92.9</t>
  </si>
  <si>
    <t>BARRANCA SAN LORENZO</t>
  </si>
  <si>
    <t>20/11/2025 - Sectoristas - Con fecha 13 de noviembre el hno Gregorio confirmó que el 22 de noviembre iría a la localidad para la instalación respectiva.</t>
  </si>
  <si>
    <t>T</t>
  </si>
  <si>
    <t>Saramiriza - Manseruche</t>
  </si>
  <si>
    <t>SARAMIRIZA</t>
  </si>
  <si>
    <t>27/03/25 - Sectorista - NO HAY OBRA</t>
  </si>
  <si>
    <t>Valle Amauta - Ate</t>
  </si>
  <si>
    <t>VALLE AMAUTA</t>
  </si>
  <si>
    <t>28/10/2025 - Sectoristas - Operativo de acuerdo a lo informado por el pastor y vista técnica esta pendiente un CU-P</t>
  </si>
  <si>
    <t>Casapalca-Chicla</t>
  </si>
  <si>
    <t>CASAPALCA</t>
  </si>
  <si>
    <t>26/08/2025 - Sectoristas - Operativo de acuerdo a lo informado por el hno José apoyo de la zona 52</t>
  </si>
  <si>
    <t>Chosica - Lurigancho</t>
  </si>
  <si>
    <t>97.7</t>
  </si>
  <si>
    <t>CHOSICA</t>
  </si>
  <si>
    <t>30/10/2025 - Sectoristas - Operativo de acuerdo a lo informado por el hno José apoyo de la zona 52</t>
  </si>
  <si>
    <t>San Mateo</t>
  </si>
  <si>
    <t>SAN MATEO</t>
  </si>
  <si>
    <t>Santa Eulalia</t>
  </si>
  <si>
    <t>SANTA EULALIA</t>
  </si>
  <si>
    <t>Ayna</t>
  </si>
  <si>
    <t>AYNA</t>
  </si>
  <si>
    <t>30/10/2025 - Sectoristas - Operativo de acuerdo a lo informado por el pastor de la zona ( 05 am a 10 pm)</t>
  </si>
  <si>
    <t>Santa Rosa</t>
  </si>
  <si>
    <t>SANTA ROSA</t>
  </si>
  <si>
    <t>30/10/2025 - Sectoristas - Operativo de acuerdo a lo informado por el pastor de la zona</t>
  </si>
  <si>
    <t>Acobamba</t>
  </si>
  <si>
    <t>ACOBAMBA</t>
  </si>
  <si>
    <t>29/10/2025 - Sectoristas - Operativo de acuerdo a lo informado por el presbítero</t>
  </si>
  <si>
    <t>987 703 995</t>
  </si>
  <si>
    <t>HUANCAVELICA</t>
  </si>
  <si>
    <t>Huando</t>
  </si>
  <si>
    <t>HUANDO</t>
  </si>
  <si>
    <t>29/10/2025 - Sectoristas - Operativo de acuerdo a lo informado por el pastor de zona solo opera de 05 a 10 am y de 04 a 9 pm</t>
  </si>
  <si>
    <t>Lircay</t>
  </si>
  <si>
    <t>LIRCAY</t>
  </si>
  <si>
    <t>29/10/2025 - Sectoristas - Operativo de acuerdo a lo informado por el pastor</t>
  </si>
  <si>
    <t>Marcas</t>
  </si>
  <si>
    <t>MARCAS</t>
  </si>
  <si>
    <t>18/03/25 - Sectorista - A la fecha no contamos con una obra establecida y no cuneta con el presupuesto para su instalacion</t>
  </si>
  <si>
    <t>Yauli</t>
  </si>
  <si>
    <t>YAULI</t>
  </si>
  <si>
    <t>29/10/2025 - Sectoristas - A la fecha la estación de radio continua Inoperativo por falta de ubicación el pastor esta en busca de una nueva ubicación para su instalación</t>
  </si>
  <si>
    <t xml:space="preserve">Contamana </t>
  </si>
  <si>
    <t>CONTAMANA</t>
  </si>
  <si>
    <t>11/11/2025 - Ingeniería - Se puso nuevamente al aire la estación. Pendiente de cotizar 2 ventiladores</t>
  </si>
  <si>
    <t>Juancito - Sarayacu</t>
  </si>
  <si>
    <t>JUANCITO</t>
  </si>
  <si>
    <t>Arancay</t>
  </si>
  <si>
    <t>ARANCAY</t>
  </si>
  <si>
    <t>Chavin de Pariarca</t>
  </si>
  <si>
    <t>CHAVIN DE PARIARCA</t>
  </si>
  <si>
    <t>1/09/2025 - Sectoristas - Operativo de acuerdo a lo informado por el presbítero</t>
  </si>
  <si>
    <t>Carhuamayo</t>
  </si>
  <si>
    <t>CARHUAMAYO</t>
  </si>
  <si>
    <t>30/10/2025 - Sectoristas - Operativo de acuerdo a lo informado por el presbítero</t>
  </si>
  <si>
    <t>Huayllay</t>
  </si>
  <si>
    <t>HUAYLLAY</t>
  </si>
  <si>
    <t>30/10/2025 - Sectoristas - Operativo, esta pendiente la inspección por proceso de renovación</t>
  </si>
  <si>
    <t>JUNIN</t>
  </si>
  <si>
    <t>Pasco - Chaupimarca</t>
  </si>
  <si>
    <t>PASCO</t>
  </si>
  <si>
    <t>Paucartambo - Huamayaco</t>
  </si>
  <si>
    <t>PAUCARTAMBO</t>
  </si>
  <si>
    <t>Aguaytia -Padre Abad</t>
  </si>
  <si>
    <t>AGUAYTIA</t>
  </si>
  <si>
    <t>17/11/2025 - Ingeniería - Con el apoyo del ps. Nolasco, se visitó la estación realizando mantenimiento al tx y sistema satelital. La estación está nuevamente al aire.</t>
  </si>
  <si>
    <t>San Alejandro - Irazola</t>
  </si>
  <si>
    <t>SAN ALEJANDRO</t>
  </si>
  <si>
    <t>30/10/2025 - Sectoristas - Operativo de acuerdo a lo informado por el pastor de la zona opera las 24 horas del dia</t>
  </si>
  <si>
    <t>La Merced</t>
  </si>
  <si>
    <t>LA MERCED</t>
  </si>
  <si>
    <t>5/09/2025 - Sectoristas - Operativo de acuerdo a lo informado por el presbítero (24 horas)</t>
  </si>
  <si>
    <t>Perene</t>
  </si>
  <si>
    <t>PERENE</t>
  </si>
  <si>
    <t>PERENÉ</t>
  </si>
  <si>
    <t>San Ramon</t>
  </si>
  <si>
    <t>SAN RAMON</t>
  </si>
  <si>
    <t>Mazamari</t>
  </si>
  <si>
    <t>MAZAMARI</t>
  </si>
  <si>
    <t>Pangoa</t>
  </si>
  <si>
    <t>PANGOA</t>
  </si>
  <si>
    <t>21/11/2025 - Ingeniería - Se le facilitó al pastor el presupuesto completo de la Radio y Canal, a la espera del depósito.</t>
  </si>
  <si>
    <t>11/09/2025 - Sectoristas - A la fecha se esta acondicionando la nueva ubicación para su instalación</t>
  </si>
  <si>
    <t>Puerto Ocopa - Rio Tambo</t>
  </si>
  <si>
    <t>PUERTO OCOPA</t>
  </si>
  <si>
    <t>31/10/2025 - Sectoristas - Operativo de acuerdo a lo informado por el pastor de la zona (04 am a 12 pm)</t>
  </si>
  <si>
    <t>918 804 044</t>
  </si>
  <si>
    <t>Huasahuasi</t>
  </si>
  <si>
    <t>HUASAHUASI</t>
  </si>
  <si>
    <t>La Oroya</t>
  </si>
  <si>
    <t>LA OROYA</t>
  </si>
  <si>
    <t>Palca</t>
  </si>
  <si>
    <t>PALCA</t>
  </si>
  <si>
    <t>San Pedro de Cajas</t>
  </si>
  <si>
    <t>SAN PEDRO DE CAJAS</t>
  </si>
  <si>
    <t>Tarma</t>
  </si>
  <si>
    <t>TARMA</t>
  </si>
  <si>
    <t>21/11/2025 - Ingeniería - Se le facilitó al pastor el presupuesto por la reparación del transmisor, a la espera del depósito.</t>
  </si>
  <si>
    <t>4227.19</t>
  </si>
  <si>
    <t>Lagunas</t>
  </si>
  <si>
    <t>LAGUNAS</t>
  </si>
  <si>
    <t>30/10/2025 - Sectoristas - Operativo de acuerdo a lo informado por el pastor responsable</t>
  </si>
  <si>
    <t>Yurimaguas</t>
  </si>
  <si>
    <t>YURIMAGUAS</t>
  </si>
  <si>
    <t>Cañete - Imperial</t>
  </si>
  <si>
    <t>CAÑETE</t>
  </si>
  <si>
    <t>30/10/2025 - Sectoristas - La estación de radio se encuentra fuera del aire la siguiente semana se estará solucionando</t>
  </si>
  <si>
    <t>Cañete - San Vicente de Cañete</t>
  </si>
  <si>
    <t>25/08/2025 - Sectoristas - Tx en laboratorio esta pendiente el deposito para su reparación un monto de 2000 mil soles</t>
  </si>
  <si>
    <t>Lunahuana</t>
  </si>
  <si>
    <t>LUNAHUANA</t>
  </si>
  <si>
    <t>Yauyos</t>
  </si>
  <si>
    <t>YAUYOS</t>
  </si>
  <si>
    <t>El Estrecho - Putumayo</t>
  </si>
  <si>
    <t>99.5</t>
  </si>
  <si>
    <t>EL ESTRECHO</t>
  </si>
  <si>
    <t>30/10/2025 - Sectoristas - Operativo de acuerdo a lo informado por el presbítero de la zona</t>
  </si>
  <si>
    <t>Soplin Vargas - Teniente Manuel Clavero</t>
  </si>
  <si>
    <t>98.3</t>
  </si>
  <si>
    <t>SOPLIN VARGAS</t>
  </si>
  <si>
    <t>Ambo</t>
  </si>
  <si>
    <t>AMBO</t>
  </si>
  <si>
    <t>30/10/2025 - Sectoristas - Operativo de acuerdo a lo informado por el pastor Nolasco Ponciano, de la zona opera las 24 horas del día</t>
  </si>
  <si>
    <t>Cayna</t>
  </si>
  <si>
    <t>CAYNA</t>
  </si>
  <si>
    <t>25/11/2025 - Ingeniería - Con el apoyo del ps. Nolasco, se hizo mantenimiento al tx e instalación de un estabilizador. La estación está al aire nuevamente.</t>
  </si>
  <si>
    <t>Huariaca</t>
  </si>
  <si>
    <t>HUARIACA</t>
  </si>
  <si>
    <t>Canta</t>
  </si>
  <si>
    <t>CANTA</t>
  </si>
  <si>
    <t>13/11/2025 - Ingeniería - Se puso nuevamente al aire la estación, con el apoyo del hno. Israel y Lizandro solucionando el tema del sistema satelital.</t>
  </si>
  <si>
    <t>Santa Rosa de Quives</t>
  </si>
  <si>
    <t>SANTA ROSA DE QUIVES</t>
  </si>
  <si>
    <t>14/11/2025 - Sectoristas - Estacion inoperativa desde el dia de ayer 13 de noviembre, de acuerdo a la visita del hno Israel encontró la radio con 30w, antenas en mal estado por tanto se trajo el tx a Lima para su revisión. Asimismo, se ha recogido coordenadas para un posible cambio de ubicación previo analisis de ingenieria.</t>
  </si>
  <si>
    <t>Huaral</t>
  </si>
  <si>
    <t>93.1</t>
  </si>
  <si>
    <t>HUARAL</t>
  </si>
  <si>
    <t>15/10/2025 - Sectoristas - La estación se encuentra operativo nuevamente de acuerdo a lo informado por el área de operaciones</t>
  </si>
  <si>
    <t>Chinchihuasi</t>
  </si>
  <si>
    <t>CHINCHIHUASI</t>
  </si>
  <si>
    <t>Colcabamba</t>
  </si>
  <si>
    <t>COLCABAMBA</t>
  </si>
  <si>
    <t>Pampas</t>
  </si>
  <si>
    <t>PAMPAS 101.9</t>
  </si>
  <si>
    <t>PAMPAS</t>
  </si>
  <si>
    <t>Pampas - Daniel Hernandez</t>
  </si>
  <si>
    <t>PAMPAS 96.3</t>
  </si>
  <si>
    <t>Aucara</t>
  </si>
  <si>
    <t>AUCARA</t>
  </si>
  <si>
    <t>30/10/2025 - Sectoristas - Operativo de acuerdo a lo informado por el pasto de la zona (04 am a 11 am - 05 pm a 10 pm)</t>
  </si>
  <si>
    <t>Coracora</t>
  </si>
  <si>
    <t>CORACORA</t>
  </si>
  <si>
    <t>Pausa</t>
  </si>
  <si>
    <t>PAUSA</t>
  </si>
  <si>
    <t>8/09/2025 - Sectoristas - Inoperativo TX malogrado se esta proyectando reparar después de la convención de Tacna</t>
  </si>
  <si>
    <t>Puquio</t>
  </si>
  <si>
    <t>PUQUIO</t>
  </si>
  <si>
    <t>8/09/2025 - Sectoristas - Operativo de acuerdo a lo informado por el presbítero</t>
  </si>
  <si>
    <t>Mazan</t>
  </si>
  <si>
    <t>MAZAN</t>
  </si>
  <si>
    <t>30/10/2025 - Sectoristas - Operativo de acuerdo a lo informado por el pasto de la zona</t>
  </si>
  <si>
    <t>Pebas</t>
  </si>
  <si>
    <t>95.9</t>
  </si>
  <si>
    <t>PEBAS</t>
  </si>
  <si>
    <t>Santa Clotilde - Napo</t>
  </si>
  <si>
    <t>SANTA CLOTILDE</t>
  </si>
  <si>
    <t>Barranca</t>
  </si>
  <si>
    <t>BARRANCA</t>
  </si>
  <si>
    <t>30/10/2025 - Sectoristas - Operativo de acuerdo a lo informado por el la hna Aimé responsable de la estación</t>
  </si>
  <si>
    <t>Aucayacu - Jose Crespo y Castillo</t>
  </si>
  <si>
    <t>AUCAYACU</t>
  </si>
  <si>
    <t>31/10/2025 - Sectoristas - Operativo de acuerdo a lo informado por el pastor Nolasco Ponciano, de la zona opera las 24 horas del día</t>
  </si>
  <si>
    <t xml:space="preserve">Chiquian </t>
  </si>
  <si>
    <t>CHIQUIAN</t>
  </si>
  <si>
    <t>31/10/2025 - Sectoristas - Operativo de acuerdo a lo informado por el pastor de la zona,</t>
  </si>
  <si>
    <t>La Union</t>
  </si>
  <si>
    <t>LA UNION</t>
  </si>
  <si>
    <t>1/12/2025 - Ingeniería - Con fecha sábado 29/11/25, el ps. Walter informa que se logró compra el estabilizador y con ello instaló el tx. La estación está nuevamente al aire.</t>
  </si>
  <si>
    <t>Oxapampa</t>
  </si>
  <si>
    <t>OXAPAMPA</t>
  </si>
  <si>
    <t>31/10/2025 - Sectoristas - Operativo nuevamente de acuerdo a lo informado por el pastor</t>
  </si>
  <si>
    <t>Pozuzo</t>
  </si>
  <si>
    <t>POZUZO</t>
  </si>
  <si>
    <t>Villa Rica</t>
  </si>
  <si>
    <t>VILA RICA</t>
  </si>
  <si>
    <t>VILLA RICA</t>
  </si>
  <si>
    <t>Jauja</t>
  </si>
  <si>
    <t>JAUJA</t>
  </si>
  <si>
    <t>31/10/2025 - Sectoristas - Sectoristas - Operativo de acuerdo a lo informado por el pastor de la zona</t>
  </si>
  <si>
    <t>Islandia - Yavari</t>
  </si>
  <si>
    <t>ISLANDIA</t>
  </si>
  <si>
    <t>31/10/2025 - Sectoristas - Operativo de acuerdo a lo informado por el presbítero (07 am a 10 pm)</t>
  </si>
  <si>
    <t>Yavari - Santa Rosa</t>
  </si>
  <si>
    <t>YAVARI</t>
  </si>
  <si>
    <t>31/10/2025 - Sectoristas - Operativo de acuerdo a lo informado por el presbítero</t>
  </si>
  <si>
    <t>Operativo</t>
  </si>
  <si>
    <t>Mala</t>
  </si>
  <si>
    <t>MALA</t>
  </si>
  <si>
    <t>31/10/2025 - Sectoristas - Operativo las 24 horas de acuerdo a lo informado por el pastor de la zona</t>
  </si>
  <si>
    <t>Campoverde</t>
  </si>
  <si>
    <t>CAMPOVERDE</t>
  </si>
  <si>
    <t>4/09/2025 - Sectoristas - Operativo de acuerdo a lo informado por el pastor de la zona opera las 24 horas del día</t>
  </si>
  <si>
    <t>Nueva Requena</t>
  </si>
  <si>
    <t>NUEVA REQUENA</t>
  </si>
  <si>
    <t>31/10/2025 - Sectoristas - Operativo de acuerdo a lo informado por el pastor de la zona opera las 24 horas del día</t>
  </si>
  <si>
    <t>Andajes</t>
  </si>
  <si>
    <t>ANDAJES</t>
  </si>
  <si>
    <t>12/11/2025 - Sectoristas - El día de hoy miércoles 12 de noviembre el hno Israel quien estuvo en la localidad en la atención técnica junto al hno Lizandro confirma que dejo la estación operativa</t>
  </si>
  <si>
    <t>Oyon</t>
  </si>
  <si>
    <t>OYON</t>
  </si>
  <si>
    <t>12/11/2025 - Sectoristas - El dia de hoy 12 de noviembre el hno Israel quien visito la estacion confirma que dejaron la radio operativa.</t>
  </si>
  <si>
    <t>Sayan</t>
  </si>
  <si>
    <t>SAYAN</t>
  </si>
  <si>
    <t>12/11/2025 - Sectoristas - El día de hoy 12 de noviembre el hno Israel quien estuvo en la estación, atendiéndola técnicamente señalo que se encuentra operativa.</t>
  </si>
  <si>
    <t>Umari</t>
  </si>
  <si>
    <t>UMARI</t>
  </si>
  <si>
    <t>21/10/2025 - Sectoristas - Operativo de acuerdo a lo informado por el pastor Nolasco Ponciano, de la zona opera las 24 horas del día</t>
  </si>
  <si>
    <t>Atalaya - Raymondi</t>
  </si>
  <si>
    <t>ATALAYA</t>
  </si>
  <si>
    <t>21/10/2025 - Sectoristas - Operativo de acuerdo a lo informado por el pastor de la zona</t>
  </si>
  <si>
    <t>Andamarca</t>
  </si>
  <si>
    <t>Junín</t>
  </si>
  <si>
    <t>ANDAMARCA</t>
  </si>
  <si>
    <t xml:space="preserve">  </t>
  </si>
  <si>
    <t>Abancay</t>
  </si>
  <si>
    <t>Apurimac</t>
  </si>
  <si>
    <t>106,7</t>
  </si>
  <si>
    <t>ABANCAY</t>
  </si>
  <si>
    <t>11/11/2025 - Sectoristas - Opera con normalidad / inf. Ps. Juan Carlos Lazaro</t>
  </si>
  <si>
    <t>Abancay - Tamburco</t>
  </si>
  <si>
    <t>Acari (Bella Unión)</t>
  </si>
  <si>
    <t>Arequipa</t>
  </si>
  <si>
    <t>101,5</t>
  </si>
  <si>
    <t>ACARI</t>
  </si>
  <si>
    <t>12/11/2025 - Sectoristas - Opera con normalidad / el pastor informo que desea realizar cambio de torre por motivo de oxidacion.</t>
  </si>
  <si>
    <t>Alegria - Las Piedras</t>
  </si>
  <si>
    <t>Madre de Dios</t>
  </si>
  <si>
    <t>97,1</t>
  </si>
  <si>
    <t>ALEGRIA</t>
  </si>
  <si>
    <t>12/11/2025 - Sectoristas - Opera con normalidad / Inf. Ps. Oscar Benavides</t>
  </si>
  <si>
    <t>Alerta - Tahuamanu</t>
  </si>
  <si>
    <t>ALERTA</t>
  </si>
  <si>
    <t>12/11/2025 - Sectoristas - Opera con normalidad / Inf. Ps. Gusmal Solis</t>
  </si>
  <si>
    <t>Ananea - RINCONADA</t>
  </si>
  <si>
    <t>Puno</t>
  </si>
  <si>
    <t>99,3</t>
  </si>
  <si>
    <t>LA RINCONADA</t>
  </si>
  <si>
    <t>1/10/2025 - Sectoristas - Opera con Normalidad</t>
  </si>
  <si>
    <t>Andagua</t>
  </si>
  <si>
    <t>93,1</t>
  </si>
  <si>
    <t>ANDAGUA</t>
  </si>
  <si>
    <t>27/11/2025 - Sectoristas - El presbitero comento que no dispone de tiempo para ir Andagua, el nos estaria avisando que dia puede viajar llevando el trasmisor (son 8 hrs de viaje aprox.)</t>
  </si>
  <si>
    <t>NO HAY OBRA</t>
  </si>
  <si>
    <t>Andahuaylas</t>
  </si>
  <si>
    <t>91,7</t>
  </si>
  <si>
    <t>ANDAHUAYLAS</t>
  </si>
  <si>
    <t>11/11/2025 - Sectoristas - Opera con normalidad / inf. Ps. Genaro Quispe</t>
  </si>
  <si>
    <t>ANDAHUAYLAS VHF</t>
  </si>
  <si>
    <t>Anta</t>
  </si>
  <si>
    <t>Cusco</t>
  </si>
  <si>
    <t>101,1</t>
  </si>
  <si>
    <t>ANTA</t>
  </si>
  <si>
    <t>29/10/2025 - Sectoristas - Opera con normalidad</t>
  </si>
  <si>
    <t>Antabamba</t>
  </si>
  <si>
    <t>97,9</t>
  </si>
  <si>
    <t>ANTABAMBA</t>
  </si>
  <si>
    <t>30/10/2025 - Sectoristas - Opera con normalidad / referencia del pastor</t>
  </si>
  <si>
    <t>ANTABAMBA VHF</t>
  </si>
  <si>
    <t>20/11/2025 - Sectoristas - El pastor envio a Lima el transmisor y 3 antena yagui para su diagnostico y reparacion, se recogio el dia de ayer 19/11</t>
  </si>
  <si>
    <t>transmisor en diagnostico</t>
  </si>
  <si>
    <t>Aplao</t>
  </si>
  <si>
    <t>96,5</t>
  </si>
  <si>
    <t>APLAO</t>
  </si>
  <si>
    <t>12/11/2025 - Sectoristas - Opera con Normalidad / Inf. Ps. Luis Alfaro, comento que la proxima estaran haciendo mantenimiento a los equipos.</t>
  </si>
  <si>
    <t>AREQUIPA</t>
  </si>
  <si>
    <t>12/11/2025 - Sectoristas - Opera con normalidad / Inf. Ps Adrián Loayza</t>
  </si>
  <si>
    <t>96.5</t>
  </si>
  <si>
    <t>Arequipa - Miraflores</t>
  </si>
  <si>
    <t>47.1</t>
  </si>
  <si>
    <t>AREQUIPA UHF</t>
  </si>
  <si>
    <t>Atíco</t>
  </si>
  <si>
    <t>94,9</t>
  </si>
  <si>
    <t>ATICO</t>
  </si>
  <si>
    <t>17/11/2025 - Sectoristas - Opera con normalidad / Inf. Ps. Henry</t>
  </si>
  <si>
    <t>Ayapata</t>
  </si>
  <si>
    <t>89,5</t>
  </si>
  <si>
    <t>AYAPATA</t>
  </si>
  <si>
    <t>25/11/2025 - Sectoristas - El pastor indico que ya se establecio un nuevo obrero y esta en la busqueda de un lugar para instalar la planta.</t>
  </si>
  <si>
    <t>NO HAY OBRERO</t>
  </si>
  <si>
    <t>Ayaviri</t>
  </si>
  <si>
    <t>106,3</t>
  </si>
  <si>
    <t>AYAVIRI</t>
  </si>
  <si>
    <t>11/11/2025 - Sectoristas - Opera con normalidad / inf. Ps. Jonathan Flores</t>
  </si>
  <si>
    <t>Azangaro</t>
  </si>
  <si>
    <t>97,3</t>
  </si>
  <si>
    <t>AZANGARO</t>
  </si>
  <si>
    <t>11/11/2025 - Sectoristas - Opera con normalidad / Info. Ps. Alfredo Janco</t>
  </si>
  <si>
    <t>Boca Colorado</t>
  </si>
  <si>
    <t>100,1</t>
  </si>
  <si>
    <t>BOCA COLORADO</t>
  </si>
  <si>
    <t>11/11/2025 - Sectoristas - Opera con normalidad - inf. encargado hno. Yasmani Esteban</t>
  </si>
  <si>
    <t>Cabanilla</t>
  </si>
  <si>
    <t>89,3</t>
  </si>
  <si>
    <t>CABANILLA</t>
  </si>
  <si>
    <t>20/11/2025 - Sectoristas - Opera con normalidad / Inf. Ps. Ernesto Zamata</t>
  </si>
  <si>
    <t>Calca</t>
  </si>
  <si>
    <t>92,9</t>
  </si>
  <si>
    <t>CALCA</t>
  </si>
  <si>
    <t>20/11/2025 - Sectoristas - Opera con normalidad / Inf. Ps. Ricardo Angel</t>
  </si>
  <si>
    <t>Local prestado, gratiuto</t>
  </si>
  <si>
    <t>Camaná</t>
  </si>
  <si>
    <t>CAMANA</t>
  </si>
  <si>
    <t>11/11/2025 - Sectoristas - Opera con normalidad / Inf. Ps. Santos Wilfredo Figueroa</t>
  </si>
  <si>
    <t>CAMANA UHF</t>
  </si>
  <si>
    <t>Candarave</t>
  </si>
  <si>
    <t>Tacna</t>
  </si>
  <si>
    <t>97,5</t>
  </si>
  <si>
    <t>CANDARAVE</t>
  </si>
  <si>
    <t>16/09/2025 - Sectoristas - OPERA CON NORMALIDAD</t>
  </si>
  <si>
    <t>Caraveli</t>
  </si>
  <si>
    <t>95,3</t>
  </si>
  <si>
    <t>CARAVELI</t>
  </si>
  <si>
    <t>11/11/2025 - Sectoristas - Opera con normalidad / Inf. Ps. Ismael Bautista</t>
  </si>
  <si>
    <t>Ccorca</t>
  </si>
  <si>
    <t>CCORCA</t>
  </si>
  <si>
    <t>18/11/2025 - Sectoristas - El pastor comento que el dia jueves de la proxima semana estara confirmando si la planta se queda en el mismo lugar donde estaban antes.</t>
  </si>
  <si>
    <t>LA COMUNIDAD LE PIDEN APOYO DE CALAMINA / DEBEN MUDARSE A 20 METROS DE LUGAR DONDE ESTAN</t>
  </si>
  <si>
    <t>12/11/2025 - Sectoristas - El hermano Abel B. comento que en coordinacion con el Ps. Samuel el lunes 17/11 estaran evaluando la ubicacion donde se instalara la planta.</t>
  </si>
  <si>
    <t>Chala</t>
  </si>
  <si>
    <t>98,7</t>
  </si>
  <si>
    <t>CHALA</t>
  </si>
  <si>
    <t>11/11/2025 - Sectoristas - Opera con normalidad / Inf. Ps. Elias Chambe</t>
  </si>
  <si>
    <t>Chalhuanca</t>
  </si>
  <si>
    <t>96,9</t>
  </si>
  <si>
    <t>CHALHUANCA</t>
  </si>
  <si>
    <t>11/11/2025 - Sectoristas - Opera con normalidad / Inf. Ps. Samuel Quispe</t>
  </si>
  <si>
    <t>Checacupe</t>
  </si>
  <si>
    <t>CHECACUPE</t>
  </si>
  <si>
    <t>22/09/2025 - Sectoristas - Opera con normalidad</t>
  </si>
  <si>
    <t>Chincha - Grocio Prado</t>
  </si>
  <si>
    <t>Ica</t>
  </si>
  <si>
    <t>95,1</t>
  </si>
  <si>
    <t>CHINCHA</t>
  </si>
  <si>
    <t>Chinchero</t>
  </si>
  <si>
    <t>CHINCHERO</t>
  </si>
  <si>
    <t>1/09/2025 - Sectoristas - Opera con normalidad</t>
  </si>
  <si>
    <t>Chincheros - Anco - Huallo</t>
  </si>
  <si>
    <t>CHINCHEROS</t>
  </si>
  <si>
    <t>Chivay</t>
  </si>
  <si>
    <t>93,3</t>
  </si>
  <si>
    <t>CHIVAY</t>
  </si>
  <si>
    <t>20/10/2025 - Sectoristas - Opera con normalidad de acuerdo a lo informado por el hno. Manuel Espinoza (Tecnico)</t>
  </si>
  <si>
    <t>VIAJE TECNICO 13/10/25</t>
  </si>
  <si>
    <t>Chuquibamba</t>
  </si>
  <si>
    <t>98,9</t>
  </si>
  <si>
    <t>CHUQUIBAMBA</t>
  </si>
  <si>
    <t>30/10/2025 - Sectoristas - Opera con normalidad por informacion del pastor</t>
  </si>
  <si>
    <t xml:space="preserve">ELECTRICO / se pagaron 5000 soles y deben 2500 soles </t>
  </si>
  <si>
    <t>Chuquibambilla</t>
  </si>
  <si>
    <t>95,5</t>
  </si>
  <si>
    <t>CHUQUIBAMBILLA</t>
  </si>
  <si>
    <t>12/11/2025 - Sectoristas - El Pastor de la zona comunico que el hermano Fidel no pudo ir el dia que indico para instalar los equipos (distribuidor y transfomador de aislamiento), pero que Dios mediante estara yendo el dia de hoy.</t>
  </si>
  <si>
    <t>Combapata</t>
  </si>
  <si>
    <t>104,9</t>
  </si>
  <si>
    <t>COMBAPATA</t>
  </si>
  <si>
    <t>Cotahuasi</t>
  </si>
  <si>
    <t>93,5</t>
  </si>
  <si>
    <t>COTAHUASI</t>
  </si>
  <si>
    <t>18/11/2025 - Sectoristas - Opera con normalidad / Inf. Ps. Henry Aguilar</t>
  </si>
  <si>
    <t>Crucero</t>
  </si>
  <si>
    <t>98,1</t>
  </si>
  <si>
    <t>CRUCERO</t>
  </si>
  <si>
    <t>25/09/2025 - Sectoristas - Opera con normalidad</t>
  </si>
  <si>
    <t>Curahuasi</t>
  </si>
  <si>
    <t>CURAHUASI</t>
  </si>
  <si>
    <t>17/11/2025 - Sectoristas - Opera con normalidad / Inf. Ps. David Campos, esta semana estara visitando la estacion el ps. Genaro</t>
  </si>
  <si>
    <t>90,9</t>
  </si>
  <si>
    <t>17/11/2025 - Sectoristas - Opera con normalidad / Inf. Ps. David Campos</t>
  </si>
  <si>
    <t>CUSCO</t>
  </si>
  <si>
    <t>2/09/2025 - Sectoristas - Opera con normalidad, local alquilado</t>
  </si>
  <si>
    <t>2/09/2025 - Sectoristas - Opera con normalidad, local propio, alta presencia de rayos</t>
  </si>
  <si>
    <t>Desaguadero</t>
  </si>
  <si>
    <t>DESAGUADERO</t>
  </si>
  <si>
    <t>94.9</t>
  </si>
  <si>
    <t>Espinar</t>
  </si>
  <si>
    <t>94,7</t>
  </si>
  <si>
    <t>ESPINAR</t>
  </si>
  <si>
    <t>14/11/2025 - Sectoristas - Opera con normalidad / Inf. Ps. Cristian Hans Torres</t>
  </si>
  <si>
    <t>Huancané</t>
  </si>
  <si>
    <t>HUANCANE</t>
  </si>
  <si>
    <t>Huancarama</t>
  </si>
  <si>
    <t>HUANCARAMA</t>
  </si>
  <si>
    <t>Huancarani</t>
  </si>
  <si>
    <t>92,3</t>
  </si>
  <si>
    <t>HUANCARANI</t>
  </si>
  <si>
    <t>14/10/2025 - Sectoristas - Opera con Normalidad / se mejoro mucho la cobertura con el cambio de ubicación, cubre Colquepata y Paucartambo parte alta / Quiere evaluación para aumento de potencia.</t>
  </si>
  <si>
    <t>Huaynacotas</t>
  </si>
  <si>
    <t>HUAYNACOTAS</t>
  </si>
  <si>
    <t>7/11/2025 - Sectoristas - Opera con normalidad / ya instalaron el transmisor</t>
  </si>
  <si>
    <t>Huepetuhe</t>
  </si>
  <si>
    <t>HUEPETUE</t>
  </si>
  <si>
    <t>11/11/2025 - Sectoristas - Operacion con normaliad / El pastor informo que ya no se cambiaran de lugar.</t>
  </si>
  <si>
    <t>Iberia</t>
  </si>
  <si>
    <t>104,1</t>
  </si>
  <si>
    <t xml:space="preserve">IBERIA </t>
  </si>
  <si>
    <t>10/10/2025 - Sectoristas - Opera con normalidad</t>
  </si>
  <si>
    <t>88,9</t>
  </si>
  <si>
    <t>ICA</t>
  </si>
  <si>
    <t>14/10/2025 - Sectoristas - Opera con normalidad / Inf. Hno. Nelson</t>
  </si>
  <si>
    <t>Ica - Salas</t>
  </si>
  <si>
    <t>Ichuña</t>
  </si>
  <si>
    <t>Moquegua</t>
  </si>
  <si>
    <t>93,9</t>
  </si>
  <si>
    <t>ICHUÑA</t>
  </si>
  <si>
    <t>Ilave</t>
  </si>
  <si>
    <t>ILAVE</t>
  </si>
  <si>
    <t>20/10/2025 - Ingeniería - Con el apoyo de un ingeniero de la zona, se pudo poner operativa la estación.</t>
  </si>
  <si>
    <t>Ilo</t>
  </si>
  <si>
    <t>100,5</t>
  </si>
  <si>
    <t>ILO</t>
  </si>
  <si>
    <t>14/11/2025 - Sectoristas - Opera con normalidad / Inf. Ps. Jhon Vargas, la próxima semana estará enviando a Lima el transmisor para su revisión por motivo de renovación.</t>
  </si>
  <si>
    <t>Iñapari</t>
  </si>
  <si>
    <t>89,7</t>
  </si>
  <si>
    <t>IÑAPARI</t>
  </si>
  <si>
    <t>Ivochote- Echarate</t>
  </si>
  <si>
    <t>99,7</t>
  </si>
  <si>
    <t>IVOCHOTE</t>
  </si>
  <si>
    <t>18/11/2025 - Sectoristas - Opera con normalidad / Inf. Ps. Alejandro Valderrama</t>
  </si>
  <si>
    <t>Juli</t>
  </si>
  <si>
    <t>JULI</t>
  </si>
  <si>
    <t>27/11/2025 - Sectoristas - El codificador fue enviado el dia lunes, el pastor Ricardo Lopez hoy por la tarde estara recogiendolo.</t>
  </si>
  <si>
    <r>
      <rPr>
        <sz val="10"/>
        <color theme="1"/>
        <rFont val="Arial"/>
        <family val="2"/>
      </rPr>
      <t>presupuesto:</t>
    </r>
    <r>
      <rPr>
        <sz val="11"/>
        <color theme="1"/>
        <rFont val="Arial"/>
        <family val="2"/>
      </rPr>
      <t xml:space="preserve"> </t>
    </r>
    <r>
      <rPr>
        <sz val="10"/>
        <color theme="1"/>
        <rFont val="Arial"/>
        <family val="2"/>
      </rPr>
      <t>envio de deco</t>
    </r>
  </si>
  <si>
    <t>4/12/2025 - Sectoristas - Opera con normalidad / Inf. Ps. Ricardo Lopez</t>
  </si>
  <si>
    <r>
      <rPr>
        <sz val="10"/>
        <color theme="1"/>
        <rFont val="Arial"/>
        <family val="2"/>
      </rPr>
      <t>presupuesto:</t>
    </r>
    <r>
      <rPr>
        <sz val="11"/>
        <color theme="1"/>
        <rFont val="Arial"/>
        <family val="2"/>
      </rPr>
      <t xml:space="preserve"> </t>
    </r>
    <r>
      <rPr>
        <sz val="10"/>
        <color theme="1"/>
        <rFont val="Arial"/>
        <family val="2"/>
      </rPr>
      <t>envio de deco</t>
    </r>
  </si>
  <si>
    <t>Juliaca</t>
  </si>
  <si>
    <t>101,3</t>
  </si>
  <si>
    <t>JULIACA</t>
  </si>
  <si>
    <t>Kaquiabamba</t>
  </si>
  <si>
    <t>93,7</t>
  </si>
  <si>
    <t>KAQUIABAMBA</t>
  </si>
  <si>
    <t>Kepashiato</t>
  </si>
  <si>
    <t>KEPASHIATO</t>
  </si>
  <si>
    <t>17/11/2025 - Sectoristas - Opera con normalidad / Inf. Ps. Ever Huaraca</t>
  </si>
  <si>
    <t>Kosñipata</t>
  </si>
  <si>
    <t>KOSÑIPATA</t>
  </si>
  <si>
    <t>2/09/2025 - Sectoristas - opera con normalidad</t>
  </si>
  <si>
    <t>92,5</t>
  </si>
  <si>
    <t>2/09/2025 - Sectoristas - opera con normalidad / trabaja de manera optima</t>
  </si>
  <si>
    <t>La Joya</t>
  </si>
  <si>
    <t>LA JOYA</t>
  </si>
  <si>
    <t>14/10/2025 - Sectoristas - Esta Operando con normalidad / se esta proyectando a la compra de un nuevo transmisor</t>
  </si>
  <si>
    <t>Laberinto</t>
  </si>
  <si>
    <t>LABERINTO</t>
  </si>
  <si>
    <t>17/11/2025 - Sectoristas - Opera con normalidad / Inf. Ps. Efrain</t>
  </si>
  <si>
    <t>25/11/2025 - Sectoristas - En conversacion con el hno. Caviedes indico que el dia sabado 06/12 estara yendo a dar mantenimiento a la parabolica.</t>
  </si>
  <si>
    <r>
      <rPr>
        <sz val="10"/>
        <color theme="1"/>
        <rFont val="Arial"/>
        <family val="2"/>
      </rPr>
      <t>presupuesto</t>
    </r>
    <r>
      <rPr>
        <b/>
        <sz val="10"/>
        <color theme="1"/>
        <rFont val="Arial"/>
        <family val="2"/>
      </rPr>
      <t xml:space="preserve">: </t>
    </r>
    <r>
      <rPr>
        <sz val="10"/>
        <color theme="1"/>
        <rFont val="Arial"/>
        <family val="2"/>
      </rPr>
      <t>aprox. precio de parabolica</t>
    </r>
  </si>
  <si>
    <t>Lamay</t>
  </si>
  <si>
    <t>LAMAY</t>
  </si>
  <si>
    <t xml:space="preserve">Local Alquilado, se prende los fines de semanas </t>
  </si>
  <si>
    <t>Lambrama</t>
  </si>
  <si>
    <t>LAMBRAMA</t>
  </si>
  <si>
    <t>10/09/2025 - Sectoristas - Opera con normalidad</t>
  </si>
  <si>
    <t>Locumba</t>
  </si>
  <si>
    <t>LOCUMBA</t>
  </si>
  <si>
    <t>10/11/2025 - Sectoristas - Opera con normalidad / infor. Pastor</t>
  </si>
  <si>
    <t>Lomas</t>
  </si>
  <si>
    <t>LOMAS</t>
  </si>
  <si>
    <t>14/11/2025 - Sectoristas - Opera con normalidad / Inf. Ps. René Simon, el dia lunes 17/11 se estara ingresando la solicitud de renovacion.</t>
  </si>
  <si>
    <t>Macusani</t>
  </si>
  <si>
    <t>MACUSANI</t>
  </si>
  <si>
    <t>Maranura</t>
  </si>
  <si>
    <t>MARANURA</t>
  </si>
  <si>
    <t>Marcapata</t>
  </si>
  <si>
    <t>98,3</t>
  </si>
  <si>
    <t>MARCAPATA</t>
  </si>
  <si>
    <t>2/09/2025 - Sectoristas - opera con normalidad /  fue visitada por el ps. Pedro Maxi</t>
  </si>
  <si>
    <t>Marcona</t>
  </si>
  <si>
    <t>91,5</t>
  </si>
  <si>
    <t>MARCONA</t>
  </si>
  <si>
    <t>15/10/2025 - Sectoristas - Opera con normalidad</t>
  </si>
  <si>
    <t>Mazuko - Inambari</t>
  </si>
  <si>
    <t>MAZUKO</t>
  </si>
  <si>
    <t>25/09/2025 - Sectoristas - Opera con Normalidad</t>
  </si>
  <si>
    <t>95,7</t>
  </si>
  <si>
    <t>Mollendo</t>
  </si>
  <si>
    <t>MOLLENDO</t>
  </si>
  <si>
    <t>14/10/2025 - Sectoristas - Opera con Normalidad / Se hizo monitoreo y llega  a lugares  que no llegaba, luego de la visita de los técnicos. Se ha comprado un terreno para C.U. por recomendación del Ps. Josué y Luis Meza / estamos a la espera del envio de las coordenadas</t>
  </si>
  <si>
    <t>Mollepata</t>
  </si>
  <si>
    <t>MOLLEPATA</t>
  </si>
  <si>
    <t xml:space="preserve">Local propio - Falta obrero </t>
  </si>
  <si>
    <t>96,1</t>
  </si>
  <si>
    <t>107,7</t>
  </si>
  <si>
    <t>MOQUEGUA</t>
  </si>
  <si>
    <t>Nazca</t>
  </si>
  <si>
    <t>95,9</t>
  </si>
  <si>
    <t>NAZCA</t>
  </si>
  <si>
    <t>17/11/2025 - Sectoristas - Opera con normalidad / Info. Secretaria Elena</t>
  </si>
  <si>
    <t>20/11/2025 - Sectoristas - Opera con normalidad / Inf. Secretaria Elena</t>
  </si>
  <si>
    <t>Nuñoa</t>
  </si>
  <si>
    <t>NUÑOA</t>
  </si>
  <si>
    <t>Ocobamba</t>
  </si>
  <si>
    <t>OCOBAMBA</t>
  </si>
  <si>
    <t>Ocongate</t>
  </si>
  <si>
    <t>OCONGATE</t>
  </si>
  <si>
    <t>31/10/2025 - Sectoristas - Se ingreso la solic. de cambio de ubicacion, la esposa del pastor de la zona informo que estan construyendo la caseta en la nueva ubicacion y que el dia lunes 17/11 levantaran la torre.</t>
  </si>
  <si>
    <t>presupuesto: le falta casi la mitad de la implementacion</t>
  </si>
  <si>
    <t>Ocoña</t>
  </si>
  <si>
    <t>OCOÑA</t>
  </si>
  <si>
    <t>11/11/2025 - Sectoristas - Opera con normalidad / Inf. Ps. Santos Wilfredo Figueroa (Presbitero)</t>
  </si>
  <si>
    <t>Omate</t>
  </si>
  <si>
    <t>OMATE</t>
  </si>
  <si>
    <t>Orcopampa</t>
  </si>
  <si>
    <t>103,9</t>
  </si>
  <si>
    <t>ORCOPAMPA</t>
  </si>
  <si>
    <t>29/10/2025 - Sectoristas - El tecnico Manuel E, hizo una visita y dijo que la estacion estaba operando con normalidad.</t>
  </si>
  <si>
    <t>14/11/2025 - Sectoristas - Opera con normalidad / Inf. Ps. Moises Camacho</t>
  </si>
  <si>
    <t>Pacucha</t>
  </si>
  <si>
    <t>PACUCHA</t>
  </si>
  <si>
    <t>Palma Real - Echerate</t>
  </si>
  <si>
    <t>PAMLA REAL</t>
  </si>
  <si>
    <t>Palpa</t>
  </si>
  <si>
    <t>PALPA</t>
  </si>
  <si>
    <t>Pampacolca / Machaguay</t>
  </si>
  <si>
    <t>PAMPACOLCA</t>
  </si>
  <si>
    <t>Paruro</t>
  </si>
  <si>
    <t>PARURO</t>
  </si>
  <si>
    <t>2/09/2025 - Sectoristas - Opera con normalidad / local alquilado</t>
  </si>
  <si>
    <t>Paucartambo</t>
  </si>
  <si>
    <t>2/09/2025 - Sectoristas - Opera con normalidad / se cambio el deco y se dejo al aire</t>
  </si>
  <si>
    <t>97,7</t>
  </si>
  <si>
    <t>25/11/2025 - Sectoristas - El pastor indico que el decodificador exploto, estara en la compra de ello</t>
  </si>
  <si>
    <t>Pedregal - Majes</t>
  </si>
  <si>
    <t>106,5</t>
  </si>
  <si>
    <t>PEDREGAL</t>
  </si>
  <si>
    <t>29/10/2025 - Sectoristas - El dia viernes 24/10 se le pidio al pastor que apagara el trasmisor analogico, la señal TDT opera con normalidad.</t>
  </si>
  <si>
    <t>Pisco</t>
  </si>
  <si>
    <t>PISCO</t>
  </si>
  <si>
    <t>17/11/2025 - Sectoristas - Opera con normalidad / Info. Manuel Valdivia</t>
  </si>
  <si>
    <t>11/11/2025 - Sectoristas - Opera con normalidad - Inf. Ps. Manuel Valdivia</t>
  </si>
  <si>
    <t>Planchon - Las Piedras</t>
  </si>
  <si>
    <t>90,5</t>
  </si>
  <si>
    <t>PLANCHON</t>
  </si>
  <si>
    <t>Pomacanchi</t>
  </si>
  <si>
    <t>POMACANCHI</t>
  </si>
  <si>
    <t>PUCARA</t>
  </si>
  <si>
    <t>2/12/2025 - Sectoristas - Opera con normalidad / Inf. Jonathan Flores (PRESBITERO)</t>
  </si>
  <si>
    <t>Puerto Maldonado - Tambopata</t>
  </si>
  <si>
    <t>PUERTO MALDONADO</t>
  </si>
  <si>
    <t>Pukiri - Madre de Dios</t>
  </si>
  <si>
    <t>PUKIRI</t>
  </si>
  <si>
    <t>92,1</t>
  </si>
  <si>
    <t>PUNO</t>
  </si>
  <si>
    <t>31/10/2025 - Sectoristas - Opera con normalidad</t>
  </si>
  <si>
    <t>Punta de Bombon</t>
  </si>
  <si>
    <t>88,7</t>
  </si>
  <si>
    <t>PUNTA DE BOMBON</t>
  </si>
  <si>
    <t>29/10/2025 - Sectoristas - El dia 20/10 se envio el presupuesto, el pastor deposito para la reparacion del transmisor el dia 27/10</t>
  </si>
  <si>
    <t>LOS HERMANOS DE LABORATORIO COMENTAN QUE PROBABLEMENTE LO REPAREN LA PROXIMA SEMANA (MIERCOLES  19/11)</t>
  </si>
  <si>
    <t>Puquina</t>
  </si>
  <si>
    <t>PUQUINA</t>
  </si>
  <si>
    <t>14/10/2025 - Sectoristas - Opera con normalidad / Inf. Ps Adrián Loayza</t>
  </si>
  <si>
    <t>Putina</t>
  </si>
  <si>
    <t>PUTINA</t>
  </si>
  <si>
    <t>Quillabamba - Maranura</t>
  </si>
  <si>
    <t>106,1</t>
  </si>
  <si>
    <t>QUILLABAMBA</t>
  </si>
  <si>
    <t>Quince Mil</t>
  </si>
  <si>
    <t>103,3</t>
  </si>
  <si>
    <t>QUINCE MIL</t>
  </si>
  <si>
    <t>Ranracancha</t>
  </si>
  <si>
    <t>RANRACANCHA</t>
  </si>
  <si>
    <t xml:space="preserve">1/09/2025 - Sectoristas - Opera con normalidad a espera de la inspeccion tecnica </t>
  </si>
  <si>
    <t>Salamanca</t>
  </si>
  <si>
    <t>SALAMANCA</t>
  </si>
  <si>
    <t>Salvacion - Manu</t>
  </si>
  <si>
    <t>SALVACIÓN</t>
  </si>
  <si>
    <t>2/09/2025 - Sectoristas - Opera con normalidad</t>
  </si>
  <si>
    <t>San Lorenzo - Tahuamanu</t>
  </si>
  <si>
    <t>SAN LORENZO</t>
  </si>
  <si>
    <t>San Pedro de Cachora</t>
  </si>
  <si>
    <t>96,3</t>
  </si>
  <si>
    <t>SAN PEDRO DE CACHORA</t>
  </si>
  <si>
    <t>Sandia</t>
  </si>
  <si>
    <t>SANDIA</t>
  </si>
  <si>
    <t>Santa Lucia</t>
  </si>
  <si>
    <t>SANTA LUCIA</t>
  </si>
  <si>
    <t>Santo Tomas</t>
  </si>
  <si>
    <t>SANTO TOMAS</t>
  </si>
  <si>
    <t>Sarayacu</t>
  </si>
  <si>
    <t>SARAYACU</t>
  </si>
  <si>
    <t>31/10/2025 - Sectoristas - Hace dos semanas pararon la obra en la caseta por motivo de lluvias intensas /infor. pastor de la zona.</t>
  </si>
  <si>
    <t>tecnico - Edwin Caviedes</t>
  </si>
  <si>
    <t>Shiringayoc, Las Piedras Mavila</t>
  </si>
  <si>
    <t>SHIRINGAYOC</t>
  </si>
  <si>
    <t>Sicuani</t>
  </si>
  <si>
    <t>102,7</t>
  </si>
  <si>
    <t>SICUANI</t>
  </si>
  <si>
    <t>TACNA</t>
  </si>
  <si>
    <t>16/9/25 NUEVA FRECUENCIA CAMPRADA, AL AIRE CON SEÑAL DE BETHEL DESDE EL 14/09/2025</t>
  </si>
  <si>
    <t>Tacna - Alto de la Alianza</t>
  </si>
  <si>
    <t>Tacna - La Yarada , Los Palos</t>
  </si>
  <si>
    <t>Tambobamba</t>
  </si>
  <si>
    <t>TAMBOBAMBA</t>
  </si>
  <si>
    <t>Tarata</t>
  </si>
  <si>
    <t>90,3</t>
  </si>
  <si>
    <t>TARATA</t>
  </si>
  <si>
    <t>25/11/2025 - Sectoristas - No llegaron a reparar bien el transmisor, estara siendo enviado a Arequipa para su reparacion.</t>
  </si>
  <si>
    <t>25/11/2025 - Sectoristas - Estara siendo enviado Arequipa para su reparacion</t>
  </si>
  <si>
    <t>Torata</t>
  </si>
  <si>
    <t>TORATA</t>
  </si>
  <si>
    <t>Totora - Mamara</t>
  </si>
  <si>
    <t>98,5</t>
  </si>
  <si>
    <t>TOTORA</t>
  </si>
  <si>
    <t>Urcos - Cusco</t>
  </si>
  <si>
    <t>URCOS</t>
  </si>
  <si>
    <t>Urubamba</t>
  </si>
  <si>
    <t>URUBAMBA</t>
  </si>
  <si>
    <t>3/11/2025 - Sectoristas - Operando con normalidad, inf. El pastor comento que tuvo el apoyo del ps. Pedro Maxi para la revision de su transmisor</t>
  </si>
  <si>
    <t>103,1</t>
  </si>
  <si>
    <t>29/10/2025 - Sectoristas - Opera con normalidad, informacion brindada por el pastor.</t>
  </si>
  <si>
    <t>Vilcabamba</t>
  </si>
  <si>
    <t>VILCABAMBA</t>
  </si>
  <si>
    <t>Yanatile</t>
  </si>
  <si>
    <t>YANATILE</t>
  </si>
  <si>
    <t>Yunguyo</t>
  </si>
  <si>
    <t>YUNGUYO</t>
  </si>
  <si>
    <t>AL AIRE INSTALADA</t>
  </si>
  <si>
    <t>VILCABAMABA</t>
  </si>
  <si>
    <t>Se envio el trasnmisor a espera de ser instalado</t>
  </si>
  <si>
    <t xml:space="preserve">ESTADO </t>
  </si>
  <si>
    <t>NORTE</t>
  </si>
  <si>
    <t>CENTRO</t>
  </si>
  <si>
    <t>SUR</t>
  </si>
  <si>
    <t>TOTAL</t>
  </si>
  <si>
    <t>AL AIRE</t>
  </si>
  <si>
    <t>FUERA DEL AIRE</t>
  </si>
  <si>
    <t>NO INSTALADAS</t>
  </si>
  <si>
    <t>-------------  Este cuadro es solo para lectura y resumen (No llenar informacion aqui)  ----------------------</t>
  </si>
  <si>
    <t>Nº</t>
  </si>
  <si>
    <t>PRESB.</t>
  </si>
  <si>
    <t>MOTIVO</t>
  </si>
  <si>
    <t>OBSERVACION</t>
  </si>
  <si>
    <t xml:space="preserve">NIVEL </t>
  </si>
  <si>
    <t>R - 86</t>
  </si>
  <si>
    <t>24 días</t>
  </si>
  <si>
    <t>R - 1</t>
  </si>
  <si>
    <t>1 año con 1 mes y 4 días</t>
  </si>
  <si>
    <t>R - 2</t>
  </si>
  <si>
    <t>23 días</t>
  </si>
  <si>
    <t>R - 27</t>
  </si>
  <si>
    <t>22 días</t>
  </si>
  <si>
    <t>R - 33</t>
  </si>
  <si>
    <t>1 mes y 2 días</t>
  </si>
  <si>
    <t>R - 36</t>
  </si>
  <si>
    <t>13 días</t>
  </si>
  <si>
    <t>R - 40</t>
  </si>
  <si>
    <t>R - 41</t>
  </si>
  <si>
    <t>1 mes y 20 días</t>
  </si>
  <si>
    <t>R - 44</t>
  </si>
  <si>
    <t>R - 45</t>
  </si>
  <si>
    <t>R - 52</t>
  </si>
  <si>
    <t>10 días</t>
  </si>
  <si>
    <t>R - 59</t>
  </si>
  <si>
    <t>1 mes y 7 días</t>
  </si>
  <si>
    <t>R - 72</t>
  </si>
  <si>
    <t>1 año con 6 meses y 5 días</t>
  </si>
  <si>
    <t>R - 89</t>
  </si>
  <si>
    <t>6 años con 11 meses y 4 días</t>
  </si>
  <si>
    <t>R - 91</t>
  </si>
  <si>
    <t>1 mes y 4 días</t>
  </si>
  <si>
    <t>R - 92</t>
  </si>
  <si>
    <t>17 días</t>
  </si>
  <si>
    <t>R - 97</t>
  </si>
  <si>
    <t>7 meses y 4 días</t>
  </si>
  <si>
    <t>R - 110</t>
  </si>
  <si>
    <t>-</t>
  </si>
  <si>
    <t>R - 126</t>
  </si>
  <si>
    <t>C - 122</t>
  </si>
  <si>
    <t>C - 107</t>
  </si>
  <si>
    <t>C - 19</t>
  </si>
  <si>
    <t>C - 142</t>
  </si>
  <si>
    <t>C - 93</t>
  </si>
  <si>
    <t>C - 94</t>
  </si>
  <si>
    <t>C - 133</t>
  </si>
  <si>
    <t>C - 25</t>
  </si>
  <si>
    <t>C - 26</t>
  </si>
  <si>
    <t>C - 125</t>
  </si>
  <si>
    <t>C - 98</t>
  </si>
  <si>
    <t>E - 7</t>
  </si>
  <si>
    <t>8 meses y 7 días</t>
  </si>
  <si>
    <t>E - 12</t>
  </si>
  <si>
    <t>4 meses y 1 día</t>
  </si>
  <si>
    <t>E - 19</t>
  </si>
  <si>
    <t>3 meses y 4 días</t>
  </si>
  <si>
    <t>E - 29</t>
  </si>
  <si>
    <t>1 mes y 6 días</t>
  </si>
  <si>
    <t>E - 30</t>
  </si>
  <si>
    <t>presupuesto: envio de deco</t>
  </si>
  <si>
    <t>E - 64</t>
  </si>
  <si>
    <t>18 días</t>
  </si>
  <si>
    <t>presupuesto: aprox. precio de parabolica</t>
  </si>
  <si>
    <t>E - 73</t>
  </si>
  <si>
    <t>2 meses y 10 días</t>
  </si>
  <si>
    <t>E - 94</t>
  </si>
  <si>
    <t>S/7.000,00</t>
  </si>
  <si>
    <t>8 meses y 2 días</t>
  </si>
  <si>
    <t>E - 106</t>
  </si>
  <si>
    <t>S/165,00</t>
  </si>
  <si>
    <t xml:space="preserve">1 mes y </t>
  </si>
  <si>
    <t>E - 119</t>
  </si>
  <si>
    <t>S/1.639,36</t>
  </si>
  <si>
    <t>1 mes y 21 días</t>
  </si>
  <si>
    <t>E - 140</t>
  </si>
  <si>
    <t>25 días</t>
  </si>
  <si>
    <t>E - 141</t>
  </si>
  <si>
    <t>nº</t>
  </si>
  <si>
    <t>LAT</t>
  </si>
  <si>
    <t>LNG</t>
  </si>
  <si>
    <t>GMS</t>
  </si>
  <si>
    <t>77.61974722222222°W 9.781163888888889°S</t>
  </si>
  <si>
    <t>81.05366944444444°W 4.90725°S</t>
  </si>
  <si>
    <t>R - 3</t>
  </si>
  <si>
    <t>79.71786111111112°W 4.635722222222221°S</t>
  </si>
  <si>
    <t>R - 4</t>
  </si>
  <si>
    <t>R - 5</t>
  </si>
  <si>
    <t>78.50805555555556°W 5.636388888888888°S</t>
  </si>
  <si>
    <t>R - 6</t>
  </si>
  <si>
    <t>78.50866666666667°W 5.635972222222222°S</t>
  </si>
  <si>
    <t>R - 7</t>
  </si>
  <si>
    <t>78.43900000000001°W 5.763138888888889°S</t>
  </si>
  <si>
    <t>R - 8</t>
  </si>
  <si>
    <t>78.50863888888888°W 6.699366666666667°S</t>
  </si>
  <si>
    <t>R - 9</t>
  </si>
  <si>
    <t>78.00719444444445°W 8.39325°S</t>
  </si>
  <si>
    <t>R - 10</t>
  </si>
  <si>
    <t>R - 11</t>
  </si>
  <si>
    <t>78.03941666666667°W 7.623472222222222°S</t>
  </si>
  <si>
    <t>R - 12</t>
  </si>
  <si>
    <t>78.53113888888889°W 7.146972222222223°S</t>
  </si>
  <si>
    <t>R - 13</t>
  </si>
  <si>
    <t>R - 14</t>
  </si>
  <si>
    <t>78.90791666666668°W 6.186805555555556°S</t>
  </si>
  <si>
    <t>R - 15</t>
  </si>
  <si>
    <t>76.65058333333334°W 7.490583333333333°S</t>
  </si>
  <si>
    <t>R - 16</t>
  </si>
  <si>
    <t>77.7888611111111°W 9.043166666666666°S</t>
  </si>
  <si>
    <t>R - 17</t>
  </si>
  <si>
    <t>77.78888888888889°W 9.043194444444444°S</t>
  </si>
  <si>
    <t>R - 18</t>
  </si>
  <si>
    <t>79.1926388888889°W 7.740472222222222°S</t>
  </si>
  <si>
    <t>R - 19</t>
  </si>
  <si>
    <t>78.30322222222222°W 9.48025°S</t>
  </si>
  <si>
    <t>R - 20</t>
  </si>
  <si>
    <t>78.11119444444444°W 6.881194444444445°S</t>
  </si>
  <si>
    <t>R - 21</t>
  </si>
  <si>
    <t>78.11502777777777°W 6.883388888888889°S</t>
  </si>
  <si>
    <t>R - 22</t>
  </si>
  <si>
    <t>77.38027777777778°W 9.162972222222223°S</t>
  </si>
  <si>
    <t>R - 23</t>
  </si>
  <si>
    <t>77.87272222222222°W 6.210222222222223°S</t>
  </si>
  <si>
    <t>R - 24</t>
  </si>
  <si>
    <t>79.79258055555556°W 5.039291666666666°S</t>
  </si>
  <si>
    <t>R - 25</t>
  </si>
  <si>
    <t>77.17994444444444°W 9.571944444444444°S</t>
  </si>
  <si>
    <t>R - 26</t>
  </si>
  <si>
    <t>76.13986666666668°W 6.57595°S</t>
  </si>
  <si>
    <t>79.46883611111112°W 7.233411111111111°S</t>
  </si>
  <si>
    <t>R - 28</t>
  </si>
  <si>
    <t>R - 29</t>
  </si>
  <si>
    <t>79.87294444444444°W 6.7836388888888886°S</t>
  </si>
  <si>
    <t>R - 30</t>
  </si>
  <si>
    <t>75.32113888888888°W 11.07788888888889°S</t>
  </si>
  <si>
    <t>R - 31</t>
  </si>
  <si>
    <t>79.90930555555556°W 6.778083333333333°S</t>
  </si>
  <si>
    <t>R - 32</t>
  </si>
  <si>
    <t>78.59127777777778°W 9.0775°S</t>
  </si>
  <si>
    <t>78.59136111111111°W 9.077555555555556°S</t>
  </si>
  <si>
    <t>R - 34</t>
  </si>
  <si>
    <t>79.38961111111112°W 6.63875°S</t>
  </si>
  <si>
    <t>R - 35</t>
  </si>
  <si>
    <t>78.65390000000001°W 6.545016666666666°S</t>
  </si>
  <si>
    <t>80.1969888888889°W 5.121836111111111°S</t>
  </si>
  <si>
    <t>R - 37</t>
  </si>
  <si>
    <t>77.85089166666666°W 8.265511111111111°S</t>
  </si>
  <si>
    <t>R - 38</t>
  </si>
  <si>
    <t>R - 39</t>
  </si>
  <si>
    <t>77.94141666666667°W 5.927944444444445°S</t>
  </si>
  <si>
    <t>78.80247222222222°W 6.372972222222222°S</t>
  </si>
  <si>
    <t>77.13988888888889°W 8.601305555555555°S</t>
  </si>
  <si>
    <t>R - 42</t>
  </si>
  <si>
    <t>78.0491111111111°W 7.813055555555556°S</t>
  </si>
  <si>
    <t>R - 43</t>
  </si>
  <si>
    <t>79.43376944444445°W 5.242905555555556°S</t>
  </si>
  <si>
    <t>77.81619444444445°W 9.72263888888889°S</t>
  </si>
  <si>
    <t>R - 46</t>
  </si>
  <si>
    <t>77.51661111111112°W 9.519861111111112°S</t>
  </si>
  <si>
    <t>R - 47</t>
  </si>
  <si>
    <t>77.51661111111112°W 9.519805555555557°S</t>
  </si>
  <si>
    <t>R - 48</t>
  </si>
  <si>
    <t>77.17625000000001°W 9.348111111111113°S</t>
  </si>
  <si>
    <t>R - 49</t>
  </si>
  <si>
    <t>78.15033333333334°W 10.07413888888889°S</t>
  </si>
  <si>
    <t>R - 50</t>
  </si>
  <si>
    <t>R - 51</t>
  </si>
  <si>
    <t>76.77938333333333°W 7.331180555555555°S</t>
  </si>
  <si>
    <t>78.81939166666666°W 5.6980305555555555°S</t>
  </si>
  <si>
    <t>R - 53</t>
  </si>
  <si>
    <t>76.74133333333333°W 7.192861111111111°S</t>
  </si>
  <si>
    <t>R - 54</t>
  </si>
  <si>
    <t>80.69488611111112°W 5.375783333333333°S</t>
  </si>
  <si>
    <t>R - 55</t>
  </si>
  <si>
    <t>77.8883888888889°W 8.688744444444445°S</t>
  </si>
  <si>
    <t>R - 56</t>
  </si>
  <si>
    <t>77.98372222222223°W 6.117999999999999°S</t>
  </si>
  <si>
    <t>R - 57</t>
  </si>
  <si>
    <t>80.23047222222222°W 4.654111111111112°S</t>
  </si>
  <si>
    <t>R - 58</t>
  </si>
  <si>
    <t>77.80661111111111°W 6.692805555555556°S</t>
  </si>
  <si>
    <t>R - 60</t>
  </si>
  <si>
    <t>77.01783333333333°W 9.098391666666668°S</t>
  </si>
  <si>
    <t>R - 61</t>
  </si>
  <si>
    <t>78.45436111111111°W 6.088666666666667°S</t>
  </si>
  <si>
    <t>R - 62</t>
  </si>
  <si>
    <t>81.1258611111111°W 4.183833333333333°S</t>
  </si>
  <si>
    <t>R - 63</t>
  </si>
  <si>
    <t>81.04638888888888°W 4.109083333333333°S</t>
  </si>
  <si>
    <t>R - 64</t>
  </si>
  <si>
    <t>77.48127777777778°W 6.389833333333334°S</t>
  </si>
  <si>
    <t>R - 65</t>
  </si>
  <si>
    <t>80.01097222222222°W 6.537388888888889°S</t>
  </si>
  <si>
    <t>R - 66</t>
  </si>
  <si>
    <t>79.72993611111112°W 6.164922222222223°S</t>
  </si>
  <si>
    <t>R - 67</t>
  </si>
  <si>
    <t>76.96991666666666°W 6.0337499999999995°S</t>
  </si>
  <si>
    <t>R - 68</t>
  </si>
  <si>
    <t>R - 69</t>
  </si>
  <si>
    <t>78.28427777777777°W 9.145555555555555°S</t>
  </si>
  <si>
    <t>R - 70</t>
  </si>
  <si>
    <t>77.30536111111111°W 5.941361111111111°S</t>
  </si>
  <si>
    <t>R - 71</t>
  </si>
  <si>
    <t>77.4736638888889°W 9.66526111111111°S</t>
  </si>
  <si>
    <t>79.72444444444444°W 5.9944444444444445°S</t>
  </si>
  <si>
    <t>R - 73</t>
  </si>
  <si>
    <t>78.57133611111111°W 7.907491666666667°S</t>
  </si>
  <si>
    <t>R - 74</t>
  </si>
  <si>
    <t>79.55958333333334°W 7.416866666666667°S</t>
  </si>
  <si>
    <t>R - 75</t>
  </si>
  <si>
    <t>81.09091666666666°W 5.103194444444444°S</t>
  </si>
  <si>
    <t>R - 76</t>
  </si>
  <si>
    <t>77.97956388888889°W 9.073241666666666°S</t>
  </si>
  <si>
    <t>R - 77</t>
  </si>
  <si>
    <t>77.47333333333333°W 8.013666666666667°S</t>
  </si>
  <si>
    <t>R - 78</t>
  </si>
  <si>
    <t>77.88541666666667°W 9.546944444444444°S</t>
  </si>
  <si>
    <t>R - 79</t>
  </si>
  <si>
    <t>77.43005555555555°W 8.697166666666666°S</t>
  </si>
  <si>
    <t>R - 80</t>
  </si>
  <si>
    <t>77.59646666666666°W 7.762538888888889°S</t>
  </si>
  <si>
    <t>R - 81</t>
  </si>
  <si>
    <t>78.17391666666667°W 7.334888888888889°S</t>
  </si>
  <si>
    <t>R - 82</t>
  </si>
  <si>
    <t>78.09963888888889°W 7.381113888888889°S</t>
  </si>
  <si>
    <t>R - 83</t>
  </si>
  <si>
    <t>76.33091666666667°W 6.924416666666667°S</t>
  </si>
  <si>
    <t>R - 84</t>
  </si>
  <si>
    <t>R - 85</t>
  </si>
  <si>
    <t>77.36854722222222°W 8.86376111111111°S</t>
  </si>
  <si>
    <t>80.6320611111111°W 5.203144444444445°S</t>
  </si>
  <si>
    <t>R - 87</t>
  </si>
  <si>
    <t>80.6426388888889°W 5.133249999999999°S</t>
  </si>
  <si>
    <t>R - 88</t>
  </si>
  <si>
    <t>80.64186111111111°W 5.133527777777778°S</t>
  </si>
  <si>
    <t>77.46788333333333°W 8.819658333333333°S</t>
  </si>
  <si>
    <t>R - 90</t>
  </si>
  <si>
    <t>78.80758333333333°W 8.059022222222223°S</t>
  </si>
  <si>
    <t>78.30655°W 8.001483333333333°S</t>
  </si>
  <si>
    <t>76.76193611111111°W 6.3282638888888885°S</t>
  </si>
  <si>
    <t>R - 93</t>
  </si>
  <si>
    <t>79.01175°W 5.125166666666666°S</t>
  </si>
  <si>
    <t>R - 94</t>
  </si>
  <si>
    <t>80.87819444444443°W 4.846888888888889°S</t>
  </si>
  <si>
    <t>R - 95</t>
  </si>
  <si>
    <t>76.68745277777778°W 6.620277777777778°S</t>
  </si>
  <si>
    <t>R - 96</t>
  </si>
  <si>
    <t>79.84065833333332°W 5.324425°S</t>
  </si>
  <si>
    <t>78.82378055555556°W 6.999408333333333°S</t>
  </si>
  <si>
    <t>R - 98</t>
  </si>
  <si>
    <t>78.61468333333333°W 8.989452777777776°S</t>
  </si>
  <si>
    <t>R - 99</t>
  </si>
  <si>
    <t>78.95738333333334°W 6.636233333333333°S</t>
  </si>
  <si>
    <t>R - 100</t>
  </si>
  <si>
    <t>78.19183333333334°W 8.164333333333333°S</t>
  </si>
  <si>
    <t>R - 101</t>
  </si>
  <si>
    <t>80.81883333333333°W 5.571°S</t>
  </si>
  <si>
    <t>R - 102</t>
  </si>
  <si>
    <t>80.81797222222222°W 5.571722222222222°S</t>
  </si>
  <si>
    <t>R - 103</t>
  </si>
  <si>
    <t>77.66497500000001°W 8.531611111111111°S</t>
  </si>
  <si>
    <t>R - 104</t>
  </si>
  <si>
    <t>77.62891666666665°W 8.558972222222224°S</t>
  </si>
  <si>
    <t>R - 105</t>
  </si>
  <si>
    <t>79.49138888888889°W 5.338333333333333°S</t>
  </si>
  <si>
    <t>R - 106</t>
  </si>
  <si>
    <t>77.64916666666667°W 9.825166666666666°S</t>
  </si>
  <si>
    <t>R - 107</t>
  </si>
  <si>
    <t>80.69783333333334°W 4.897805555555555°S</t>
  </si>
  <si>
    <t>R - 108</t>
  </si>
  <si>
    <t>76.64183333333334°W 6.388361111111111°S</t>
  </si>
  <si>
    <t>R - 109</t>
  </si>
  <si>
    <t>81.25486111111111°W 4.592361111111111°S</t>
  </si>
  <si>
    <t>76.358475°W 6.458611111111111°S</t>
  </si>
  <si>
    <t>R - 111</t>
  </si>
  <si>
    <t>R - 112</t>
  </si>
  <si>
    <t>77.42261666666667°W 8.306550000000001°S</t>
  </si>
  <si>
    <t>R - 113</t>
  </si>
  <si>
    <t>77.32423333333332°W 8.251333333333333°S</t>
  </si>
  <si>
    <t>R - 114</t>
  </si>
  <si>
    <t>79.13231666666665°W 7.253116666666667°S</t>
  </si>
  <si>
    <t>R - 115</t>
  </si>
  <si>
    <t>77.43055555555556°W 9.758055555555556°S</t>
  </si>
  <si>
    <t>R - 116</t>
  </si>
  <si>
    <t>77.43572222222222°W 9.760972222222222°S</t>
  </si>
  <si>
    <t>R - 117</t>
  </si>
  <si>
    <t>76.50444444444445°W 8.185555555555556°S</t>
  </si>
  <si>
    <t>R - 118</t>
  </si>
  <si>
    <t>79.01690833333333°W 8.107208333333332°S</t>
  </si>
  <si>
    <t>R - 119</t>
  </si>
  <si>
    <t>R - 120</t>
  </si>
  <si>
    <t>80.41511111111112°W 3.5728805555555554°S</t>
  </si>
  <si>
    <t>R - 121</t>
  </si>
  <si>
    <t>R - 122</t>
  </si>
  <si>
    <t>78.41360277777778°W 7.813586111111111°S</t>
  </si>
  <si>
    <t>R - 123</t>
  </si>
  <si>
    <t>78.75075°W 8.417555555555555°S</t>
  </si>
  <si>
    <t>R - 124</t>
  </si>
  <si>
    <t>77.72746111111111°W 9.130544444444444°S</t>
  </si>
  <si>
    <t>R - 125</t>
  </si>
  <si>
    <t>79.59305555555555°W 5.9055°S</t>
  </si>
  <si>
    <t>R - 127</t>
  </si>
  <si>
    <t>80.26576666666666°W 3.500277777777778°S</t>
  </si>
  <si>
    <t>R - 128</t>
  </si>
  <si>
    <t>80.67944444444444°W 3.687252777777778°S</t>
  </si>
  <si>
    <t>R - 129</t>
  </si>
  <si>
    <t>74.58019444444444°W 12.847555555555557°S</t>
  </si>
  <si>
    <t>C - 1</t>
  </si>
  <si>
    <t>75.66297777777778°W 11.351602777777778°S</t>
  </si>
  <si>
    <t>C - 2</t>
  </si>
  <si>
    <t>75.51663888888889°W 9.034805555555556°S</t>
  </si>
  <si>
    <t>C - 3</t>
  </si>
  <si>
    <t>76.1976138888889°W 10.129166666666666°S</t>
  </si>
  <si>
    <t>C - 4</t>
  </si>
  <si>
    <t>76.91402777777779°W 10.79075°S</t>
  </si>
  <si>
    <t>C - 5</t>
  </si>
  <si>
    <t>C - 6</t>
  </si>
  <si>
    <t>C - 7</t>
  </si>
  <si>
    <t>73.75886111111112°W 10.739805555555554°S</t>
  </si>
  <si>
    <t>C - 8</t>
  </si>
  <si>
    <t>73.97522222222223°W 14.27975°S</t>
  </si>
  <si>
    <t>C - 9</t>
  </si>
  <si>
    <t>76.11872222222222°W 8.930361111111111°S</t>
  </si>
  <si>
    <t>C - 10</t>
  </si>
  <si>
    <t>76.11855555555555°W 8.930305555555554°S</t>
  </si>
  <si>
    <t>C - 11</t>
  </si>
  <si>
    <t>74.24422222222222°W 13.158444444444445°S</t>
  </si>
  <si>
    <t>C - 12</t>
  </si>
  <si>
    <t>74.24166666666667°W 13.155000000000001°S</t>
  </si>
  <si>
    <t>C - 13</t>
  </si>
  <si>
    <t>74.1934138888889°W 13.509313888888888°S</t>
  </si>
  <si>
    <t>C - 14</t>
  </si>
  <si>
    <t>73.78846944444444°W 12.628847222222223°S</t>
  </si>
  <si>
    <t>C - 15</t>
  </si>
  <si>
    <t>73.83052777777777°W 12.596333333333334°S</t>
  </si>
  <si>
    <t>C - 16</t>
  </si>
  <si>
    <t>77.74755555555555°W 10.725861111111112°S</t>
  </si>
  <si>
    <t>C - 17</t>
  </si>
  <si>
    <t>77.75994444444444°W 10.754972222222221°S</t>
  </si>
  <si>
    <t>C - 18</t>
  </si>
  <si>
    <t>76.54057777777777°W 4.834486111111111°S</t>
  </si>
  <si>
    <t>70.51744444444445°W 3.917402777777778°S</t>
  </si>
  <si>
    <t>C - 20</t>
  </si>
  <si>
    <t>76.20986111111111°W 9.21561111111111°S</t>
  </si>
  <si>
    <t>C - 21</t>
  </si>
  <si>
    <t>74.81297222222221°W 8.48225°S</t>
  </si>
  <si>
    <t>C - 22</t>
  </si>
  <si>
    <t>74.14095°W 13.608669444444445°S</t>
  </si>
  <si>
    <t>C - 23</t>
  </si>
  <si>
    <t>76.62268333333333°W 11.46846388888889°S</t>
  </si>
  <si>
    <t>C - 24</t>
  </si>
  <si>
    <t>76.37410555555554°W 13.062330555555556°S</t>
  </si>
  <si>
    <t>76.05780833333333°W 10.926058333333332°S</t>
  </si>
  <si>
    <t>C - 27</t>
  </si>
  <si>
    <t>C - 28</t>
  </si>
  <si>
    <t>76.23852222222223°W 11.651305555555556°S</t>
  </si>
  <si>
    <t>C - 29</t>
  </si>
  <si>
    <t>76.32708333333333°W 9.231333333333334°S</t>
  </si>
  <si>
    <t>C - 30</t>
  </si>
  <si>
    <t>76.38436111111112°W 10.275777777777778°S</t>
  </si>
  <si>
    <t>C - 31</t>
  </si>
  <si>
    <t>76.79942222222222°W 9.517644444444445°S</t>
  </si>
  <si>
    <t>C - 32</t>
  </si>
  <si>
    <t>74.59502777777777°W 12.532272222222224°S</t>
  </si>
  <si>
    <t>C - 33</t>
  </si>
  <si>
    <t>77.15975°W 10.15538888888889°S</t>
  </si>
  <si>
    <t>C - 34</t>
  </si>
  <si>
    <t>76.69994722222222°W 11.941041666666667°S</t>
  </si>
  <si>
    <t>C - 35</t>
  </si>
  <si>
    <t>76.81722222222221°W 12.110805555555554°S</t>
  </si>
  <si>
    <t>C - 36</t>
  </si>
  <si>
    <t>75.46425°W 9.671277777777776°S</t>
  </si>
  <si>
    <t>C - 37</t>
  </si>
  <si>
    <t>74.68558333333334°W 12.417944444444444°S</t>
  </si>
  <si>
    <t>C - 38</t>
  </si>
  <si>
    <t>75.0158°W 9.841497222222223°S</t>
  </si>
  <si>
    <t>C - 39</t>
  </si>
  <si>
    <t>75.01158333333333°W 7.342111111111111°S</t>
  </si>
  <si>
    <t>C - 40</t>
  </si>
  <si>
    <t>73.75198333333333°W 15.015483333333334°S</t>
  </si>
  <si>
    <t>C - 41</t>
  </si>
  <si>
    <t>C - 42</t>
  </si>
  <si>
    <t>72.66888055555556°W 2.4526861111111113°S</t>
  </si>
  <si>
    <t>C - 43</t>
  </si>
  <si>
    <t>77.59454444444444°W 11.131327777777779°S</t>
  </si>
  <si>
    <t>C - 44</t>
  </si>
  <si>
    <t>77.56638888888888°W 11.109472222222221°S</t>
  </si>
  <si>
    <t>C - 45</t>
  </si>
  <si>
    <t>C - 46</t>
  </si>
  <si>
    <t>74.969525°W 12.789927777777777°S</t>
  </si>
  <si>
    <t>C - 47</t>
  </si>
  <si>
    <t>75.19958333333334°W 12.065666666666667°S</t>
  </si>
  <si>
    <t>C - 48</t>
  </si>
  <si>
    <t>75.18936111111111°W 12.090944444444444°S</t>
  </si>
  <si>
    <t>C - 49</t>
  </si>
  <si>
    <t>C - 50</t>
  </si>
  <si>
    <t>74.95182777777778°W 12.569288888888888°S</t>
  </si>
  <si>
    <t>C - 51</t>
  </si>
  <si>
    <t>74.22847222222222°W 12.937555555555555°S</t>
  </si>
  <si>
    <t>C - 52</t>
  </si>
  <si>
    <t>76.24402777777777°W 9.921222222222221°S</t>
  </si>
  <si>
    <t>C - 53</t>
  </si>
  <si>
    <t>76.24411111111111°W 9.921194444444444°S</t>
  </si>
  <si>
    <t>C - 54</t>
  </si>
  <si>
    <t>77.21111111111111°W 11.503166666666667°S</t>
  </si>
  <si>
    <t>C - 55</t>
  </si>
  <si>
    <t>C - 56</t>
  </si>
  <si>
    <t>76.18355°W 10.448952777777778°S</t>
  </si>
  <si>
    <t>C - 57</t>
  </si>
  <si>
    <t>76.23134722222223°W 12.13945°S</t>
  </si>
  <si>
    <t>C - 58</t>
  </si>
  <si>
    <t>75.63646666666668°W 11.276530555555556°S</t>
  </si>
  <si>
    <t>C - 59</t>
  </si>
  <si>
    <t>76.36513888888888°W 11.002472222222222°S</t>
  </si>
  <si>
    <t>C - 60</t>
  </si>
  <si>
    <t>73.27632222222222°W 3.7783944444444444°S</t>
  </si>
  <si>
    <t>C - 61</t>
  </si>
  <si>
    <t>70.04169444444445°W 4.353083333333333°S</t>
  </si>
  <si>
    <t>C - 62</t>
  </si>
  <si>
    <t>75.49555555555555°W 11.786944444444444°S</t>
  </si>
  <si>
    <t>C - 63</t>
  </si>
  <si>
    <t>74.86077777777777°W 6.057472222222222°S</t>
  </si>
  <si>
    <t>C - 64</t>
  </si>
  <si>
    <t>75.9906388888889°W 11.158413888888889°S</t>
  </si>
  <si>
    <t>C - 65</t>
  </si>
  <si>
    <t>C - 66</t>
  </si>
  <si>
    <t>75.90400000000001°W 11.518361111111112°S</t>
  </si>
  <si>
    <t>C - 67</t>
  </si>
  <si>
    <t>76.798°W 9.825222222222221°S</t>
  </si>
  <si>
    <t>C - 68</t>
  </si>
  <si>
    <t>75.66866666666667°W 5.2255°S</t>
  </si>
  <si>
    <t>C - 69</t>
  </si>
  <si>
    <t>77.02638888888889°W 12.181833333333334°S</t>
  </si>
  <si>
    <t>C - 70</t>
  </si>
  <si>
    <t>C - 71</t>
  </si>
  <si>
    <t>77.0303888888889°W 12.180388888888888°S</t>
  </si>
  <si>
    <t>C - 72</t>
  </si>
  <si>
    <t>C - 73</t>
  </si>
  <si>
    <t>74.60166666666666°W 12.987499999999999°S</t>
  </si>
  <si>
    <t>C - 74</t>
  </si>
  <si>
    <t>76.15480555555555°W 12.976055555555556°S</t>
  </si>
  <si>
    <t>C - 75</t>
  </si>
  <si>
    <t>76.63074999999999°W 12.65461111111111°S</t>
  </si>
  <si>
    <t>C - 76</t>
  </si>
  <si>
    <t>74.4099638888889°W 12.888466666666666°S</t>
  </si>
  <si>
    <t>C - 77</t>
  </si>
  <si>
    <t>74.30749999999999°W 8.60388888888889°S</t>
  </si>
  <si>
    <t>C - 78</t>
  </si>
  <si>
    <t>74.5291111111111°W 11.332527777777777°S</t>
  </si>
  <si>
    <t>C - 79</t>
  </si>
  <si>
    <t>74.52594444444445°W 11.33613888888889°S</t>
  </si>
  <si>
    <t>C - 80</t>
  </si>
  <si>
    <t>73.08722222222222°W 3.4978166666666666°S</t>
  </si>
  <si>
    <t>C - 81</t>
  </si>
  <si>
    <t>75.99275°W 9.30075°S</t>
  </si>
  <si>
    <t>C - 82</t>
  </si>
  <si>
    <t>73.57013888888889°W 4.502416666666667°S</t>
  </si>
  <si>
    <t>C - 83</t>
  </si>
  <si>
    <t>74.85390833333332°W 8.321266666666666°S</t>
  </si>
  <si>
    <t>C - 84</t>
  </si>
  <si>
    <t>75.40658333333334°W 10.580388888888889°S</t>
  </si>
  <si>
    <t>C - 85</t>
  </si>
  <si>
    <t>76.76897222222222°W 10.665944444444445°S</t>
  </si>
  <si>
    <t>C - 86</t>
  </si>
  <si>
    <t>75.56627777777777°W 11.342972222222222°S</t>
  </si>
  <si>
    <t>C - 87</t>
  </si>
  <si>
    <t>75.14897222222223°W 10.180833333333332°S</t>
  </si>
  <si>
    <t>C - 88</t>
  </si>
  <si>
    <t>C - 89</t>
  </si>
  <si>
    <t>74.81753333333333°W 12.324083333333332°S</t>
  </si>
  <si>
    <t>C - 90</t>
  </si>
  <si>
    <t>74.86122222222221°W 12.395027777777777°S</t>
  </si>
  <si>
    <t>C - 91</t>
  </si>
  <si>
    <t>C - 92</t>
  </si>
  <si>
    <t>74.50425°W 11.423°S</t>
  </si>
  <si>
    <t>76.26176111111111°W 10.694097222222222°S</t>
  </si>
  <si>
    <t>C - 95</t>
  </si>
  <si>
    <t>75.81533333333333°W 10.772°S</t>
  </si>
  <si>
    <t>C - 96</t>
  </si>
  <si>
    <t>C - 97</t>
  </si>
  <si>
    <t>73.345°W 15.28288888888889°S</t>
  </si>
  <si>
    <t>75.07287777777778°W 12.259822222222223°S</t>
  </si>
  <si>
    <t>C - 99</t>
  </si>
  <si>
    <t>71.85719444444445°W 3.3190277777777775°S</t>
  </si>
  <si>
    <t>C - 100</t>
  </si>
  <si>
    <t>75.23111111111112°W 10.942777777777778°S</t>
  </si>
  <si>
    <t>C - 101</t>
  </si>
  <si>
    <t>C - 102</t>
  </si>
  <si>
    <t>74.87858333333332°W 10.934916666666666°S</t>
  </si>
  <si>
    <t>C - 103</t>
  </si>
  <si>
    <t>75.54971111111111°W 10.071811111111112°S</t>
  </si>
  <si>
    <t>C - 104</t>
  </si>
  <si>
    <t>74.53372222222222°W 8.383125°S</t>
  </si>
  <si>
    <t>C - 105</t>
  </si>
  <si>
    <t>74.53372222222222°W 8.383194444444445°S</t>
  </si>
  <si>
    <t>C - 106</t>
  </si>
  <si>
    <t>74.33597222222222°W 15.031694444444446°S</t>
  </si>
  <si>
    <t>74.96026666666667°W 9.375272222222224°S</t>
  </si>
  <si>
    <t>C - 108</t>
  </si>
  <si>
    <t>74.29117777777778°W 11.10966111111111°S</t>
  </si>
  <si>
    <t>C - 109</t>
  </si>
  <si>
    <t>74.13030555555555°W 14.68805°S</t>
  </si>
  <si>
    <t>C - 110</t>
  </si>
  <si>
    <t>73.84672222222221°W 5.065138888888889°S</t>
  </si>
  <si>
    <t>C - 111</t>
  </si>
  <si>
    <t>75.21947222222222°W 8.829555555555554°S</t>
  </si>
  <si>
    <t>C - 112</t>
  </si>
  <si>
    <t>76.30425°W 11.761519444444444°S</t>
  </si>
  <si>
    <t>C - 113</t>
  </si>
  <si>
    <t>73.9401°W 13.01126111111111°S</t>
  </si>
  <si>
    <t>C - 114</t>
  </si>
  <si>
    <t>73.98102777777778°W 13.006083333333333°S</t>
  </si>
  <si>
    <t>C - 115</t>
  </si>
  <si>
    <t>71.1031611111111°W 4.0210944444444445°S</t>
  </si>
  <si>
    <t>C - 116</t>
  </si>
  <si>
    <t>75.86226944444444°W 11.2416°S</t>
  </si>
  <si>
    <t>C - 117</t>
  </si>
  <si>
    <t>C - 118</t>
  </si>
  <si>
    <t>74.33655555555555°W 13.919805555555556°S</t>
  </si>
  <si>
    <t>C - 119</t>
  </si>
  <si>
    <t>73.6846°W 2.4900277777777777°S</t>
  </si>
  <si>
    <t>C - 120</t>
  </si>
  <si>
    <t>76.66944444444445°W 11.913333333333334°S</t>
  </si>
  <si>
    <t>C - 121</t>
  </si>
  <si>
    <t>73.6969888888889°W 3.887261111111111°S</t>
  </si>
  <si>
    <t>73.73655555555555°W 12.687472222222222°S</t>
  </si>
  <si>
    <t>C - 123</t>
  </si>
  <si>
    <t>C - 124</t>
  </si>
  <si>
    <t>76.96394722222223°W 11.722061111111111°S</t>
  </si>
  <si>
    <t>72.43137222222222°W 4.572402777777778°S</t>
  </si>
  <si>
    <t>C - 126</t>
  </si>
  <si>
    <t>C - 127</t>
  </si>
  <si>
    <t>74.63183333333333°W 11.264277777777778°S</t>
  </si>
  <si>
    <t>C - 128</t>
  </si>
  <si>
    <t>77.24654722222222°W 11.145433333333333°S</t>
  </si>
  <si>
    <t>C - 129</t>
  </si>
  <si>
    <t>74.67704444444445°W 0.3719333333333333°S</t>
  </si>
  <si>
    <t>C - 130</t>
  </si>
  <si>
    <t>74.02018611111112°W 12.95296111111111°S</t>
  </si>
  <si>
    <t>C - 131</t>
  </si>
  <si>
    <t>73.15641666666667°W 4.002944444444444°S</t>
  </si>
  <si>
    <t>C - 132</t>
  </si>
  <si>
    <t>75.69113888888889°W 11.4095°S</t>
  </si>
  <si>
    <t>75.68777777777778°W 11.409444444444444°S</t>
  </si>
  <si>
    <t>C - 134</t>
  </si>
  <si>
    <t>C - 135</t>
  </si>
  <si>
    <t>C - 136</t>
  </si>
  <si>
    <t>76.01794444444444°W 9.865083333333333°S</t>
  </si>
  <si>
    <t>C - 137</t>
  </si>
  <si>
    <t>76.90555277777779°W 12.036522222222223°S</t>
  </si>
  <si>
    <t>C - 138</t>
  </si>
  <si>
    <t>75.25872222222222°W 10.750361111111111°S</t>
  </si>
  <si>
    <t>C - 139</t>
  </si>
  <si>
    <t>75.25361111111111°W 10.723055555555556°S</t>
  </si>
  <si>
    <t>C - 140</t>
  </si>
  <si>
    <t>75.06183333333333°W 3.803722222222222°S</t>
  </si>
  <si>
    <t>C - 141</t>
  </si>
  <si>
    <t>74.84277222222222°W 12.77241388888889°S</t>
  </si>
  <si>
    <t>75.91638888888889°W 12.460574999999999°S</t>
  </si>
  <si>
    <t>C - 143</t>
  </si>
  <si>
    <t>C - 144</t>
  </si>
  <si>
    <t>69.95847222222223°W 4.223333333333334°S</t>
  </si>
  <si>
    <t>C - 145</t>
  </si>
  <si>
    <t>76.10988888888889°W 5.90701388888889°S</t>
  </si>
  <si>
    <t>C - 146</t>
  </si>
  <si>
    <t>72.88400277777778°W 13.620391666666666°S</t>
  </si>
  <si>
    <t>E - 1</t>
  </si>
  <si>
    <t>E - 2</t>
  </si>
  <si>
    <t>74.67488888888889°W 15.459024999999999°S</t>
  </si>
  <si>
    <t>E - 3</t>
  </si>
  <si>
    <t>69.11794444444443°W 12.12113888888889°S</t>
  </si>
  <si>
    <t>E - 4</t>
  </si>
  <si>
    <t>69.23519444444445°W 11.6615°S</t>
  </si>
  <si>
    <t>E - 5</t>
  </si>
  <si>
    <t>69.44387777777779°W 14.633105555555556°S</t>
  </si>
  <si>
    <t>E - 6</t>
  </si>
  <si>
    <t>72.35717222222222°W 15.496366666666665°S</t>
  </si>
  <si>
    <t>73.38644444444445°W 13.661388888888888°S</t>
  </si>
  <si>
    <t>E - 8</t>
  </si>
  <si>
    <t>73.38277777777778°W 13.658611111111112°S</t>
  </si>
  <si>
    <t>E - 9</t>
  </si>
  <si>
    <t>72.1493888888889°W 13.464611111111111°S</t>
  </si>
  <si>
    <t>E - 10</t>
  </si>
  <si>
    <t>72.87134722222221°W 14.369227777777779°S</t>
  </si>
  <si>
    <t>E - 11</t>
  </si>
  <si>
    <t>72.87141666666666°W 14.369222222222223°S</t>
  </si>
  <si>
    <t>72.4961611111111°W 16.07585°S</t>
  </si>
  <si>
    <t>E - 13</t>
  </si>
  <si>
    <t>71.58202777777777°W 16.40458333333333°S</t>
  </si>
  <si>
    <t>E - 14</t>
  </si>
  <si>
    <t>E - 15</t>
  </si>
  <si>
    <t>71.52341666666666°W 16.393694444444446°S</t>
  </si>
  <si>
    <t>E - 16</t>
  </si>
  <si>
    <t>E - 17</t>
  </si>
  <si>
    <t>73.61229444444444°W 16.22465833333333°S</t>
  </si>
  <si>
    <t>E - 18</t>
  </si>
  <si>
    <t>70.31894444444444°W 13.774222222222223°S</t>
  </si>
  <si>
    <t>70.59758333333333°W 14.8805°S</t>
  </si>
  <si>
    <t>E - 20</t>
  </si>
  <si>
    <t>70.19172222222223°W 14.900833333333333°S</t>
  </si>
  <si>
    <t>E - 21</t>
  </si>
  <si>
    <t>70.39486388888889°W 12.621022222222223°S</t>
  </si>
  <si>
    <t>E - 22</t>
  </si>
  <si>
    <t>70.34777777777778°W 15.625277777777779°S</t>
  </si>
  <si>
    <t>E - 23</t>
  </si>
  <si>
    <t>71.92861666666667°W 13.291583333333334°S</t>
  </si>
  <si>
    <t>E - 24</t>
  </si>
  <si>
    <t>72.71233333333333°W 16.622333333333334°S</t>
  </si>
  <si>
    <t>E - 25</t>
  </si>
  <si>
    <t>72.71225°W 16.622444444444444°S</t>
  </si>
  <si>
    <t>E - 26</t>
  </si>
  <si>
    <t>70.25171388888889°W 17.264630555555556°S</t>
  </si>
  <si>
    <t>E - 27</t>
  </si>
  <si>
    <t>73.37691666666666°W 15.775583333333334°S</t>
  </si>
  <si>
    <t>E - 28</t>
  </si>
  <si>
    <t>72.06614722222221°W 13.583558333333334°S</t>
  </si>
  <si>
    <t>74.25080555555556°W 15.851611111111112°S</t>
  </si>
  <si>
    <t>E - 31</t>
  </si>
  <si>
    <t>73.24994444444445°W 14.295583333333333°S</t>
  </si>
  <si>
    <t>E - 32</t>
  </si>
  <si>
    <t>71.41664444444444°W 13.97086388888889°S</t>
  </si>
  <si>
    <t>E - 33</t>
  </si>
  <si>
    <t>76.14555555555556°W 13.408055555555556°S</t>
  </si>
  <si>
    <t>E - 34</t>
  </si>
  <si>
    <t>72.04998333333333°W 13.393597222222223°S</t>
  </si>
  <si>
    <t>E - 35</t>
  </si>
  <si>
    <t>73.70480555555555°W 13.526250000000001°S</t>
  </si>
  <si>
    <t>E - 36</t>
  </si>
  <si>
    <t>71.5988611111111°W 15.637333333333332°S</t>
  </si>
  <si>
    <t>E - 37</t>
  </si>
  <si>
    <t>72.66283333333334°W 15.841750000000001°S</t>
  </si>
  <si>
    <t>E - 38</t>
  </si>
  <si>
    <t>72.715°W 14.104166666666666°S</t>
  </si>
  <si>
    <t>E - 39</t>
  </si>
  <si>
    <t>71.43346666666667°W 14.09995°S</t>
  </si>
  <si>
    <t>E - 40</t>
  </si>
  <si>
    <t>72.89280000000001°W 15.221633333333333°S</t>
  </si>
  <si>
    <t>E - 41</t>
  </si>
  <si>
    <t>70.01963888888889°W 14.359055555555555°S</t>
  </si>
  <si>
    <t>E - 42</t>
  </si>
  <si>
    <t>72.696325°W 13.536741666666666°S</t>
  </si>
  <si>
    <t>E - 43</t>
  </si>
  <si>
    <t>E - 44</t>
  </si>
  <si>
    <t>71.99530555555556°W 13.512916666666667°S</t>
  </si>
  <si>
    <t>E - 45</t>
  </si>
  <si>
    <t>72.01355555555556°W 13.529416666666668°S</t>
  </si>
  <si>
    <t>E - 46</t>
  </si>
  <si>
    <t>69.03975°W 16.561666666666667°S</t>
  </si>
  <si>
    <t>E - 47</t>
  </si>
  <si>
    <t>69.03983333333333°W 16.561666666666667°S</t>
  </si>
  <si>
    <t>E - 48</t>
  </si>
  <si>
    <t>71.39576666666667°W 14.789633333333333°S</t>
  </si>
  <si>
    <t>E - 49</t>
  </si>
  <si>
    <t>69.76447222222222°W 15.20261111111111°S</t>
  </si>
  <si>
    <t>E - 50</t>
  </si>
  <si>
    <t>73.05467222222222°W 13.645925°S</t>
  </si>
  <si>
    <t>E - 51</t>
  </si>
  <si>
    <t>71.65236111111112°W 13.509611111111111°S</t>
  </si>
  <si>
    <t>E - 52</t>
  </si>
  <si>
    <t>72.7725°W 15.145333333333333°S</t>
  </si>
  <si>
    <t>E - 53</t>
  </si>
  <si>
    <t>70.5254°W 12.996102777777777°S</t>
  </si>
  <si>
    <t>E - 54</t>
  </si>
  <si>
    <t>69.48852777777778°W 11.4075°S</t>
  </si>
  <si>
    <t>E - 55</t>
  </si>
  <si>
    <t>E - 56</t>
  </si>
  <si>
    <t>75.78475°W 13.994416666666666°S</t>
  </si>
  <si>
    <t>E - 57</t>
  </si>
  <si>
    <t>E - 58</t>
  </si>
  <si>
    <t>70.53916666666666°W 16.143055555555556°S</t>
  </si>
  <si>
    <t>E - 59</t>
  </si>
  <si>
    <t>69.63079444444443°W 16.09336111111111°S</t>
  </si>
  <si>
    <t>E - 60</t>
  </si>
  <si>
    <t>71.35076388888888°W 17.662816666666664°S</t>
  </si>
  <si>
    <t>E - 61</t>
  </si>
  <si>
    <t>69.57463888888888°W 10.954138888888888°S</t>
  </si>
  <si>
    <t>E - 62</t>
  </si>
  <si>
    <t>72.96611666666666°W 12.457827777777776°S</t>
  </si>
  <si>
    <t>E - 63</t>
  </si>
  <si>
    <t>69.44009444444445°W 16.204308333333334°S</t>
  </si>
  <si>
    <t>E - 65</t>
  </si>
  <si>
    <t>70.13719722222223°W 15.49799722222222°S</t>
  </si>
  <si>
    <t>E - 66</t>
  </si>
  <si>
    <t>73.28608333333334°W 13.539305555555556°S</t>
  </si>
  <si>
    <t>E - 67</t>
  </si>
  <si>
    <t>73.20168333333334°W 12.638483333333333°S</t>
  </si>
  <si>
    <t>E - 68</t>
  </si>
  <si>
    <t>71.42305555555556°W 12.96661111111111°S</t>
  </si>
  <si>
    <t>E - 69</t>
  </si>
  <si>
    <t>E - 70</t>
  </si>
  <si>
    <t>71.82502777777778°W 16.4325°S</t>
  </si>
  <si>
    <t>E - 71</t>
  </si>
  <si>
    <t>69.57530555555554°W 12.729277777777778°S</t>
  </si>
  <si>
    <t>E - 72</t>
  </si>
  <si>
    <t>71.9226388888889°W 13.364472222222222°S</t>
  </si>
  <si>
    <t>E - 74</t>
  </si>
  <si>
    <t>72.76888888888888°W 13.870716666666667°S</t>
  </si>
  <si>
    <t>E - 75</t>
  </si>
  <si>
    <t>70.76319444444445°W 17.612333333333336°S</t>
  </si>
  <si>
    <t>E - 76</t>
  </si>
  <si>
    <t>74.84191944444444°W 15.561613888888889°S</t>
  </si>
  <si>
    <t>E - 77</t>
  </si>
  <si>
    <t>70.42780555555557°W 14.06463888888889°S</t>
  </si>
  <si>
    <t>E - 78</t>
  </si>
  <si>
    <t>72.66075000000001°W 12.952527777777776°S</t>
  </si>
  <si>
    <t>E - 79</t>
  </si>
  <si>
    <t>70.978525°W 13.591405555555555°S</t>
  </si>
  <si>
    <t>E - 80</t>
  </si>
  <si>
    <t>75.15944444444445°W 15.359722222222222°S</t>
  </si>
  <si>
    <t>E - 81</t>
  </si>
  <si>
    <t>70.37394444444443°W 13.100527777777778°S</t>
  </si>
  <si>
    <t>E - 82</t>
  </si>
  <si>
    <t>E - 83</t>
  </si>
  <si>
    <t>72.01805555555555°W 17.0175°S</t>
  </si>
  <si>
    <t>E - 84</t>
  </si>
  <si>
    <t>72.52772222222222°W 13.507472222222223°S</t>
  </si>
  <si>
    <t>E - 85</t>
  </si>
  <si>
    <t>72.53588333333333°W 13.51068888888889°S</t>
  </si>
  <si>
    <t>E - 86</t>
  </si>
  <si>
    <t>70.93972222222223°W 17.197944444444445°S</t>
  </si>
  <si>
    <t>E - 87</t>
  </si>
  <si>
    <t>70.93991666666668°W 17.197944444444445°S</t>
  </si>
  <si>
    <t>E - 88</t>
  </si>
  <si>
    <t>74.9376388888889°W 14.815611111111112°S</t>
  </si>
  <si>
    <t>E - 89</t>
  </si>
  <si>
    <t>E - 90</t>
  </si>
  <si>
    <t>70.63794444444446°W 14.479833333333334°S</t>
  </si>
  <si>
    <t>E - 91</t>
  </si>
  <si>
    <t>73.58555555555554°W 13.45561111111111°S</t>
  </si>
  <si>
    <t>E - 92</t>
  </si>
  <si>
    <t>E - 93</t>
  </si>
  <si>
    <t>71.38488333333333°W 13.63185°S</t>
  </si>
  <si>
    <t>73.10674166666666°W 16.436005555555557°S</t>
  </si>
  <si>
    <t>E - 95</t>
  </si>
  <si>
    <t>70.96191666666667°W 16.6475°S</t>
  </si>
  <si>
    <t>E - 96</t>
  </si>
  <si>
    <t>72.33729722222222°W 15.269930555555556°S</t>
  </si>
  <si>
    <t>E - 97</t>
  </si>
  <si>
    <t>E - 98</t>
  </si>
  <si>
    <t>73.29936111111111°W 13.618194444444445°S</t>
  </si>
  <si>
    <t>E - 99</t>
  </si>
  <si>
    <t>E - 100</t>
  </si>
  <si>
    <t>72.70145555555555°W 12.648525°S</t>
  </si>
  <si>
    <t>E - 101</t>
  </si>
  <si>
    <t>75.19655555555556°W 14.52325°S</t>
  </si>
  <si>
    <t>E - 102</t>
  </si>
  <si>
    <t>72.50598611111111°W 15.648183333333332°S</t>
  </si>
  <si>
    <t>E - 103</t>
  </si>
  <si>
    <t>71.85030555555555°W 13.761333333333333°S</t>
  </si>
  <si>
    <t>E - 104</t>
  </si>
  <si>
    <t>71.58683888888888°W 13.308075°S</t>
  </si>
  <si>
    <t>E - 105</t>
  </si>
  <si>
    <t>72.20975°W 16.337666666666667°S</t>
  </si>
  <si>
    <t>E - 107</t>
  </si>
  <si>
    <t>E - 108</t>
  </si>
  <si>
    <t>76.18338333333334°W 13.713063888888888°S</t>
  </si>
  <si>
    <t>E - 109</t>
  </si>
  <si>
    <t>E - 110</t>
  </si>
  <si>
    <t>69.15277777777779°W 12.274805555555556°S</t>
  </si>
  <si>
    <t>E - 111</t>
  </si>
  <si>
    <t>71.59197222222221°W 13.98661111111111°S</t>
  </si>
  <si>
    <t>E - 112</t>
  </si>
  <si>
    <t>70.33597222222222°W 15.031694444444446°S</t>
  </si>
  <si>
    <t>E - 113</t>
  </si>
  <si>
    <t>69.18732222222222°W 12.59298888888889°S</t>
  </si>
  <si>
    <t>E - 114</t>
  </si>
  <si>
    <t>E - 115</t>
  </si>
  <si>
    <t>70.5258361111111°W 12.78795°S</t>
  </si>
  <si>
    <t>E - 116</t>
  </si>
  <si>
    <t>70.01786388888888°W 15.812341666666667°S</t>
  </si>
  <si>
    <t>E - 117</t>
  </si>
  <si>
    <t>E - 118</t>
  </si>
  <si>
    <t>71.80802777777778°W 17.166638888888887°S</t>
  </si>
  <si>
    <t>71.18443055555556°W 16.628594444444445°S</t>
  </si>
  <si>
    <t>E - 120</t>
  </si>
  <si>
    <t>69.87216388888888°W 14.920005555555555°S</t>
  </si>
  <si>
    <t>E - 121</t>
  </si>
  <si>
    <t>72.68898333333334°W 12.849233333333334°S</t>
  </si>
  <si>
    <t>E - 122</t>
  </si>
  <si>
    <t>70.75852222222223°W 13.230541666666667°S</t>
  </si>
  <si>
    <t>E - 123</t>
  </si>
  <si>
    <t>E - 124</t>
  </si>
  <si>
    <t>72.82377777777778°W 15.502233333333333°S</t>
  </si>
  <si>
    <t>E - 125</t>
  </si>
  <si>
    <t>71.35538888888888°W 12.834861111111111°S</t>
  </si>
  <si>
    <t>E - 126</t>
  </si>
  <si>
    <t>69.3236111111111°W 11.452166666666667°S</t>
  </si>
  <si>
    <t>E - 127</t>
  </si>
  <si>
    <t>72.81333333333333°W 13.510027777777777°S</t>
  </si>
  <si>
    <t>E - 128</t>
  </si>
  <si>
    <t>69.4623888888889°W 14.321861111111112°S</t>
  </si>
  <si>
    <t>E - 129</t>
  </si>
  <si>
    <t>70.60533333333333°W 15.689027777777778°S</t>
  </si>
  <si>
    <t>E - 130</t>
  </si>
  <si>
    <t>72.07358333333333°W 14.450055555555554°S</t>
  </si>
  <si>
    <t>E - 131</t>
  </si>
  <si>
    <t>E - 132</t>
  </si>
  <si>
    <t>69.11952777777778°W 11.93525°S</t>
  </si>
  <si>
    <t>E - 133</t>
  </si>
  <si>
    <t>71.24671666666667°W 14.260619444444444°S</t>
  </si>
  <si>
    <t>E - 134</t>
  </si>
  <si>
    <t>E - 135</t>
  </si>
  <si>
    <t>E - 136</t>
  </si>
  <si>
    <t>70.26133333333334°W 17.99325°S</t>
  </si>
  <si>
    <t>E - 137</t>
  </si>
  <si>
    <t>70.25469444444444°W 18.086194444444445°S</t>
  </si>
  <si>
    <t>E - 138</t>
  </si>
  <si>
    <t>72.56149444444443°W 14.261277777777778°S</t>
  </si>
  <si>
    <t>E - 139</t>
  </si>
  <si>
    <t>70.0412°W 17.482533333333333°S</t>
  </si>
  <si>
    <t>70.04144444444444°W 17.46822222222222°S</t>
  </si>
  <si>
    <t>70.87783333333333°W 17.103722222222224°S</t>
  </si>
  <si>
    <t>E - 142</t>
  </si>
  <si>
    <t>72.62727222222222°W 14.0808°S</t>
  </si>
  <si>
    <t>E - 143</t>
  </si>
  <si>
    <t>71.64344444444446°W 13.623416666666667°S</t>
  </si>
  <si>
    <t>E - 144</t>
  </si>
  <si>
    <t>72.11094444444444°W 13.31038888888889°S</t>
  </si>
  <si>
    <t>E - 145</t>
  </si>
  <si>
    <t>E - 146</t>
  </si>
  <si>
    <t>72.17161111111112°W 13.940305555555556°S</t>
  </si>
  <si>
    <t>E - 147</t>
  </si>
  <si>
    <t>72.31310833333333°W 12.687141666666667°S</t>
  </si>
  <si>
    <t>E - 148</t>
  </si>
  <si>
    <t>69.0893611111111°W 16.257166666666667°S</t>
  </si>
  <si>
    <t>E - 149</t>
  </si>
  <si>
    <t>Correo</t>
  </si>
  <si>
    <t>Contraseña</t>
  </si>
  <si>
    <t>malvarado@betheltv.tv</t>
  </si>
  <si>
    <t>MA43</t>
  </si>
  <si>
    <t>acueto@betheltv.tv</t>
  </si>
  <si>
    <t>AC23</t>
  </si>
  <si>
    <t>abautista@betheltv.tv</t>
  </si>
  <si>
    <t>AB99</t>
  </si>
  <si>
    <t>iarenas@betheltv.tv</t>
  </si>
  <si>
    <t>IA01</t>
  </si>
  <si>
    <t>rcastillo@betheltv.tv</t>
  </si>
  <si>
    <t>RC51</t>
  </si>
  <si>
    <t>spurizaca@betheltv.tv</t>
  </si>
  <si>
    <t>SP07</t>
  </si>
  <si>
    <t>hunocc@betheltv.tv</t>
  </si>
  <si>
    <t>HU67</t>
  </si>
  <si>
    <t>cramos@betheltv.tv</t>
  </si>
  <si>
    <t>CR66</t>
  </si>
  <si>
    <t>jespiritu@betheltv.tv</t>
  </si>
  <si>
    <t>JE01</t>
  </si>
  <si>
    <t>mlorenzo@betheltv.tv</t>
  </si>
  <si>
    <t>ML79</t>
  </si>
  <si>
    <t>rbravo@betheltv.tv</t>
  </si>
  <si>
    <t>RB51</t>
  </si>
  <si>
    <t>nsilva@betheltv.tv</t>
  </si>
  <si>
    <t>NS23</t>
  </si>
  <si>
    <t>cpanduro@betheltv.tv</t>
  </si>
  <si>
    <t>CP48</t>
  </si>
  <si>
    <t>gdelarosa@betheltv.tv</t>
  </si>
  <si>
    <t>GD17</t>
  </si>
  <si>
    <t>lsiancas@betheltv.tv</t>
  </si>
  <si>
    <t>LS47</t>
  </si>
  <si>
    <t>cipanaque@betheltv.tv</t>
  </si>
  <si>
    <t>CI04</t>
  </si>
  <si>
    <t>mespinoza@betheltv.tv</t>
  </si>
  <si>
    <t>ME65</t>
  </si>
  <si>
    <t>apomallanque@betheltv.tv</t>
  </si>
  <si>
    <t>AP95</t>
  </si>
  <si>
    <t>ehuaynates@betheltv.tv</t>
  </si>
  <si>
    <t>EH63</t>
  </si>
  <si>
    <t>sayala@betheltv.tv</t>
  </si>
  <si>
    <t>SA41</t>
  </si>
  <si>
    <t>jsinchi@betheltv.tv</t>
  </si>
  <si>
    <t>JS13</t>
  </si>
  <si>
    <t>mangeles@betheltv.tv</t>
  </si>
  <si>
    <t>MA01</t>
  </si>
  <si>
    <t xml:space="preserve">bbarba@betheltv.tv </t>
  </si>
  <si>
    <t>BB01</t>
  </si>
  <si>
    <t xml:space="preserve">vurbina@betheltv.tv </t>
  </si>
  <si>
    <t>VU01</t>
  </si>
  <si>
    <t>Admin</t>
  </si>
  <si>
    <t>USUARIOS</t>
  </si>
  <si>
    <t>ULTIMO ACCESO</t>
  </si>
  <si>
    <t>JESPIritu@betheltv.tv</t>
  </si>
  <si>
    <t>bbarba@betheltv.tv</t>
  </si>
  <si>
    <t>vurbina@betheltv.tv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</si>
</sst>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yyyy"/>
    <numFmt numFmtId="165" formatCode="[$S/]#,##0.00"/>
    <numFmt numFmtId="166" formatCode="d/m/yyyy"/>
    <numFmt numFmtId="167" formatCode="d&quot;/&quot;mm&quot;/&quot;yyyy"/>
    <numFmt numFmtId="168" formatCode="[$$]#,##0.00"/>
    <numFmt numFmtId="169" formatCode="[$S/.]#,##0.00"/>
    <numFmt numFmtId="170" formatCode="m/d/yyyy\ h:mm:ss"/>
  </numFmts>
  <fonts count="78">
    <font>
      <sz val="11"/>
      <color theme="1"/>
      <name val="Calibri"/>
      <scheme val="minor"/>
    </font>
    <font>
      <b/>
      <sz val="10"/>
      <color rgb="FFFFFFFF"/>
      <name val="Montserrat"/>
    </font>
    <font>
      <b/>
      <sz val="9"/>
      <color rgb="FFFFFFFF"/>
      <name val="Montserrat"/>
    </font>
    <font>
      <b/>
      <sz val="8"/>
      <color rgb="FFFFFFFF"/>
      <name val="Montserrat"/>
    </font>
    <font>
      <b/>
      <sz val="11"/>
      <color rgb="FFFFFFFF"/>
      <name val="Calibri"/>
      <family val="2"/>
    </font>
    <font>
      <sz val="10"/>
      <color rgb="FF000000"/>
      <name val="Arial"/>
      <family val="2"/>
    </font>
    <font>
      <u/>
      <sz val="10"/>
      <color rgb="FF0000FF"/>
      <name val="Arial"/>
      <family val="2"/>
    </font>
    <font>
      <sz val="10"/>
      <color theme="1"/>
      <name val="Arial"/>
      <family val="2"/>
    </font>
    <font>
      <u/>
      <sz val="10"/>
      <color rgb="FF0000FF"/>
      <name val="Arial"/>
      <family val="2"/>
    </font>
    <font>
      <sz val="11"/>
      <color theme="1"/>
      <name val="Arial"/>
      <family val="2"/>
    </font>
    <font>
      <b/>
      <sz val="11"/>
      <color theme="1"/>
      <name val="Arial"/>
      <family val="2"/>
    </font>
    <font>
      <u/>
      <sz val="10"/>
      <color rgb="FF0563C1"/>
      <name val="Arial"/>
      <family val="2"/>
    </font>
    <font>
      <u/>
      <sz val="10"/>
      <color rgb="FF0000FF"/>
      <name val="Arial"/>
      <family val="2"/>
    </font>
    <font>
      <u/>
      <sz val="10"/>
      <color rgb="FF0563C1"/>
      <name val="Arial"/>
      <family val="2"/>
    </font>
    <font>
      <u/>
      <sz val="10"/>
      <color rgb="FF0563C1"/>
      <name val="Arial"/>
      <family val="2"/>
    </font>
    <font>
      <u/>
      <sz val="10"/>
      <color rgb="FF0000FF"/>
      <name val="Arial"/>
      <family val="2"/>
    </font>
    <font>
      <sz val="10"/>
      <color theme="1"/>
      <name val="Calibri"/>
      <family val="2"/>
    </font>
    <font>
      <sz val="11"/>
      <color theme="1"/>
      <name val="Calibri"/>
      <family val="2"/>
      <scheme val="minor"/>
    </font>
    <font>
      <u/>
      <sz val="10"/>
      <color rgb="FF0563C1"/>
      <name val="Arial"/>
      <family val="2"/>
    </font>
    <font>
      <b/>
      <sz val="10"/>
      <color theme="1"/>
      <name val="Arial"/>
      <family val="2"/>
    </font>
    <font>
      <b/>
      <sz val="9"/>
      <color theme="1"/>
      <name val="Arial"/>
      <family val="2"/>
    </font>
    <font>
      <u/>
      <sz val="10"/>
      <color rgb="FF0000FF"/>
      <name val="Arial"/>
      <family val="2"/>
    </font>
    <font>
      <b/>
      <sz val="10"/>
      <color rgb="FFFFFFFF"/>
      <name val="Arial"/>
      <family val="2"/>
    </font>
    <font>
      <sz val="11"/>
      <color rgb="FFFFFFFF"/>
      <name val="Calibri"/>
      <family val="2"/>
    </font>
    <font>
      <u/>
      <sz val="10"/>
      <color rgb="FF0000FF"/>
      <name val="Arial"/>
      <family val="2"/>
    </font>
    <font>
      <u/>
      <sz val="10"/>
      <color rgb="FF0563C1"/>
      <name val="Arial"/>
      <family val="2"/>
    </font>
    <font>
      <u/>
      <sz val="10"/>
      <color rgb="FF0000FF"/>
      <name val="Arial"/>
      <family val="2"/>
    </font>
    <font>
      <u/>
      <sz val="10"/>
      <color rgb="FF0563C1"/>
      <name val="Arial"/>
      <family val="2"/>
    </font>
    <font>
      <u/>
      <sz val="10"/>
      <color rgb="FF0563C1"/>
      <name val="Arial"/>
      <family val="2"/>
    </font>
    <font>
      <b/>
      <sz val="11"/>
      <color theme="1"/>
      <name val="Arial Narrow"/>
      <family val="2"/>
    </font>
    <font>
      <sz val="11"/>
      <color theme="1"/>
      <name val="Arial Narrow"/>
      <family val="2"/>
    </font>
    <font>
      <u/>
      <sz val="10"/>
      <color rgb="FF0000FF"/>
      <name val="Arial"/>
      <family val="2"/>
    </font>
    <font>
      <sz val="10"/>
      <color rgb="FF980000"/>
      <name val="Arial"/>
      <family val="2"/>
    </font>
    <font>
      <b/>
      <sz val="12"/>
      <color rgb="FFFFFFFF"/>
      <name val="Arial"/>
      <family val="2"/>
    </font>
    <font>
      <sz val="10"/>
      <color rgb="FFFFFFFF"/>
      <name val="Arial"/>
      <family val="2"/>
    </font>
    <font>
      <u/>
      <sz val="12"/>
      <color rgb="FF0000FF"/>
      <name val="Arial"/>
      <family val="2"/>
    </font>
    <font>
      <u/>
      <sz val="10"/>
      <color rgb="FF0000FF"/>
      <name val="Arial"/>
      <family val="2"/>
    </font>
    <font>
      <sz val="9"/>
      <color rgb="FF000000"/>
      <name val="Arial"/>
      <family val="2"/>
    </font>
    <font>
      <u/>
      <sz val="12"/>
      <color rgb="FF0563C1"/>
      <name val="Arial"/>
      <family val="2"/>
    </font>
    <font>
      <u/>
      <sz val="10"/>
      <color rgb="FF0563C1"/>
      <name val="Arial"/>
      <family val="2"/>
    </font>
    <font>
      <u/>
      <sz val="10"/>
      <color rgb="FF0563C1"/>
      <name val="Arial"/>
      <family val="2"/>
    </font>
    <font>
      <b/>
      <sz val="11"/>
      <color theme="1"/>
      <name val="Arial"/>
      <family val="2"/>
    </font>
    <font>
      <u/>
      <sz val="10"/>
      <color rgb="FF0563C1"/>
      <name val="Arial"/>
      <family val="2"/>
    </font>
    <font>
      <sz val="9"/>
      <color rgb="FF000000"/>
      <name val="Aptos"/>
    </font>
    <font>
      <u/>
      <sz val="12"/>
      <color rgb="FFFFFFFF"/>
      <name val="Arial"/>
      <family val="2"/>
    </font>
    <font>
      <sz val="10"/>
      <color rgb="FFFF0000"/>
      <name val="Arial"/>
      <family val="2"/>
    </font>
    <font>
      <u/>
      <sz val="10"/>
      <color rgb="FF0000FF"/>
      <name val="Arial"/>
      <family val="2"/>
    </font>
    <font>
      <sz val="8"/>
      <color theme="1"/>
      <name val="Arial"/>
      <family val="2"/>
    </font>
    <font>
      <u/>
      <sz val="12"/>
      <color rgb="FF0000FF"/>
      <name val="Arial"/>
      <family val="2"/>
    </font>
    <font>
      <b/>
      <sz val="7"/>
      <color rgb="FFFF0000"/>
      <name val="Arial"/>
      <family val="2"/>
    </font>
    <font>
      <sz val="11"/>
      <color rgb="FF000000"/>
      <name val="&quot;Arial Narrow&quot;"/>
    </font>
    <font>
      <sz val="12"/>
      <color theme="1"/>
      <name val="Arial"/>
      <family val="2"/>
    </font>
    <font>
      <sz val="10"/>
      <color theme="1"/>
      <name val="Arial Narrow"/>
      <family val="2"/>
    </font>
    <font>
      <b/>
      <sz val="10"/>
      <color theme="1"/>
      <name val="Arial Narrow"/>
      <family val="2"/>
    </font>
    <font>
      <b/>
      <sz val="11"/>
      <color theme="1"/>
      <name val="Calibri"/>
      <family val="2"/>
      <scheme val="minor"/>
    </font>
    <font>
      <sz val="13"/>
      <color rgb="FFFFFFFF"/>
      <name val="Calibri"/>
      <family val="2"/>
      <scheme val="minor"/>
    </font>
    <font>
      <sz val="12"/>
      <color theme="1"/>
      <name val="Calibri"/>
      <family val="2"/>
      <scheme val="minor"/>
    </font>
    <font>
      <b/>
      <sz val="15"/>
      <color rgb="FFFFFFFF"/>
      <name val="Calibri"/>
      <family val="2"/>
      <scheme val="minor"/>
    </font>
    <font>
      <sz val="15"/>
      <color rgb="FFFFFFFF"/>
      <name val="Calibri"/>
      <family val="2"/>
      <scheme val="minor"/>
    </font>
    <font>
      <sz val="13"/>
      <color theme="1"/>
      <name val="Calibri"/>
      <family val="2"/>
      <scheme val="minor"/>
    </font>
    <font>
      <sz val="12"/>
      <color rgb="FF000000"/>
      <name val="Calibri"/>
      <family val="2"/>
      <scheme val="minor"/>
    </font>
    <font>
      <sz val="11"/>
      <name val="Calibri"/>
      <family val="2"/>
    </font>
    <font>
      <b/>
      <sz val="11"/>
      <color rgb="FFFFFFFF"/>
      <name val="Inter"/>
    </font>
    <font>
      <u/>
      <sz val="11"/>
      <color rgb="FF1155CC"/>
      <name val="Calibri"/>
      <family val="2"/>
    </font>
    <font>
      <u/>
      <sz val="11"/>
      <color rgb="FF1155CC"/>
      <name val="Calibri"/>
      <family val="2"/>
    </font>
    <font>
      <u/>
      <sz val="11"/>
      <color rgb="FF1155CC"/>
      <name val="Calibri"/>
      <family val="2"/>
    </font>
    <font>
      <u/>
      <sz val="11"/>
      <color rgb="FF1155CC"/>
      <name val="Calibri"/>
      <family val="2"/>
    </font>
    <font>
      <u/>
      <sz val="11"/>
      <color rgb="FF1155CC"/>
      <name val="Calibri"/>
      <family val="2"/>
    </font>
    <font>
      <u/>
      <sz val="11"/>
      <color rgb="FF1155CC"/>
      <name val="Calibri"/>
      <family val="2"/>
    </font>
    <font>
      <u/>
      <sz val="11"/>
      <color rgb="FF1155CC"/>
      <name val="Calibri"/>
      <family val="2"/>
    </font>
    <font>
      <u/>
      <sz val="11"/>
      <color rgb="FF1155CC"/>
      <name val="Calibri"/>
      <family val="2"/>
      <scheme val="minor"/>
    </font>
    <font>
      <u/>
      <sz val="11"/>
      <color rgb="FF1155CC"/>
      <name val="Calibri"/>
      <family val="2"/>
      <scheme val="minor"/>
    </font>
    <font>
      <u/>
      <sz val="11"/>
      <color rgb="FF1155CC"/>
      <name val="Calibri"/>
      <family val="2"/>
    </font>
    <font>
      <b/>
      <sz val="14"/>
      <color theme="1"/>
      <name val="Calibri"/>
      <family val="2"/>
      <scheme val="minor"/>
    </font>
    <font>
      <sz val="11"/>
      <color rgb="FFFFFFFF"/>
      <name val="Calibri"/>
      <family val="2"/>
      <scheme val="minor"/>
    </font>
    <font>
      <sz val="11"/>
      <color theme="1"/>
      <name val="Roboto"/>
    </font>
    <font>
      <sz val="14"/>
      <color theme="1"/>
      <name val="Calibri"/>
      <family val="2"/>
      <scheme val="minor"/>
    </font>
    <font>
      <b/>
      <sz val="11"/>
      <color rgb="FFFFFFFF"/>
      <name val="Calibri"/>
      <family val="2"/>
      <scheme val="minor"/>
    </font>
  </fonts>
  <fills count="17">
    <fill>
      <patternFill patternType="none"/>
    </fill>
    <fill>
      <patternFill patternType="gray125"/>
    </fill>
    <fill>
      <patternFill patternType="solid">
        <fgColor rgb="FF0563C1"/>
        <bgColor rgb="FF0563C1"/>
      </patternFill>
    </fill>
    <fill>
      <patternFill patternType="solid">
        <fgColor rgb="FF000000"/>
        <bgColor rgb="FF000000"/>
      </patternFill>
    </fill>
    <fill>
      <patternFill patternType="solid">
        <fgColor rgb="FFFFFFFF"/>
        <bgColor rgb="FFFFFFFF"/>
      </patternFill>
    </fill>
    <fill>
      <patternFill patternType="solid">
        <fgColor rgb="FFD9EAD3"/>
        <bgColor rgb="FFD9EAD3"/>
      </patternFill>
    </fill>
    <fill>
      <patternFill patternType="solid">
        <fgColor rgb="FFEFEFEF"/>
        <bgColor rgb="FFEFEFEF"/>
      </patternFill>
    </fill>
    <fill>
      <patternFill patternType="solid">
        <fgColor rgb="FFE7E6E6"/>
        <bgColor rgb="FFE7E6E6"/>
      </patternFill>
    </fill>
    <fill>
      <patternFill patternType="solid">
        <fgColor rgb="FFF4CCCC"/>
        <bgColor rgb="FFF4CCCC"/>
      </patternFill>
    </fill>
    <fill>
      <patternFill patternType="solid">
        <fgColor rgb="FFFFF2CC"/>
        <bgColor rgb="FFFFF2CC"/>
      </patternFill>
    </fill>
    <fill>
      <patternFill patternType="solid">
        <fgColor rgb="FFFF0000"/>
        <bgColor rgb="FFFF0000"/>
      </patternFill>
    </fill>
    <fill>
      <patternFill patternType="solid">
        <fgColor rgb="FFF3F3F3"/>
        <bgColor rgb="FFF3F3F3"/>
      </patternFill>
    </fill>
    <fill>
      <patternFill patternType="solid">
        <fgColor theme="0"/>
        <bgColor theme="0"/>
      </patternFill>
    </fill>
    <fill>
      <patternFill patternType="solid">
        <fgColor rgb="FF434343"/>
        <bgColor rgb="FF434343"/>
      </patternFill>
    </fill>
    <fill>
      <patternFill patternType="solid">
        <fgColor rgb="FF8ADF93"/>
        <bgColor rgb="FF8ADF93"/>
      </patternFill>
    </fill>
    <fill>
      <patternFill patternType="solid">
        <fgColor rgb="FF999999"/>
        <bgColor rgb="FF999999"/>
      </patternFill>
    </fill>
    <fill>
      <patternFill patternType="solid">
        <fgColor rgb="FF666666"/>
        <bgColor rgb="FF666666"/>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CCCCCC"/>
      </left>
      <right style="medium">
        <color rgb="FFCCCCCC"/>
      </right>
      <top/>
      <bottom style="medium">
        <color rgb="FFCCCCCC"/>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top style="thin">
        <color rgb="FFFFFFFF"/>
      </top>
      <bottom style="thin">
        <color rgb="FFFFFFFF"/>
      </bottom>
      <diagonal/>
    </border>
  </borders>
  <cellStyleXfs count="1">
    <xf numFmtId="0" fontId="0" fillId="0" borderId="0"/>
  </cellStyleXfs>
  <cellXfs count="280">
    <xf numFmtId="0" fontId="0" fillId="0" borderId="0" xfId="0" applyFont="1" applyAlignment="1"/>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xf>
    <xf numFmtId="49" fontId="1" fillId="3" borderId="1" xfId="0" applyNumberFormat="1"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0" xfId="0" applyFont="1" applyFill="1" applyAlignment="1">
      <alignment horizontal="center" vertical="center" wrapText="1"/>
    </xf>
    <xf numFmtId="0" fontId="5" fillId="4" borderId="2" xfId="0" applyFont="1" applyFill="1" applyBorder="1" applyAlignment="1">
      <alignment horizontal="center" vertical="center" wrapText="1"/>
    </xf>
    <xf numFmtId="0" fontId="6" fillId="0" borderId="3" xfId="0" applyFont="1" applyBorder="1" applyAlignment="1">
      <alignment horizontal="left" vertical="center" wrapText="1"/>
    </xf>
    <xf numFmtId="0" fontId="7" fillId="0" borderId="3" xfId="0" applyFont="1" applyBorder="1" applyAlignment="1">
      <alignment horizontal="center" vertical="center" wrapText="1"/>
    </xf>
    <xf numFmtId="0" fontId="7" fillId="5" borderId="4" xfId="0" applyFont="1" applyFill="1" applyBorder="1" applyAlignment="1">
      <alignment horizontal="center" vertical="center" wrapText="1"/>
    </xf>
    <xf numFmtId="0" fontId="8" fillId="0" borderId="3" xfId="0" applyFont="1" applyBorder="1" applyAlignment="1">
      <alignment horizontal="center" vertical="center" wrapText="1"/>
    </xf>
    <xf numFmtId="0" fontId="7" fillId="6" borderId="1" xfId="0" applyFont="1" applyFill="1" applyBorder="1" applyAlignment="1">
      <alignment horizontal="left" vertical="center" wrapText="1"/>
    </xf>
    <xf numFmtId="0" fontId="7" fillId="0" borderId="1" xfId="0" applyFont="1" applyBorder="1" applyAlignment="1">
      <alignment horizontal="center" vertical="center" wrapText="1"/>
    </xf>
    <xf numFmtId="49" fontId="9" fillId="0" borderId="1" xfId="0" applyNumberFormat="1" applyFont="1" applyBorder="1" applyAlignment="1">
      <alignment horizontal="center" vertical="center"/>
    </xf>
    <xf numFmtId="49" fontId="10" fillId="7" borderId="1" xfId="0" applyNumberFormat="1" applyFont="1" applyFill="1" applyBorder="1" applyAlignment="1">
      <alignment horizontal="center" vertical="center"/>
    </xf>
    <xf numFmtId="49" fontId="9" fillId="0" borderId="0" xfId="0" applyNumberFormat="1" applyFont="1" applyAlignment="1">
      <alignment horizontal="center" vertical="center"/>
    </xf>
    <xf numFmtId="14" fontId="9" fillId="0" borderId="0" xfId="0" applyNumberFormat="1" applyFont="1" applyAlignment="1">
      <alignment horizontal="center" vertical="center"/>
    </xf>
    <xf numFmtId="49" fontId="10" fillId="0" borderId="0" xfId="0" applyNumberFormat="1" applyFont="1" applyAlignment="1">
      <alignment horizontal="center" vertical="center"/>
    </xf>
    <xf numFmtId="0" fontId="5" fillId="4" borderId="5" xfId="0" applyFont="1" applyFill="1" applyBorder="1" applyAlignment="1">
      <alignment horizontal="center" vertical="center" wrapText="1"/>
    </xf>
    <xf numFmtId="0" fontId="11" fillId="0" borderId="6" xfId="0" applyFont="1" applyBorder="1" applyAlignment="1">
      <alignment horizontal="center" vertical="center" wrapText="1"/>
    </xf>
    <xf numFmtId="49" fontId="10" fillId="0" borderId="0" xfId="0" applyNumberFormat="1" applyFont="1" applyAlignment="1">
      <alignment horizontal="center" vertical="center"/>
    </xf>
    <xf numFmtId="14" fontId="10" fillId="0" borderId="0" xfId="0" applyNumberFormat="1" applyFont="1" applyAlignment="1">
      <alignment horizontal="center" vertical="center"/>
    </xf>
    <xf numFmtId="0" fontId="12" fillId="0" borderId="6" xfId="0" applyFont="1" applyBorder="1" applyAlignment="1">
      <alignment horizontal="center" vertical="center" wrapText="1"/>
    </xf>
    <xf numFmtId="164"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14" fontId="9" fillId="0" borderId="0" xfId="0" applyNumberFormat="1" applyFont="1" applyAlignment="1">
      <alignment horizontal="center" vertical="center"/>
    </xf>
    <xf numFmtId="49" fontId="10" fillId="0" borderId="0" xfId="0" applyNumberFormat="1" applyFont="1" applyAlignment="1">
      <alignment horizontal="center" vertical="center"/>
    </xf>
    <xf numFmtId="14" fontId="10" fillId="0" borderId="0" xfId="0" applyNumberFormat="1" applyFont="1" applyAlignment="1">
      <alignment horizontal="center" vertical="center"/>
    </xf>
    <xf numFmtId="0" fontId="7" fillId="0" borderId="3" xfId="0" applyFont="1" applyBorder="1" applyAlignment="1">
      <alignment horizontal="center" vertical="center" wrapText="1"/>
    </xf>
    <xf numFmtId="0" fontId="5" fillId="6" borderId="1" xfId="0" applyFont="1" applyFill="1" applyBorder="1" applyAlignment="1">
      <alignment horizontal="left" vertical="center" wrapText="1"/>
    </xf>
    <xf numFmtId="0" fontId="5" fillId="0" borderId="1" xfId="0" applyFont="1" applyBorder="1" applyAlignment="1">
      <alignment horizontal="center" vertical="center" wrapText="1"/>
    </xf>
    <xf numFmtId="49" fontId="10" fillId="7" borderId="1" xfId="0" applyNumberFormat="1" applyFont="1" applyFill="1" applyBorder="1" applyAlignment="1">
      <alignment horizontal="center" vertical="center"/>
    </xf>
    <xf numFmtId="0" fontId="13" fillId="0" borderId="3" xfId="0" applyFont="1" applyBorder="1" applyAlignment="1">
      <alignment horizontal="left" vertical="center" wrapText="1"/>
    </xf>
    <xf numFmtId="0" fontId="14" fillId="0" borderId="3" xfId="0" applyFont="1" applyBorder="1" applyAlignment="1">
      <alignment horizontal="center" vertical="center" wrapText="1"/>
    </xf>
    <xf numFmtId="0" fontId="7" fillId="5" borderId="4" xfId="0" applyFont="1" applyFill="1" applyBorder="1" applyAlignment="1">
      <alignment horizontal="center" vertical="center"/>
    </xf>
    <xf numFmtId="0" fontId="5" fillId="0" borderId="1" xfId="0" applyFont="1" applyBorder="1" applyAlignment="1">
      <alignment horizontal="center" vertical="center" wrapText="1"/>
    </xf>
    <xf numFmtId="0" fontId="7" fillId="5"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6" fillId="0" borderId="0" xfId="0" applyFont="1" applyAlignment="1">
      <alignment horizontal="center" vertical="center" wrapText="1"/>
    </xf>
    <xf numFmtId="0" fontId="7" fillId="8" borderId="1" xfId="0" applyFont="1" applyFill="1" applyBorder="1" applyAlignment="1">
      <alignment horizontal="center" vertical="center" wrapText="1"/>
    </xf>
    <xf numFmtId="0" fontId="17" fillId="0" borderId="1" xfId="0" applyFont="1" applyBorder="1"/>
    <xf numFmtId="0" fontId="16" fillId="0" borderId="1" xfId="0" applyFont="1" applyBorder="1" applyAlignment="1">
      <alignment horizontal="center" vertical="center" wrapText="1"/>
    </xf>
    <xf numFmtId="0" fontId="7" fillId="5" borderId="1" xfId="0" applyFont="1" applyFill="1" applyBorder="1" applyAlignment="1">
      <alignment horizontal="center" vertical="center"/>
    </xf>
    <xf numFmtId="0" fontId="18" fillId="0" borderId="1" xfId="0" applyFont="1" applyBorder="1" applyAlignment="1">
      <alignment horizontal="center" vertical="center" wrapText="1"/>
    </xf>
    <xf numFmtId="0" fontId="7" fillId="6" borderId="1" xfId="0" applyFont="1" applyFill="1" applyBorder="1" applyAlignment="1">
      <alignment horizontal="left" vertical="center" wrapText="1"/>
    </xf>
    <xf numFmtId="0" fontId="7" fillId="0" borderId="1" xfId="0" applyFont="1" applyBorder="1" applyAlignment="1">
      <alignment horizontal="center" vertical="center" wrapText="1"/>
    </xf>
    <xf numFmtId="0" fontId="7" fillId="6" borderId="1" xfId="0" applyFont="1" applyFill="1" applyBorder="1" applyAlignment="1">
      <alignment horizontal="left" vertical="center" wrapText="1"/>
    </xf>
    <xf numFmtId="49" fontId="9" fillId="0" borderId="0" xfId="0" applyNumberFormat="1" applyFont="1" applyAlignment="1">
      <alignment horizontal="center" vertical="center"/>
    </xf>
    <xf numFmtId="49" fontId="19" fillId="0" borderId="0" xfId="0" applyNumberFormat="1" applyFont="1" applyAlignment="1">
      <alignment horizontal="center" vertical="center"/>
    </xf>
    <xf numFmtId="0" fontId="7" fillId="0" borderId="1" xfId="0" applyFont="1" applyBorder="1" applyAlignment="1">
      <alignment horizontal="left" vertical="center" wrapText="1"/>
    </xf>
    <xf numFmtId="49" fontId="20" fillId="0" borderId="0" xfId="0" applyNumberFormat="1" applyFont="1" applyAlignment="1">
      <alignment horizontal="center" vertical="center"/>
    </xf>
    <xf numFmtId="0" fontId="7" fillId="9" borderId="1" xfId="0" applyFont="1" applyFill="1" applyBorder="1" applyAlignment="1">
      <alignment horizontal="center" vertical="center" wrapText="1"/>
    </xf>
    <xf numFmtId="0" fontId="7" fillId="9" borderId="1" xfId="0" applyFont="1" applyFill="1" applyBorder="1" applyAlignment="1">
      <alignment horizontal="center" vertical="center"/>
    </xf>
    <xf numFmtId="0" fontId="21" fillId="0" borderId="1" xfId="0" applyFont="1" applyBorder="1" applyAlignment="1">
      <alignment horizontal="left" vertical="center" wrapText="1"/>
    </xf>
    <xf numFmtId="0" fontId="7" fillId="0" borderId="1" xfId="0" applyFont="1" applyBorder="1" applyAlignment="1">
      <alignment horizontal="left" vertical="center" wrapText="1"/>
    </xf>
    <xf numFmtId="0" fontId="5" fillId="4" borderId="0" xfId="0" applyFont="1" applyFill="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horizontal="center" vertical="center" wrapText="1"/>
    </xf>
    <xf numFmtId="0" fontId="7" fillId="5" borderId="0" xfId="0" applyFont="1" applyFill="1" applyAlignment="1">
      <alignment horizontal="center" vertical="center" wrapText="1"/>
    </xf>
    <xf numFmtId="0" fontId="7" fillId="0" borderId="0" xfId="0" applyFont="1" applyAlignment="1">
      <alignment horizontal="center" vertical="center" wrapText="1"/>
    </xf>
    <xf numFmtId="0" fontId="7" fillId="6" borderId="0" xfId="0" applyFont="1" applyFill="1" applyAlignment="1">
      <alignment horizontal="left" vertical="center" wrapText="1"/>
    </xf>
    <xf numFmtId="0" fontId="7" fillId="0" borderId="0" xfId="0" applyFont="1" applyAlignment="1">
      <alignment horizontal="center" vertical="center" wrapText="1"/>
    </xf>
    <xf numFmtId="0" fontId="22" fillId="2" borderId="1" xfId="0" applyFont="1" applyFill="1" applyBorder="1" applyAlignment="1">
      <alignment horizontal="center" vertical="center" wrapText="1"/>
    </xf>
    <xf numFmtId="0" fontId="22" fillId="2" borderId="1" xfId="0" applyFont="1" applyFill="1" applyBorder="1" applyAlignment="1">
      <alignment horizontal="left" vertical="center" wrapText="1"/>
    </xf>
    <xf numFmtId="0" fontId="22" fillId="2" borderId="1"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22" fillId="3" borderId="1" xfId="0" applyFont="1" applyFill="1" applyBorder="1" applyAlignment="1">
      <alignment horizontal="left" vertical="center" wrapText="1"/>
    </xf>
    <xf numFmtId="0" fontId="22" fillId="2" borderId="1" xfId="0" applyFont="1" applyFill="1" applyBorder="1" applyAlignment="1">
      <alignment horizontal="center" vertical="center"/>
    </xf>
    <xf numFmtId="0" fontId="22" fillId="3" borderId="1" xfId="0" applyFont="1" applyFill="1" applyBorder="1" applyAlignment="1">
      <alignment horizontal="center" vertical="center"/>
    </xf>
    <xf numFmtId="0" fontId="23" fillId="3"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3" xfId="0" applyFont="1" applyBorder="1" applyAlignment="1">
      <alignment horizontal="center" vertical="center" wrapText="1"/>
    </xf>
    <xf numFmtId="0" fontId="7" fillId="4" borderId="6" xfId="0" applyFont="1" applyFill="1" applyBorder="1" applyAlignment="1">
      <alignment horizontal="center" vertical="center" wrapText="1"/>
    </xf>
    <xf numFmtId="0" fontId="7" fillId="0" borderId="3" xfId="0" applyFont="1" applyBorder="1" applyAlignment="1">
      <alignment horizontal="center" vertical="center" wrapText="1"/>
    </xf>
    <xf numFmtId="14" fontId="7" fillId="0" borderId="0" xfId="0" applyNumberFormat="1" applyFont="1" applyAlignment="1">
      <alignment horizontal="center" vertical="center" wrapText="1"/>
    </xf>
    <xf numFmtId="0" fontId="5" fillId="0" borderId="3" xfId="0" applyFont="1" applyBorder="1" applyAlignment="1">
      <alignment horizontal="left" vertical="center" wrapText="1"/>
    </xf>
    <xf numFmtId="0" fontId="7" fillId="0" borderId="4" xfId="0" applyFont="1" applyBorder="1" applyAlignment="1">
      <alignment horizontal="center" vertical="center" wrapText="1"/>
    </xf>
    <xf numFmtId="0" fontId="7" fillId="6" borderId="1" xfId="0" applyFont="1" applyFill="1" applyBorder="1" applyAlignment="1">
      <alignment horizontal="left" vertical="center" wrapText="1"/>
    </xf>
    <xf numFmtId="0" fontId="24" fillId="0" borderId="6" xfId="0" applyFont="1" applyBorder="1" applyAlignment="1">
      <alignment horizontal="left" vertical="center" wrapText="1"/>
    </xf>
    <xf numFmtId="0" fontId="5" fillId="0" borderId="6" xfId="0" applyFont="1" applyBorder="1" applyAlignment="1">
      <alignment horizontal="center" vertical="center" wrapText="1"/>
    </xf>
    <xf numFmtId="0" fontId="5" fillId="0" borderId="6" xfId="0" applyFont="1" applyBorder="1" applyAlignment="1">
      <alignment horizontal="center" vertical="center" wrapText="1"/>
    </xf>
    <xf numFmtId="0" fontId="7" fillId="4" borderId="1" xfId="0" applyFont="1" applyFill="1" applyBorder="1" applyAlignment="1">
      <alignment horizontal="center" vertical="center" wrapText="1"/>
    </xf>
    <xf numFmtId="0" fontId="5" fillId="0" borderId="6" xfId="0" applyFont="1" applyBorder="1" applyAlignment="1">
      <alignment horizontal="left" vertical="center" wrapText="1"/>
    </xf>
    <xf numFmtId="0" fontId="7" fillId="9" borderId="4" xfId="0" applyFont="1" applyFill="1" applyBorder="1" applyAlignment="1">
      <alignment horizontal="center" vertical="center" wrapText="1"/>
    </xf>
    <xf numFmtId="0" fontId="7" fillId="0" borderId="6" xfId="0" applyFont="1" applyBorder="1" applyAlignment="1">
      <alignment horizontal="center" vertical="center" wrapText="1"/>
    </xf>
    <xf numFmtId="0" fontId="7" fillId="4" borderId="1"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7" fillId="8" borderId="4" xfId="0" applyFont="1" applyFill="1" applyBorder="1" applyAlignment="1">
      <alignment horizontal="center" vertical="center" wrapText="1"/>
    </xf>
    <xf numFmtId="0" fontId="19" fillId="7" borderId="1" xfId="0" applyFont="1" applyFill="1" applyBorder="1" applyAlignment="1">
      <alignment horizontal="center" vertical="center" wrapText="1"/>
    </xf>
    <xf numFmtId="0" fontId="25" fillId="4" borderId="6" xfId="0" applyFont="1" applyFill="1" applyBorder="1" applyAlignment="1">
      <alignment horizontal="left" vertical="center" wrapText="1"/>
    </xf>
    <xf numFmtId="0" fontId="5" fillId="4" borderId="6"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26" fillId="4" borderId="6" xfId="0" applyFont="1" applyFill="1" applyBorder="1" applyAlignment="1">
      <alignment horizontal="center" vertical="center" wrapText="1"/>
    </xf>
    <xf numFmtId="0" fontId="27" fillId="0" borderId="6" xfId="0" applyFont="1" applyBorder="1" applyAlignment="1">
      <alignment horizontal="left" vertical="center" wrapText="1"/>
    </xf>
    <xf numFmtId="0" fontId="19" fillId="0" borderId="1" xfId="0" applyFont="1" applyBorder="1" applyAlignment="1">
      <alignment horizontal="center" vertical="center" wrapText="1"/>
    </xf>
    <xf numFmtId="0" fontId="28" fillId="0" borderId="1" xfId="0" applyFont="1" applyBorder="1" applyAlignment="1">
      <alignment horizontal="left" vertical="center" wrapText="1"/>
    </xf>
    <xf numFmtId="0" fontId="29" fillId="4" borderId="1" xfId="0" applyFont="1" applyFill="1" applyBorder="1" applyAlignment="1">
      <alignment horizontal="center" wrapText="1"/>
    </xf>
    <xf numFmtId="0" fontId="30" fillId="4" borderId="1" xfId="0" applyFont="1" applyFill="1" applyBorder="1" applyAlignment="1">
      <alignment horizontal="center" wrapText="1"/>
    </xf>
    <xf numFmtId="0" fontId="31" fillId="0" borderId="1" xfId="0" applyFont="1" applyBorder="1" applyAlignment="1">
      <alignment horizontal="center" vertical="center"/>
    </xf>
    <xf numFmtId="0" fontId="7" fillId="6" borderId="1" xfId="0" applyFont="1" applyFill="1" applyBorder="1" applyAlignment="1">
      <alignment horizontal="center" vertical="center" wrapText="1"/>
    </xf>
    <xf numFmtId="0" fontId="32" fillId="4"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5" fillId="0" borderId="0" xfId="0" applyFont="1" applyAlignment="1">
      <alignment horizontal="center" vertical="center" wrapText="1"/>
    </xf>
    <xf numFmtId="0" fontId="5" fillId="0" borderId="0" xfId="0" applyFont="1" applyAlignment="1">
      <alignment horizontal="center" vertical="center" wrapText="1"/>
    </xf>
    <xf numFmtId="0" fontId="7" fillId="4" borderId="0" xfId="0" applyFont="1" applyFill="1" applyAlignment="1">
      <alignment horizontal="center" vertical="center" wrapText="1"/>
    </xf>
    <xf numFmtId="0" fontId="5" fillId="4" borderId="0" xfId="0" applyFont="1" applyFill="1" applyAlignment="1">
      <alignment horizontal="center" vertical="center" wrapText="1"/>
    </xf>
    <xf numFmtId="0" fontId="7" fillId="6" borderId="0" xfId="0" applyFont="1" applyFill="1" applyAlignment="1">
      <alignment horizontal="left" vertical="center" wrapText="1"/>
    </xf>
    <xf numFmtId="0" fontId="7" fillId="4" borderId="0" xfId="0" applyFont="1" applyFill="1" applyAlignment="1">
      <alignment horizontal="center" vertical="center" wrapText="1"/>
    </xf>
    <xf numFmtId="14" fontId="7" fillId="4" borderId="0" xfId="0" applyNumberFormat="1" applyFont="1" applyFill="1" applyAlignment="1">
      <alignment horizontal="center" vertical="center" wrapText="1"/>
    </xf>
    <xf numFmtId="0" fontId="33" fillId="2" borderId="1" xfId="0" applyFont="1" applyFill="1" applyBorder="1" applyAlignment="1">
      <alignment horizontal="left" vertical="center" wrapText="1"/>
    </xf>
    <xf numFmtId="0" fontId="34" fillId="3" borderId="1" xfId="0" applyFont="1" applyFill="1" applyBorder="1" applyAlignment="1">
      <alignment horizontal="left" vertical="center" wrapText="1"/>
    </xf>
    <xf numFmtId="0" fontId="5" fillId="0" borderId="2" xfId="0" applyFont="1" applyBorder="1" applyAlignment="1">
      <alignment horizontal="center" vertical="center" wrapText="1"/>
    </xf>
    <xf numFmtId="0" fontId="35" fillId="4" borderId="3" xfId="0" applyFont="1" applyFill="1" applyBorder="1" applyAlignment="1">
      <alignment horizontal="left" vertical="center" wrapText="1"/>
    </xf>
    <xf numFmtId="0" fontId="7" fillId="4" borderId="3" xfId="0" applyFont="1" applyFill="1" applyBorder="1" applyAlignment="1">
      <alignment horizontal="center" vertical="center" wrapText="1"/>
    </xf>
    <xf numFmtId="0" fontId="36" fillId="4" borderId="3" xfId="0" applyFont="1" applyFill="1" applyBorder="1" applyAlignment="1">
      <alignment horizontal="center" vertical="center" wrapText="1"/>
    </xf>
    <xf numFmtId="0" fontId="37" fillId="6" borderId="1"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38" fillId="4" borderId="3" xfId="0" applyFont="1" applyFill="1" applyBorder="1" applyAlignment="1">
      <alignment horizontal="left" vertical="center" wrapText="1"/>
    </xf>
    <xf numFmtId="0" fontId="39" fillId="4" borderId="3" xfId="0" applyFont="1" applyFill="1" applyBorder="1" applyAlignment="1">
      <alignment horizontal="center" vertical="center" wrapText="1"/>
    </xf>
    <xf numFmtId="0" fontId="40" fillId="4" borderId="1" xfId="0" applyFont="1" applyFill="1" applyBorder="1" applyAlignment="1">
      <alignment horizontal="center" vertical="center" wrapText="1"/>
    </xf>
    <xf numFmtId="0" fontId="7" fillId="4" borderId="3" xfId="0" applyFont="1" applyFill="1" applyBorder="1" applyAlignment="1">
      <alignment horizontal="center" vertical="center" wrapText="1"/>
    </xf>
    <xf numFmtId="165" fontId="41" fillId="0" borderId="0" xfId="0" applyNumberFormat="1" applyFont="1" applyAlignment="1">
      <alignment horizontal="center" vertical="center" wrapText="1"/>
    </xf>
    <xf numFmtId="0" fontId="42" fillId="4" borderId="6" xfId="0" applyFont="1" applyFill="1" applyBorder="1" applyAlignment="1">
      <alignment horizontal="center" vertical="center" wrapText="1"/>
    </xf>
    <xf numFmtId="0" fontId="43" fillId="6" borderId="1" xfId="0" applyFont="1" applyFill="1" applyBorder="1" applyAlignment="1">
      <alignment horizontal="left" vertical="center" wrapText="1"/>
    </xf>
    <xf numFmtId="0" fontId="44" fillId="10" borderId="3" xfId="0" applyFont="1" applyFill="1" applyBorder="1" applyAlignment="1">
      <alignment horizontal="left" vertical="center" wrapText="1"/>
    </xf>
    <xf numFmtId="0" fontId="45" fillId="4" borderId="1"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32" fillId="4" borderId="1" xfId="0" applyFont="1" applyFill="1" applyBorder="1" applyAlignment="1">
      <alignment horizontal="center" vertical="center" wrapText="1"/>
    </xf>
    <xf numFmtId="0" fontId="46" fillId="4" borderId="1" xfId="0" applyFont="1" applyFill="1" applyBorder="1" applyAlignment="1">
      <alignment horizontal="center" vertical="center" wrapText="1"/>
    </xf>
    <xf numFmtId="0" fontId="17" fillId="0" borderId="1" xfId="0" applyFont="1" applyBorder="1" applyAlignment="1"/>
    <xf numFmtId="0" fontId="47" fillId="4" borderId="1" xfId="0" applyFont="1" applyFill="1" applyBorder="1" applyAlignment="1">
      <alignment horizontal="center" vertical="center" wrapText="1"/>
    </xf>
    <xf numFmtId="0" fontId="48" fillId="0" borderId="3" xfId="0" applyFont="1" applyBorder="1" applyAlignment="1">
      <alignment horizontal="left" vertical="center" wrapText="1"/>
    </xf>
    <xf numFmtId="0" fontId="19"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9" fillId="4" borderId="3"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7" fillId="0" borderId="1" xfId="0" applyFont="1" applyBorder="1" applyAlignment="1">
      <alignment wrapText="1"/>
    </xf>
    <xf numFmtId="0" fontId="49"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0" fillId="0" borderId="1" xfId="0" applyFont="1" applyBorder="1" applyAlignment="1">
      <alignment horizontal="center"/>
    </xf>
    <xf numFmtId="166" fontId="7" fillId="0" borderId="0" xfId="0" applyNumberFormat="1" applyFont="1" applyAlignment="1">
      <alignment horizontal="center" vertical="center" wrapText="1"/>
    </xf>
    <xf numFmtId="0" fontId="51" fillId="0" borderId="7" xfId="0" applyFont="1" applyBorder="1" applyAlignment="1">
      <alignment horizontal="left" vertical="center" wrapText="1"/>
    </xf>
    <xf numFmtId="0" fontId="7" fillId="0" borderId="7" xfId="0" applyFont="1" applyBorder="1" applyAlignment="1">
      <alignment horizontal="center" vertical="center" wrapText="1"/>
    </xf>
    <xf numFmtId="0" fontId="52" fillId="11" borderId="0" xfId="0" applyFont="1" applyFill="1" applyAlignment="1">
      <alignment horizontal="left" vertical="center" wrapText="1"/>
    </xf>
    <xf numFmtId="0" fontId="17" fillId="11" borderId="0" xfId="0" applyFont="1" applyFill="1" applyAlignment="1"/>
    <xf numFmtId="0" fontId="52" fillId="0" borderId="0" xfId="0" applyFont="1" applyAlignment="1">
      <alignment horizontal="center" vertical="center" wrapText="1"/>
    </xf>
    <xf numFmtId="14" fontId="52" fillId="0" borderId="0" xfId="0" applyNumberFormat="1" applyFont="1" applyAlignment="1">
      <alignment horizontal="center" vertical="center" wrapText="1"/>
    </xf>
    <xf numFmtId="0" fontId="51" fillId="0" borderId="0" xfId="0" applyFont="1" applyAlignment="1">
      <alignment horizontal="left" vertical="center" wrapText="1"/>
    </xf>
    <xf numFmtId="0" fontId="52" fillId="6" borderId="0" xfId="0" applyFont="1" applyFill="1" applyAlignment="1">
      <alignment horizontal="left" vertical="center" wrapText="1"/>
    </xf>
    <xf numFmtId="0" fontId="17" fillId="4" borderId="0" xfId="0" applyFont="1" applyFill="1" applyAlignment="1"/>
    <xf numFmtId="0" fontId="53" fillId="9" borderId="0" xfId="0" applyFont="1" applyFill="1" applyAlignment="1">
      <alignment horizontal="left" vertical="center" wrapText="1"/>
    </xf>
    <xf numFmtId="0" fontId="54" fillId="9" borderId="0" xfId="0" applyFont="1" applyFill="1" applyAlignment="1"/>
    <xf numFmtId="0" fontId="17" fillId="0" borderId="0" xfId="0" applyFont="1" applyAlignment="1"/>
    <xf numFmtId="14" fontId="17" fillId="0" borderId="0" xfId="0" applyNumberFormat="1" applyFont="1"/>
    <xf numFmtId="0" fontId="17" fillId="12" borderId="8" xfId="0" applyFont="1" applyFill="1" applyBorder="1" applyAlignment="1">
      <alignment horizontal="center" vertical="center"/>
    </xf>
    <xf numFmtId="0" fontId="17" fillId="12" borderId="8" xfId="0" applyFont="1" applyFill="1" applyBorder="1" applyAlignment="1">
      <alignment horizontal="left" vertical="center"/>
    </xf>
    <xf numFmtId="0" fontId="17" fillId="12" borderId="8" xfId="0" applyFont="1" applyFill="1" applyBorder="1" applyAlignment="1">
      <alignment horizontal="center" vertical="center"/>
    </xf>
    <xf numFmtId="0" fontId="17" fillId="12" borderId="8" xfId="0" applyFont="1" applyFill="1" applyBorder="1" applyAlignment="1">
      <alignment horizontal="right" vertical="center"/>
    </xf>
    <xf numFmtId="0" fontId="17" fillId="12" borderId="8" xfId="0" applyFont="1" applyFill="1" applyBorder="1" applyAlignment="1">
      <alignment horizontal="left" vertical="center" wrapText="1"/>
    </xf>
    <xf numFmtId="0" fontId="17" fillId="12" borderId="8" xfId="0" applyFont="1" applyFill="1" applyBorder="1" applyAlignment="1">
      <alignment horizontal="right"/>
    </xf>
    <xf numFmtId="0" fontId="17" fillId="12" borderId="8" xfId="0" applyFont="1" applyFill="1" applyBorder="1" applyAlignment="1">
      <alignment horizontal="right"/>
    </xf>
    <xf numFmtId="0" fontId="17" fillId="12" borderId="8" xfId="0" applyFont="1" applyFill="1" applyBorder="1" applyAlignment="1">
      <alignment horizontal="center"/>
    </xf>
    <xf numFmtId="0" fontId="17" fillId="12" borderId="0" xfId="0" applyFont="1" applyFill="1" applyAlignment="1">
      <alignment horizontal="right"/>
    </xf>
    <xf numFmtId="0" fontId="55" fillId="13" borderId="8" xfId="0" applyFont="1" applyFill="1" applyBorder="1" applyAlignment="1">
      <alignment horizontal="center" vertical="center"/>
    </xf>
    <xf numFmtId="0" fontId="17" fillId="12" borderId="8" xfId="0" applyFont="1" applyFill="1" applyBorder="1" applyAlignment="1">
      <alignment horizontal="left" vertical="center" wrapText="1"/>
    </xf>
    <xf numFmtId="167" fontId="17" fillId="4" borderId="9" xfId="0" applyNumberFormat="1" applyFont="1" applyFill="1" applyBorder="1"/>
    <xf numFmtId="0" fontId="17" fillId="12" borderId="8" xfId="0" applyFont="1" applyFill="1" applyBorder="1"/>
    <xf numFmtId="0" fontId="17" fillId="12" borderId="0" xfId="0" applyFont="1" applyFill="1"/>
    <xf numFmtId="0" fontId="56" fillId="14" borderId="8" xfId="0" applyFont="1" applyFill="1" applyBorder="1" applyAlignment="1">
      <alignment horizontal="center" vertical="center"/>
    </xf>
    <xf numFmtId="0" fontId="56" fillId="14" borderId="8" xfId="0" applyFont="1" applyFill="1" applyBorder="1" applyAlignment="1">
      <alignment horizontal="center" vertical="center"/>
    </xf>
    <xf numFmtId="0" fontId="17" fillId="0" borderId="8" xfId="0" applyFont="1" applyBorder="1" applyAlignment="1">
      <alignment horizontal="left" vertical="center"/>
    </xf>
    <xf numFmtId="0" fontId="17" fillId="12" borderId="10" xfId="0" applyFont="1" applyFill="1" applyBorder="1" applyAlignment="1">
      <alignment horizontal="left" vertical="center" wrapText="1"/>
    </xf>
    <xf numFmtId="0" fontId="17" fillId="12" borderId="11" xfId="0" applyFont="1" applyFill="1" applyBorder="1"/>
    <xf numFmtId="0" fontId="57" fillId="10" borderId="8" xfId="0" applyFont="1" applyFill="1" applyBorder="1" applyAlignment="1">
      <alignment horizontal="center" vertical="center"/>
    </xf>
    <xf numFmtId="0" fontId="58" fillId="10" borderId="8" xfId="0" applyFont="1" applyFill="1" applyBorder="1" applyAlignment="1">
      <alignment horizontal="center" vertical="center"/>
    </xf>
    <xf numFmtId="0" fontId="59" fillId="12" borderId="8" xfId="0" applyFont="1" applyFill="1" applyBorder="1" applyAlignment="1">
      <alignment horizontal="right"/>
    </xf>
    <xf numFmtId="0" fontId="17" fillId="12" borderId="8" xfId="0" applyFont="1" applyFill="1" applyBorder="1" applyAlignment="1">
      <alignment vertical="center"/>
    </xf>
    <xf numFmtId="0" fontId="56" fillId="12" borderId="9" xfId="0" applyFont="1" applyFill="1" applyBorder="1" applyAlignment="1">
      <alignment horizontal="left" vertical="center" wrapText="1"/>
    </xf>
    <xf numFmtId="14" fontId="17" fillId="12" borderId="11" xfId="0" applyNumberFormat="1" applyFont="1" applyFill="1" applyBorder="1"/>
    <xf numFmtId="0" fontId="60" fillId="15" borderId="8" xfId="0" applyFont="1" applyFill="1" applyBorder="1" applyAlignment="1">
      <alignment horizontal="center" vertical="center"/>
    </xf>
    <xf numFmtId="0" fontId="60" fillId="15" borderId="8" xfId="0" applyFont="1" applyFill="1" applyBorder="1" applyAlignment="1">
      <alignment horizontal="center" vertical="center"/>
    </xf>
    <xf numFmtId="0" fontId="17" fillId="12" borderId="8" xfId="0" applyFont="1" applyFill="1" applyBorder="1" applyAlignment="1">
      <alignment horizontal="right" vertical="center"/>
    </xf>
    <xf numFmtId="0" fontId="17" fillId="12" borderId="8" xfId="0" applyFont="1" applyFill="1" applyBorder="1" applyAlignment="1">
      <alignment horizontal="left" vertical="center"/>
    </xf>
    <xf numFmtId="0" fontId="56" fillId="12" borderId="12" xfId="0" applyFont="1" applyFill="1" applyBorder="1" applyAlignment="1">
      <alignment horizontal="left" vertical="center" wrapText="1"/>
    </xf>
    <xf numFmtId="0" fontId="22" fillId="13" borderId="2" xfId="0" applyFont="1" applyFill="1" applyBorder="1" applyAlignment="1">
      <alignment horizontal="center" vertical="center" wrapText="1"/>
    </xf>
    <xf numFmtId="0" fontId="22" fillId="13" borderId="2" xfId="0" applyFont="1" applyFill="1" applyBorder="1" applyAlignment="1">
      <alignment horizontal="left" vertical="center" wrapText="1"/>
    </xf>
    <xf numFmtId="0" fontId="22" fillId="13" borderId="2" xfId="0" applyFont="1" applyFill="1" applyBorder="1" applyAlignment="1">
      <alignment horizontal="left" vertical="center" wrapText="1"/>
    </xf>
    <xf numFmtId="0" fontId="4" fillId="13" borderId="2" xfId="0" applyFont="1" applyFill="1" applyBorder="1" applyAlignment="1">
      <alignment horizontal="center" vertical="center"/>
    </xf>
    <xf numFmtId="49" fontId="1" fillId="13" borderId="1" xfId="0" applyNumberFormat="1" applyFont="1" applyFill="1" applyBorder="1" applyAlignment="1">
      <alignment horizontal="center" vertical="center" wrapText="1"/>
    </xf>
    <xf numFmtId="0" fontId="4" fillId="13" borderId="2" xfId="0" applyFont="1" applyFill="1" applyBorder="1" applyAlignment="1">
      <alignment horizontal="center" vertical="center" wrapText="1"/>
    </xf>
    <xf numFmtId="0" fontId="62" fillId="13" borderId="0" xfId="0" applyFont="1" applyFill="1" applyAlignment="1">
      <alignment horizontal="center"/>
    </xf>
    <xf numFmtId="0" fontId="63" fillId="5" borderId="1" xfId="0" applyFont="1" applyFill="1" applyBorder="1" applyAlignment="1"/>
    <xf numFmtId="0" fontId="17" fillId="4" borderId="1" xfId="0" applyFont="1" applyFill="1" applyBorder="1" applyAlignment="1"/>
    <xf numFmtId="0" fontId="17" fillId="8" borderId="1" xfId="0" applyFont="1" applyFill="1" applyBorder="1" applyAlignment="1"/>
    <xf numFmtId="0" fontId="64" fillId="4" borderId="1" xfId="0" applyFont="1" applyFill="1" applyBorder="1" applyAlignment="1"/>
    <xf numFmtId="0" fontId="17" fillId="6" borderId="1" xfId="0" applyFont="1" applyFill="1" applyBorder="1" applyAlignment="1">
      <alignment wrapText="1"/>
    </xf>
    <xf numFmtId="0" fontId="17" fillId="4" borderId="1" xfId="0" applyFont="1" applyFill="1" applyBorder="1"/>
    <xf numFmtId="0" fontId="17" fillId="7" borderId="1" xfId="0" applyFont="1" applyFill="1" applyBorder="1" applyAlignment="1"/>
    <xf numFmtId="168" fontId="17" fillId="4" borderId="1" xfId="0" applyNumberFormat="1" applyFont="1" applyFill="1" applyBorder="1"/>
    <xf numFmtId="166" fontId="17" fillId="4" borderId="1" xfId="0" applyNumberFormat="1" applyFont="1" applyFill="1" applyBorder="1" applyAlignment="1"/>
    <xf numFmtId="168" fontId="17" fillId="4" borderId="1" xfId="0" applyNumberFormat="1" applyFont="1" applyFill="1" applyBorder="1" applyAlignment="1"/>
    <xf numFmtId="168" fontId="17" fillId="4" borderId="0" xfId="0" applyNumberFormat="1" applyFont="1" applyFill="1" applyAlignment="1"/>
    <xf numFmtId="0" fontId="17" fillId="0" borderId="1" xfId="0" applyFont="1" applyBorder="1" applyAlignment="1"/>
    <xf numFmtId="0" fontId="17" fillId="7" borderId="1" xfId="0" applyFont="1" applyFill="1" applyBorder="1"/>
    <xf numFmtId="0" fontId="17" fillId="0" borderId="1" xfId="0" applyFont="1" applyBorder="1" applyAlignment="1"/>
    <xf numFmtId="169" fontId="17" fillId="4" borderId="1" xfId="0" applyNumberFormat="1" applyFont="1" applyFill="1" applyBorder="1"/>
    <xf numFmtId="164" fontId="17" fillId="4" borderId="1" xfId="0" applyNumberFormat="1" applyFont="1" applyFill="1" applyBorder="1" applyAlignment="1"/>
    <xf numFmtId="0" fontId="65" fillId="9" borderId="1" xfId="0" applyFont="1" applyFill="1" applyBorder="1" applyAlignment="1"/>
    <xf numFmtId="0" fontId="17" fillId="4" borderId="1" xfId="0" applyFont="1" applyFill="1" applyBorder="1" applyAlignment="1">
      <alignment wrapText="1"/>
    </xf>
    <xf numFmtId="0" fontId="66" fillId="8" borderId="1" xfId="0" applyFont="1" applyFill="1" applyBorder="1" applyAlignment="1"/>
    <xf numFmtId="165" fontId="17" fillId="4" borderId="1" xfId="0" applyNumberFormat="1" applyFont="1" applyFill="1" applyBorder="1"/>
    <xf numFmtId="166" fontId="17" fillId="4" borderId="1" xfId="0" applyNumberFormat="1" applyFont="1" applyFill="1" applyBorder="1" applyAlignment="1">
      <alignment vertical="center"/>
    </xf>
    <xf numFmtId="0" fontId="17" fillId="4" borderId="1" xfId="0" applyFont="1" applyFill="1" applyBorder="1" applyAlignment="1">
      <alignment vertical="center"/>
    </xf>
    <xf numFmtId="0" fontId="17" fillId="4" borderId="0" xfId="0" applyFont="1" applyFill="1" applyAlignment="1">
      <alignment vertical="center"/>
    </xf>
    <xf numFmtId="0" fontId="17" fillId="0" borderId="1" xfId="0" applyFont="1" applyBorder="1"/>
    <xf numFmtId="0" fontId="17" fillId="0" borderId="1" xfId="0" applyFont="1" applyBorder="1"/>
    <xf numFmtId="0" fontId="17" fillId="0" borderId="1" xfId="0" applyFont="1" applyBorder="1" applyAlignment="1">
      <alignment wrapText="1"/>
    </xf>
    <xf numFmtId="0" fontId="17" fillId="0" borderId="0" xfId="0" applyFont="1"/>
    <xf numFmtId="0" fontId="17" fillId="0" borderId="0" xfId="0" applyFont="1"/>
    <xf numFmtId="166" fontId="17" fillId="0" borderId="0" xfId="0" applyNumberFormat="1" applyFont="1"/>
    <xf numFmtId="164" fontId="17" fillId="0" borderId="0" xfId="0" applyNumberFormat="1" applyFont="1"/>
    <xf numFmtId="167" fontId="17" fillId="0" borderId="0" xfId="0" applyNumberFormat="1" applyFont="1"/>
    <xf numFmtId="0" fontId="22" fillId="13" borderId="2" xfId="0" applyFont="1" applyFill="1" applyBorder="1" applyAlignment="1">
      <alignment horizontal="right" vertical="center" wrapText="1"/>
    </xf>
    <xf numFmtId="0" fontId="22" fillId="13" borderId="2" xfId="0" applyFont="1" applyFill="1" applyBorder="1" applyAlignment="1">
      <alignment horizontal="left" vertical="center"/>
    </xf>
    <xf numFmtId="0" fontId="22" fillId="13" borderId="1" xfId="0" applyFont="1" applyFill="1" applyBorder="1" applyAlignment="1">
      <alignment horizontal="center" vertical="center"/>
    </xf>
    <xf numFmtId="0" fontId="4" fillId="13" borderId="0" xfId="0" applyFont="1" applyFill="1" applyAlignment="1">
      <alignment horizontal="center" vertical="center"/>
    </xf>
    <xf numFmtId="0" fontId="4" fillId="13" borderId="0" xfId="0" applyFont="1" applyFill="1" applyAlignment="1">
      <alignment horizontal="center" vertical="center"/>
    </xf>
    <xf numFmtId="49" fontId="4" fillId="13" borderId="0" xfId="0" applyNumberFormat="1" applyFont="1" applyFill="1" applyAlignment="1">
      <alignment horizontal="center" vertical="center"/>
    </xf>
    <xf numFmtId="49" fontId="22" fillId="13" borderId="2" xfId="0" applyNumberFormat="1" applyFont="1" applyFill="1" applyBorder="1" applyAlignment="1">
      <alignment horizontal="center" vertical="center"/>
    </xf>
    <xf numFmtId="0" fontId="17" fillId="0" borderId="0" xfId="0" applyFont="1" applyAlignment="1"/>
    <xf numFmtId="0" fontId="67" fillId="5" borderId="0" xfId="0" applyFont="1" applyFill="1" applyAlignment="1"/>
    <xf numFmtId="0" fontId="68" fillId="4" borderId="0" xfId="0" applyFont="1" applyFill="1" applyAlignment="1"/>
    <xf numFmtId="0" fontId="17" fillId="6" borderId="0" xfId="0" applyFont="1" applyFill="1" applyAlignment="1"/>
    <xf numFmtId="0" fontId="17" fillId="4" borderId="0" xfId="0" applyFont="1" applyFill="1" applyAlignment="1"/>
    <xf numFmtId="49" fontId="17" fillId="4" borderId="0" xfId="0" applyNumberFormat="1" applyFont="1" applyFill="1" applyAlignment="1"/>
    <xf numFmtId="49" fontId="17" fillId="7" borderId="0" xfId="0" applyNumberFormat="1" applyFont="1" applyFill="1" applyAlignment="1"/>
    <xf numFmtId="0" fontId="17" fillId="0" borderId="0" xfId="0" applyFont="1" applyAlignment="1"/>
    <xf numFmtId="49" fontId="17" fillId="0" borderId="0" xfId="0" applyNumberFormat="1" applyFont="1" applyAlignment="1"/>
    <xf numFmtId="49" fontId="17" fillId="0" borderId="0" xfId="0" applyNumberFormat="1" applyFont="1" applyAlignment="1">
      <alignment horizontal="center"/>
    </xf>
    <xf numFmtId="49" fontId="17" fillId="0" borderId="0" xfId="0" applyNumberFormat="1" applyFont="1"/>
    <xf numFmtId="164" fontId="17" fillId="4" borderId="0" xfId="0" applyNumberFormat="1" applyFont="1" applyFill="1" applyAlignment="1"/>
    <xf numFmtId="0" fontId="17" fillId="0" borderId="0" xfId="0" applyFont="1" applyAlignment="1"/>
    <xf numFmtId="0" fontId="69" fillId="9" borderId="0" xfId="0" applyFont="1" applyFill="1" applyAlignment="1"/>
    <xf numFmtId="0" fontId="17" fillId="7" borderId="0" xfId="0" applyFont="1" applyFill="1"/>
    <xf numFmtId="0" fontId="17" fillId="7" borderId="0" xfId="0" applyFont="1" applyFill="1" applyAlignment="1"/>
    <xf numFmtId="0" fontId="17" fillId="4" borderId="0" xfId="0" applyFont="1" applyFill="1" applyAlignment="1"/>
    <xf numFmtId="0" fontId="17" fillId="4" borderId="0" xfId="0" applyFont="1" applyFill="1"/>
    <xf numFmtId="0" fontId="70" fillId="9" borderId="0" xfId="0" applyFont="1" applyFill="1" applyAlignment="1"/>
    <xf numFmtId="0" fontId="71" fillId="4" borderId="0" xfId="0" applyFont="1" applyFill="1" applyAlignment="1"/>
    <xf numFmtId="0" fontId="72" fillId="8" borderId="0" xfId="0" applyFont="1" applyFill="1" applyAlignment="1"/>
    <xf numFmtId="0" fontId="17" fillId="4" borderId="0" xfId="0" applyFont="1" applyFill="1" applyAlignment="1"/>
    <xf numFmtId="165" fontId="17" fillId="4" borderId="0" xfId="0" applyNumberFormat="1" applyFont="1" applyFill="1" applyAlignment="1"/>
    <xf numFmtId="49" fontId="17" fillId="0" borderId="0" xfId="0" applyNumberFormat="1" applyFont="1" applyAlignment="1"/>
    <xf numFmtId="49" fontId="73" fillId="0" borderId="0" xfId="0" applyNumberFormat="1" applyFont="1" applyAlignment="1"/>
    <xf numFmtId="49" fontId="73" fillId="0" borderId="0" xfId="0" applyNumberFormat="1" applyFont="1" applyAlignment="1">
      <alignment horizontal="left"/>
    </xf>
    <xf numFmtId="0" fontId="74" fillId="0" borderId="0" xfId="0" applyFont="1"/>
    <xf numFmtId="49" fontId="75" fillId="0" borderId="0" xfId="0" applyNumberFormat="1" applyFont="1" applyAlignment="1">
      <alignment horizontal="left"/>
    </xf>
    <xf numFmtId="49" fontId="76" fillId="0" borderId="0" xfId="0" applyNumberFormat="1" applyFont="1" applyAlignment="1"/>
    <xf numFmtId="0" fontId="76" fillId="0" borderId="0" xfId="0" applyFont="1" applyAlignment="1">
      <alignment horizontal="left"/>
    </xf>
    <xf numFmtId="0" fontId="76" fillId="0" borderId="0" xfId="0" applyFont="1"/>
    <xf numFmtId="0" fontId="76" fillId="4" borderId="0" xfId="0" applyFont="1" applyFill="1" applyAlignment="1"/>
    <xf numFmtId="0" fontId="76" fillId="0" borderId="0" xfId="0" applyFont="1" applyAlignment="1"/>
    <xf numFmtId="49" fontId="76" fillId="0" borderId="0" xfId="0" applyNumberFormat="1" applyFont="1" applyAlignment="1">
      <alignment horizontal="left"/>
    </xf>
    <xf numFmtId="0" fontId="76" fillId="4" borderId="0" xfId="0" applyFont="1" applyFill="1"/>
    <xf numFmtId="49" fontId="76" fillId="0" borderId="0" xfId="0" applyNumberFormat="1" applyFont="1" applyAlignment="1">
      <alignment horizontal="left"/>
    </xf>
    <xf numFmtId="49" fontId="76" fillId="4" borderId="0" xfId="0" applyNumberFormat="1" applyFont="1" applyFill="1"/>
    <xf numFmtId="0" fontId="77" fillId="16" borderId="0" xfId="0" applyFont="1" applyFill="1" applyAlignment="1">
      <alignment horizontal="left"/>
    </xf>
    <xf numFmtId="0" fontId="17" fillId="0" borderId="0" xfId="0" applyFont="1" applyAlignment="1">
      <alignment horizontal="left"/>
    </xf>
    <xf numFmtId="170" fontId="17" fillId="0" borderId="0" xfId="0" applyNumberFormat="1" applyFont="1" applyAlignment="1">
      <alignment horizontal="left"/>
    </xf>
    <xf numFmtId="0" fontId="17" fillId="0" borderId="0" xfId="0" applyFont="1" applyAlignment="1">
      <alignment horizontal="left"/>
    </xf>
    <xf numFmtId="0" fontId="56" fillId="12" borderId="10" xfId="0" applyFont="1" applyFill="1" applyBorder="1" applyAlignment="1">
      <alignment horizontal="center" vertical="center"/>
    </xf>
    <xf numFmtId="0" fontId="61" fillId="0" borderId="13" xfId="0" applyFont="1" applyBorder="1"/>
    <xf numFmtId="0" fontId="61" fillId="0" borderId="11" xfId="0" applyFont="1" applyBorder="1"/>
  </cellXfs>
  <cellStyles count="1">
    <cellStyle name="Normal" xfId="0" builtinId="0"/>
  </cellStyles>
  <dxfs count="10">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D9EAD3"/>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cs.google.com/spreadsheets/d/1ybr1H_F3VafYjUXw0pIRqd9tGjLKOv6u3NHrKqpY8Dw/edit?usp=sharing" TargetMode="External"/><Relationship Id="rId21" Type="http://schemas.openxmlformats.org/officeDocument/2006/relationships/hyperlink" Target="https://docs.google.com/spreadsheets/d/1piIKCWcYRtObTPxWFzjcCR93uDEkaJEvhgkyYYVTDiA/edit?usp=sharing" TargetMode="External"/><Relationship Id="rId42" Type="http://schemas.openxmlformats.org/officeDocument/2006/relationships/hyperlink" Target="https://docs.google.com/spreadsheets/d/17PsxxldelIDJR0-CkxURkSZIQQm0iuwhzpIP6msPsoA/edit?usp=sharing" TargetMode="External"/><Relationship Id="rId63" Type="http://schemas.openxmlformats.org/officeDocument/2006/relationships/hyperlink" Target="https://docs.google.com/spreadsheets/d/1hmsPdvfszkajV0ClbL57ETPe0DR1_NLsmSJqpiAtHQA/edit?usp=sharing" TargetMode="External"/><Relationship Id="rId84" Type="http://schemas.openxmlformats.org/officeDocument/2006/relationships/hyperlink" Target="https://docs.google.com/spreadsheets/d/1DMm9Dhs3Ye7SiQEwp6g8rTcZ3GBUmQ9IRkDpYNFxFws/edit?usp=sharing" TargetMode="External"/><Relationship Id="rId138" Type="http://schemas.openxmlformats.org/officeDocument/2006/relationships/hyperlink" Target="https://docs.google.com/spreadsheets/d/189JYP8pOM-3LgJ7DYecLQsVDVbTGLT-AdZHDhS6_5DU/edit?usp=sharing" TargetMode="External"/><Relationship Id="rId159" Type="http://schemas.openxmlformats.org/officeDocument/2006/relationships/hyperlink" Target="https://docs.google.com/spreadsheets/d/16g67NRfgCF8ehw1YfhAmVCuMiRUlOniHnNYCplGioxk/edit?usp=sharing" TargetMode="External"/><Relationship Id="rId170" Type="http://schemas.openxmlformats.org/officeDocument/2006/relationships/hyperlink" Target="https://docs.google.com/spreadsheets/d/1nK_EumNN28pHO1Dit3v63MMaCpUBM4Mc-lKiB0oOZP8/edit?usp=sharing" TargetMode="External"/><Relationship Id="rId191" Type="http://schemas.openxmlformats.org/officeDocument/2006/relationships/hyperlink" Target="https://docs.google.com/spreadsheets/d/1xVlVYugZmcUKhlOcvJ8H8tisot_YwruzojWooqap0Zc/edit?usp=sharing" TargetMode="External"/><Relationship Id="rId205" Type="http://schemas.openxmlformats.org/officeDocument/2006/relationships/hyperlink" Target="https://docs.google.com/spreadsheets/d/1lkbbaBWKjixtRBM07hEWvaG2BVCMuzUHtFaDqXURpho/edit?usp=sharing" TargetMode="External"/><Relationship Id="rId226" Type="http://schemas.openxmlformats.org/officeDocument/2006/relationships/hyperlink" Target="https://docs.google.com/spreadsheets/d/1yZy7r9Ag0Zi_PJ2lfsVD_mbMAE_3JxmxLED0cKJ-WxA/edit?usp=sharing" TargetMode="External"/><Relationship Id="rId247" Type="http://schemas.openxmlformats.org/officeDocument/2006/relationships/hyperlink" Target="https://docs.google.com/spreadsheets/d/1OpjbfcrVR0Dicf7iiVzTdgsKlSgM87ZHTRx8epIUHl4/edit?usp=sharing" TargetMode="External"/><Relationship Id="rId107" Type="http://schemas.openxmlformats.org/officeDocument/2006/relationships/hyperlink" Target="https://docs.google.com/spreadsheets/d/1QF9dmzfOf-yvT47t60v4zrqXyJV905wwasuvmGZxFdc/edit?usp=sharing" TargetMode="External"/><Relationship Id="rId11" Type="http://schemas.openxmlformats.org/officeDocument/2006/relationships/hyperlink" Target="https://docs.google.com/spreadsheets/d/1v362clBsPmm9qvUaIApUEgz3WySEDohrR9_XbbcUj3s/edit?usp=sharing" TargetMode="External"/><Relationship Id="rId32" Type="http://schemas.openxmlformats.org/officeDocument/2006/relationships/hyperlink" Target="https://docs.google.com/spreadsheets/d/15NKDEu4y-lvaRuhCNLpojrjP99gZw3f0J1cual1J5Pk/edit?usp=sharing" TargetMode="External"/><Relationship Id="rId53" Type="http://schemas.openxmlformats.org/officeDocument/2006/relationships/hyperlink" Target="https://docs.google.com/spreadsheets/d/1H5sbBiIu0YBnInaGTUZRej9Bi1ij-wnFqSYIaWOuzqY/edit?usp=sharing" TargetMode="External"/><Relationship Id="rId74" Type="http://schemas.openxmlformats.org/officeDocument/2006/relationships/hyperlink" Target="https://docs.google.com/spreadsheets/d/1egCx1pQX3OyWz0B7-HLA2BnnBUsOaUPaPt89mJaPzsM/edit?usp=sharing" TargetMode="External"/><Relationship Id="rId128" Type="http://schemas.openxmlformats.org/officeDocument/2006/relationships/hyperlink" Target="https://docs.google.com/spreadsheets/d/1cOi61p27_vU4qd_hFj-XosDkHywYK41lPzHx9HgvR-U/edit?usp=sharing" TargetMode="External"/><Relationship Id="rId149" Type="http://schemas.openxmlformats.org/officeDocument/2006/relationships/hyperlink" Target="https://docs.google.com/spreadsheets/d/1fyHgQJewBwVW1zkxtXZYf7G5lKnXiDraZoYIo9YGQus/edit?usp=sharing" TargetMode="External"/><Relationship Id="rId5" Type="http://schemas.openxmlformats.org/officeDocument/2006/relationships/hyperlink" Target="https://docs.google.com/spreadsheets/d/1DD-TOwSyA-v4Q8MPujzdP7Tza5acWtTGc3EHt0DzqLU/edit?usp=sharing" TargetMode="External"/><Relationship Id="rId95" Type="http://schemas.openxmlformats.org/officeDocument/2006/relationships/hyperlink" Target="https://docs.google.com/spreadsheets/d/18sU50XZIVQ5EfzUkltocIeyIuAMAKsjiVFCd7z6JDDU/edit?usp=sharing" TargetMode="External"/><Relationship Id="rId160" Type="http://schemas.openxmlformats.org/officeDocument/2006/relationships/hyperlink" Target="https://docs.google.com/spreadsheets/d/190sAbEc09L5MxQSkFk6BXAWVy-aLm_fg21pfpeUbVPE/edit?usp=sharing" TargetMode="External"/><Relationship Id="rId181" Type="http://schemas.openxmlformats.org/officeDocument/2006/relationships/hyperlink" Target="https://docs.google.com/spreadsheets/d/1mGmb1Z3DWle4MT-z7qkpMEPHb4N_AYuAnj9oZUe-m_k/edit?usp=sharing" TargetMode="External"/><Relationship Id="rId216" Type="http://schemas.openxmlformats.org/officeDocument/2006/relationships/hyperlink" Target="https://docs.google.com/spreadsheets/d/1hRvVR5FjgrMprKa2HkMel5OjjpWpYiDYRB18rZSXmVc/edit?usp=sharing" TargetMode="External"/><Relationship Id="rId237" Type="http://schemas.openxmlformats.org/officeDocument/2006/relationships/hyperlink" Target="https://docs.google.com/spreadsheets/d/1FLbf9cZVqWgEKDiI7X4pPrl8mMjXTZmzKIHy06zWmk4/edit?usp=sharing" TargetMode="External"/><Relationship Id="rId258" Type="http://schemas.openxmlformats.org/officeDocument/2006/relationships/hyperlink" Target="https://docs.google.com/spreadsheets/d/1YIPS8dXbULVODyUrb6C0myVGYscVbrc03vUeVBY46q0/edit?usp=sharing" TargetMode="External"/><Relationship Id="rId22" Type="http://schemas.openxmlformats.org/officeDocument/2006/relationships/hyperlink" Target="https://docs.google.com/spreadsheets/d/1zoY2GfGACT_JDmrfa4cq1Bdocs6rJxla_Kow9YahTM0/edit?usp=sharing" TargetMode="External"/><Relationship Id="rId43" Type="http://schemas.openxmlformats.org/officeDocument/2006/relationships/hyperlink" Target="https://docs.google.com/spreadsheets/d/1zqokSKOb6JOQLZrm6FvxsweTiaC2PdkGUx_chNhdsPE/edit?usp=sharing" TargetMode="External"/><Relationship Id="rId64" Type="http://schemas.openxmlformats.org/officeDocument/2006/relationships/hyperlink" Target="https://docs.google.com/spreadsheets/d/1GkkPvWvYiMk63ZuLT1OJ-be8KADe4y2WNf-Li5m7LtU/edit?usp=sharing" TargetMode="External"/><Relationship Id="rId118" Type="http://schemas.openxmlformats.org/officeDocument/2006/relationships/hyperlink" Target="https://docs.google.com/spreadsheets/d/1WyaqW7ySU83SFuzKXBt8sDlwqA8tQKQPd59RHjRtjgI/edit?usp=sharing" TargetMode="External"/><Relationship Id="rId139" Type="http://schemas.openxmlformats.org/officeDocument/2006/relationships/hyperlink" Target="https://docs.google.com/spreadsheets/d/1D88_tekpUpqqGHKRPF84l3FoLEQHcUXS13nxXCY0K7Q/edit?usp=sharing" TargetMode="External"/><Relationship Id="rId85" Type="http://schemas.openxmlformats.org/officeDocument/2006/relationships/hyperlink" Target="https://docs.google.com/spreadsheets/d/1uakPBA8eoq7rZrtQDf0KXjCIdeU-aOME5APnqB5EADw/edit?usp=sharing" TargetMode="External"/><Relationship Id="rId150" Type="http://schemas.openxmlformats.org/officeDocument/2006/relationships/hyperlink" Target="https://docs.google.com/spreadsheets/d/1v7VpWD9Zv98mMd44wVcu-wCuWV1AJMTL26_KCFFJmGE/edit?usp=sharing" TargetMode="External"/><Relationship Id="rId171" Type="http://schemas.openxmlformats.org/officeDocument/2006/relationships/hyperlink" Target="https://docs.google.com/spreadsheets/d/13qGhFm7szjlGMrch5DhwnX1yMyZ-joPzCWcVzTwq5K0/edit?usp=sharing" TargetMode="External"/><Relationship Id="rId192" Type="http://schemas.openxmlformats.org/officeDocument/2006/relationships/hyperlink" Target="https://docs.google.com/spreadsheets/d/1rmhrUqFI2MR0BJTgrqTgOsJ8hXfo2EwgtPHYqmZ2k3c/edit?usp=sharing" TargetMode="External"/><Relationship Id="rId206" Type="http://schemas.openxmlformats.org/officeDocument/2006/relationships/hyperlink" Target="https://docs.google.com/spreadsheets/d/1DxTv8QVt6ISpqKtPeSKkpHAb_wTWk06IzyzubEKZIcY/edit?usp=sharing" TargetMode="External"/><Relationship Id="rId227" Type="http://schemas.openxmlformats.org/officeDocument/2006/relationships/hyperlink" Target="https://docs.google.com/spreadsheets/d/1hTvKc3wryP6eeewzcdVSf83v8CE2vf2cKpAeoyNXqkM/edit?usp=sharing" TargetMode="External"/><Relationship Id="rId248" Type="http://schemas.openxmlformats.org/officeDocument/2006/relationships/hyperlink" Target="https://docs.google.com/spreadsheets/d/1SoJ4ijtBOMoMJAuxhYyX6IpRAbP-LQtX30KwdHqBlMQ/edit?usp=sharing" TargetMode="External"/><Relationship Id="rId12" Type="http://schemas.openxmlformats.org/officeDocument/2006/relationships/hyperlink" Target="https://docs.google.com/spreadsheets/d/1FHSuxjOvCMa6K_F0iwb66J6anEd1JL3H5LnwZbey3H4/edit?usp=sharing" TargetMode="External"/><Relationship Id="rId33" Type="http://schemas.openxmlformats.org/officeDocument/2006/relationships/hyperlink" Target="https://docs.google.com/spreadsheets/d/13znKZslF_ZRmBUSlpVy4KEg8y8u-M1AejpUZuEf7mgc/edit?usp=sharing" TargetMode="External"/><Relationship Id="rId108" Type="http://schemas.openxmlformats.org/officeDocument/2006/relationships/hyperlink" Target="https://docs.google.com/spreadsheets/d/1FS7BtxgfaeJfZNwWYqTorIKNIMFeNeyIMcyGPa1z3B0/edit?usp=sharing" TargetMode="External"/><Relationship Id="rId129" Type="http://schemas.openxmlformats.org/officeDocument/2006/relationships/hyperlink" Target="https://docs.google.com/spreadsheets/d/1cSXsaMCGhgsifFyzfmnDbCDkd9irE_G6tNdXTRft_5g/edit?usp=sharing" TargetMode="External"/><Relationship Id="rId54" Type="http://schemas.openxmlformats.org/officeDocument/2006/relationships/hyperlink" Target="https://docs.google.com/spreadsheets/d/1jv0JufvOv7jDbp1VwMuyTgmEKilLgu3AAV8FkQT-uFQ/edit?usp=sharing" TargetMode="External"/><Relationship Id="rId75" Type="http://schemas.openxmlformats.org/officeDocument/2006/relationships/hyperlink" Target="https://docs.google.com/spreadsheets/d/1d4T0pr0o4jt74Ckns1J5TqdgW8jCt81bFvbYsitmTHA/edit?usp=sharing" TargetMode="External"/><Relationship Id="rId96" Type="http://schemas.openxmlformats.org/officeDocument/2006/relationships/hyperlink" Target="https://docs.google.com/spreadsheets/d/1iDBgxw094pZlbnJvXCGXVXOmTB4WLcypc6vhP6tyKqY/edit?usp=sharing" TargetMode="External"/><Relationship Id="rId140" Type="http://schemas.openxmlformats.org/officeDocument/2006/relationships/hyperlink" Target="https://docs.google.com/spreadsheets/d/1CsvBiuH2wVA8OSh3FvCME6dC1X_o4-l2Hw7dOyiwOzI/edit?usp=sharing" TargetMode="External"/><Relationship Id="rId161" Type="http://schemas.openxmlformats.org/officeDocument/2006/relationships/hyperlink" Target="https://docs.google.com/spreadsheets/d/1aD7ZdNX6hZpTOtqF6_qUNKQ_7QlD9-BeUD36yTV71PQ/edit?usp=sharing" TargetMode="External"/><Relationship Id="rId182" Type="http://schemas.openxmlformats.org/officeDocument/2006/relationships/hyperlink" Target="https://docs.google.com/spreadsheets/d/1dbfdwZKlfnV-a1HqiE5L73IxFgJw2hWY3oikoYrz2mk/edit?usp=sharing" TargetMode="External"/><Relationship Id="rId217" Type="http://schemas.openxmlformats.org/officeDocument/2006/relationships/hyperlink" Target="https://docs.google.com/spreadsheets/d/145-ZUBWBK9eaiQtuiw5MxtxzVDokXLEpxxliuXBesA4/edit?usp=sharing" TargetMode="External"/><Relationship Id="rId6" Type="http://schemas.openxmlformats.org/officeDocument/2006/relationships/hyperlink" Target="https://docs.google.com/spreadsheets/d/1YXub-23tRDiiigh39d3LuY9LR9oRGnTanQSgEgDCDLs/edit?usp=sharing" TargetMode="External"/><Relationship Id="rId238" Type="http://schemas.openxmlformats.org/officeDocument/2006/relationships/hyperlink" Target="https://docs.google.com/spreadsheets/d/1i7IFMfVNmmPSthT-tlFwRuzWl0Q1d8O5xONVkZJna8s/edit?usp=sharing" TargetMode="External"/><Relationship Id="rId23" Type="http://schemas.openxmlformats.org/officeDocument/2006/relationships/hyperlink" Target="https://docs.google.com/spreadsheets/d/1-BbGtBjoYvZsLV_ircKgSews9V2qTtVs0kEM7mRYe40/edit?usp=sharing" TargetMode="External"/><Relationship Id="rId119" Type="http://schemas.openxmlformats.org/officeDocument/2006/relationships/hyperlink" Target="https://docs.google.com/spreadsheets/d/1PmxcpX3tYw_66sxhY0DHx61ZhO2PUKIe8n0nW-MwtzY/edit?usp=sharing" TargetMode="External"/><Relationship Id="rId44" Type="http://schemas.openxmlformats.org/officeDocument/2006/relationships/hyperlink" Target="https://docs.google.com/spreadsheets/d/16kXxcnfXHxu4beAF_s4rMhzN0M4aZHZVDgBcwiXXFa4/edit?usp=sharing" TargetMode="External"/><Relationship Id="rId65" Type="http://schemas.openxmlformats.org/officeDocument/2006/relationships/hyperlink" Target="https://docs.google.com/spreadsheets/d/1cAvreRdft0fTq-QA-WGnqECs-hLO2WksfRX1j5xYL3s/edit?usp=sharing" TargetMode="External"/><Relationship Id="rId86" Type="http://schemas.openxmlformats.org/officeDocument/2006/relationships/hyperlink" Target="https://docs.google.com/spreadsheets/d/1pkHAXMDZIG_7hGMKob4vrwNGSqt-JSpuagv3BR0YK7c/edit?usp=sharing" TargetMode="External"/><Relationship Id="rId130" Type="http://schemas.openxmlformats.org/officeDocument/2006/relationships/hyperlink" Target="https://docs.google.com/spreadsheets/d/1b_edDPDvSpFsN4sYlu4A2szCgehxplXM5KocjFh6a2I/edit?usp=sharing" TargetMode="External"/><Relationship Id="rId151" Type="http://schemas.openxmlformats.org/officeDocument/2006/relationships/hyperlink" Target="https://docs.google.com/spreadsheets/d/1wkD1hzMHbjnUzgborjc1fbOikzSnkKBrJohnolZSQCo/edit?usp=sharing" TargetMode="External"/><Relationship Id="rId172" Type="http://schemas.openxmlformats.org/officeDocument/2006/relationships/hyperlink" Target="https://docs.google.com/spreadsheets/d/108-X2rovFNJE1QCpnerrqwzdph2YkRNloHDP_xA8YYA/edit?usp=sharing" TargetMode="External"/><Relationship Id="rId193" Type="http://schemas.openxmlformats.org/officeDocument/2006/relationships/hyperlink" Target="https://docs.google.com/spreadsheets/d/1C863qwQK6OxZo4PtLl2nSacl15IjuPb1o8uHR43VFaU/edit?usp=sharing" TargetMode="External"/><Relationship Id="rId207" Type="http://schemas.openxmlformats.org/officeDocument/2006/relationships/hyperlink" Target="https://docs.google.com/spreadsheets/d/1kPUxarAFqeKz4iFeATryG3QEyU7UO4fts9dUE-pUbFY/edit?usp=sharing" TargetMode="External"/><Relationship Id="rId228" Type="http://schemas.openxmlformats.org/officeDocument/2006/relationships/hyperlink" Target="https://docs.google.com/spreadsheets/d/1bnS0v-mDAZsGWawSx4QwvqlmyEqCCpXIagiqkVS9wDs/edit?usp=sharing" TargetMode="External"/><Relationship Id="rId249" Type="http://schemas.openxmlformats.org/officeDocument/2006/relationships/hyperlink" Target="https://docs.google.com/spreadsheets/d/1_DtugtcLM4WcqqeTq33rtlVvH5N1He3NTKEZNU73Qxg/edit?usp=sharing" TargetMode="External"/><Relationship Id="rId13" Type="http://schemas.openxmlformats.org/officeDocument/2006/relationships/hyperlink" Target="https://docs.google.com/spreadsheets/d/1-DiJBXM_lb5IEXUd2mUknHtHp4wNgxlMCxkNVF-m7tw/edit?usp=sharing" TargetMode="External"/><Relationship Id="rId109" Type="http://schemas.openxmlformats.org/officeDocument/2006/relationships/hyperlink" Target="https://docs.google.com/spreadsheets/d/1hzVCniQZ7hcWcyBSbMgxejr2KseOvnqLdOHoCGyPXVU/edit?usp=sharing" TargetMode="External"/><Relationship Id="rId34" Type="http://schemas.openxmlformats.org/officeDocument/2006/relationships/hyperlink" Target="https://docs.google.com/spreadsheets/d/1qi-98A1JdyhAOqBUKBXHFYF2orohbtB8w92BAUoxdDE/edit?usp=sharing" TargetMode="External"/><Relationship Id="rId55" Type="http://schemas.openxmlformats.org/officeDocument/2006/relationships/hyperlink" Target="https://docs.google.com/spreadsheets/d/18UkqFESWO1gteDUhLa0BBxYGsQaQKvmwzyk6zj3PpIE/edit?usp=sharing" TargetMode="External"/><Relationship Id="rId76" Type="http://schemas.openxmlformats.org/officeDocument/2006/relationships/hyperlink" Target="https://docs.google.com/spreadsheets/d/1A4cXWJGrcYEa-WZFldSWwbKhM_EV18ETX5bP1q7vdR0/edit?usp=sharing" TargetMode="External"/><Relationship Id="rId97" Type="http://schemas.openxmlformats.org/officeDocument/2006/relationships/hyperlink" Target="https://docs.google.com/spreadsheets/d/1qnqmibx9pfnpNylThOR4P8Ca9KJO3wZgjuouyCLvG7M/edit?usp=sharing" TargetMode="External"/><Relationship Id="rId120" Type="http://schemas.openxmlformats.org/officeDocument/2006/relationships/hyperlink" Target="https://docs.google.com/spreadsheets/d/1GUl4Rc1jcb9Je1lLISY9TO_s8rWGnAuPPsloRViKjWc/edit?usp=sharing" TargetMode="External"/><Relationship Id="rId141" Type="http://schemas.openxmlformats.org/officeDocument/2006/relationships/hyperlink" Target="https://docs.google.com/spreadsheets/d/1qweNiWDiweEm6-a6QiTq0IGjgkMrNmDBHsPOsZzOmUs/edit?usp=sharing" TargetMode="External"/><Relationship Id="rId7" Type="http://schemas.openxmlformats.org/officeDocument/2006/relationships/hyperlink" Target="https://docs.google.com/spreadsheets/d/1IZDXey-4SC4NDB3OpMP0VFo7ccGgdDJA2gIl6kEkAJY/edit?usp=sharing" TargetMode="External"/><Relationship Id="rId162" Type="http://schemas.openxmlformats.org/officeDocument/2006/relationships/hyperlink" Target="https://docs.google.com/spreadsheets/d/1wN_mwL1SxLw2eYiH1j04sGiVVnAfnRp927p0lIj2NpE/edit?usp=sharing" TargetMode="External"/><Relationship Id="rId183" Type="http://schemas.openxmlformats.org/officeDocument/2006/relationships/hyperlink" Target="https://docs.google.com/spreadsheets/d/1NC3Iev_E3Y2gUZSX4JRFP3vhr4ArK5jaf886atL6tKU/edit?usp=sharing" TargetMode="External"/><Relationship Id="rId218" Type="http://schemas.openxmlformats.org/officeDocument/2006/relationships/hyperlink" Target="https://docs.google.com/spreadsheets/d/1wHRLFeIThKudXlFn2UWcOqSwMm0WDGI1LyxWz7WC1No/edit?usp=sharing" TargetMode="External"/><Relationship Id="rId239" Type="http://schemas.openxmlformats.org/officeDocument/2006/relationships/hyperlink" Target="https://docs.google.com/spreadsheets/d/1JCVajSnHlVNNt9XmffeXLe0N2OzyswA-qUb5aA48eWc/edit?usp=sharing" TargetMode="External"/><Relationship Id="rId250" Type="http://schemas.openxmlformats.org/officeDocument/2006/relationships/hyperlink" Target="https://docs.google.com/spreadsheets/d/1kEdKOlZsG2obXp0X243Dw9RoH21YRTz9uU5vG7BS_Qo/edit?usp=sharing" TargetMode="External"/><Relationship Id="rId24" Type="http://schemas.openxmlformats.org/officeDocument/2006/relationships/hyperlink" Target="https://docs.google.com/spreadsheets/d/1PSFwGb2wP4o8RRzuSZyUCQQqn-e5rsE1t7JzcxrEhC4/edit?usp=sharing" TargetMode="External"/><Relationship Id="rId45" Type="http://schemas.openxmlformats.org/officeDocument/2006/relationships/hyperlink" Target="https://docs.google.com/spreadsheets/d/1Vtj9WyDWtTGvfZvV_u2qEU7Gp3p5ZfSq4a1FlAAuwcA/edit?usp=sharing" TargetMode="External"/><Relationship Id="rId66" Type="http://schemas.openxmlformats.org/officeDocument/2006/relationships/hyperlink" Target="https://docs.google.com/spreadsheets/d/1Q8CwEkeTh5iXR-7-1R0HEmegrXuJ3BbI93JUUYU4h7A/edit?usp=sharing" TargetMode="External"/><Relationship Id="rId87" Type="http://schemas.openxmlformats.org/officeDocument/2006/relationships/hyperlink" Target="https://docs.google.com/spreadsheets/d/1xGDBZzYIgwibAtrNNMSDToy1opshLtKh_2dq_r9yAzQ/edit?usp=sharing" TargetMode="External"/><Relationship Id="rId110" Type="http://schemas.openxmlformats.org/officeDocument/2006/relationships/hyperlink" Target="https://docs.google.com/spreadsheets/d/12yzcVr0wiOnnsrC2VhCiDbbps8rTF9haSH0JWjAuzBM/edit?usp=sharing" TargetMode="External"/><Relationship Id="rId131" Type="http://schemas.openxmlformats.org/officeDocument/2006/relationships/hyperlink" Target="https://docs.google.com/spreadsheets/d/1IJ_ktvS_6eO0KqgMVdZ4MyUV21jBKi6mGBrRnv1FqGk/edit?usp=sharing" TargetMode="External"/><Relationship Id="rId152" Type="http://schemas.openxmlformats.org/officeDocument/2006/relationships/hyperlink" Target="https://docs.google.com/spreadsheets/d/1JdydeUglXkcfpd3_ehucRm34IOh8Eb-0X-1MkDjhav8/edit?usp=sharing" TargetMode="External"/><Relationship Id="rId173" Type="http://schemas.openxmlformats.org/officeDocument/2006/relationships/hyperlink" Target="https://docs.google.com/spreadsheets/d/1Twav2oB_8eqIp3jvONupZmXGlcIcqnhgEhcm3KjMMj4/edit?usp=sharing" TargetMode="External"/><Relationship Id="rId194" Type="http://schemas.openxmlformats.org/officeDocument/2006/relationships/hyperlink" Target="https://docs.google.com/spreadsheets/d/1Beyy_bxvZ8J2eLhitR3c2goSxcbAoJOPUZyzt4X426M/edit?usp=sharing" TargetMode="External"/><Relationship Id="rId208" Type="http://schemas.openxmlformats.org/officeDocument/2006/relationships/hyperlink" Target="https://docs.google.com/spreadsheets/d/1FJzjqpJaMgkRFHl7596Y5DXHHB_kXl7drOzEvYIKgis/edit?usp=sharing" TargetMode="External"/><Relationship Id="rId229" Type="http://schemas.openxmlformats.org/officeDocument/2006/relationships/hyperlink" Target="https://docs.google.com/spreadsheets/d/1Mu-RnGii_V3v40uBUGPKh4J4XnN9q3fvuu70LSoqAFc/edit?usp=sharing" TargetMode="External"/><Relationship Id="rId240" Type="http://schemas.openxmlformats.org/officeDocument/2006/relationships/hyperlink" Target="https://docs.google.com/spreadsheets/d/1wpT4zgp-YuwZb5MqBWCV2NCCoUdoEw3rAZIPLUR4Qro/edit?usp=sharing" TargetMode="External"/><Relationship Id="rId14" Type="http://schemas.openxmlformats.org/officeDocument/2006/relationships/hyperlink" Target="https://docs.google.com/spreadsheets/d/1Edfr7VLAolcTWN_WbuDe2C4GSr7DDQNb4fVrwxLfkzQ/edit?usp=sharing" TargetMode="External"/><Relationship Id="rId35" Type="http://schemas.openxmlformats.org/officeDocument/2006/relationships/hyperlink" Target="https://docs.google.com/spreadsheets/d/1Rqt2SicU-8Rpq78IodnOrej4INfG1FwkYz0bigPboXU/edit?usp=sharing" TargetMode="External"/><Relationship Id="rId56" Type="http://schemas.openxmlformats.org/officeDocument/2006/relationships/hyperlink" Target="https://docs.google.com/spreadsheets/d/1b3aRrv8A95vRPEM55VLFzFKgJU5aLGGpvS6tScsjlpI/edit?usp=sharing" TargetMode="External"/><Relationship Id="rId77" Type="http://schemas.openxmlformats.org/officeDocument/2006/relationships/hyperlink" Target="https://docs.google.com/spreadsheets/d/1WH-fZFfvh2zpbuhqMae-MPmD1ekQMM1g3FzlyxgpDDg/edit?usp=sharing" TargetMode="External"/><Relationship Id="rId100" Type="http://schemas.openxmlformats.org/officeDocument/2006/relationships/hyperlink" Target="https://docs.google.com/spreadsheets/d/19VwwfBfAMtitF2gs-eYslXGprp56jJbY6RcF61aak9s/edit?usp=sharing" TargetMode="External"/><Relationship Id="rId8" Type="http://schemas.openxmlformats.org/officeDocument/2006/relationships/hyperlink" Target="https://docs.google.com/spreadsheets/d/1ML9bAzPQlXNNJXHIRzmnyeERV9mgJZg36adWuXknOZU/edit?usp=sharing" TargetMode="External"/><Relationship Id="rId98" Type="http://schemas.openxmlformats.org/officeDocument/2006/relationships/hyperlink" Target="https://docs.google.com/spreadsheets/d/1F-19RLloMtxHtRClE0-zayGRxh4F4FvtBhCfquitqWI/edit?usp=sharing" TargetMode="External"/><Relationship Id="rId121" Type="http://schemas.openxmlformats.org/officeDocument/2006/relationships/hyperlink" Target="https://docs.google.com/spreadsheets/d/1dCjSv7VDNUptlr5UsSnjhlXNHNp9Kr5bDrDdtA11hQU/edit?usp=sharing" TargetMode="External"/><Relationship Id="rId142" Type="http://schemas.openxmlformats.org/officeDocument/2006/relationships/hyperlink" Target="https://docs.google.com/spreadsheets/d/1EVAnmJ2nv1C-AagPN5jBTzeNyDBLEu4ux5aypNiIfpU/edit?usp=sharing" TargetMode="External"/><Relationship Id="rId163" Type="http://schemas.openxmlformats.org/officeDocument/2006/relationships/hyperlink" Target="https://docs.google.com/spreadsheets/d/1yq0s2iAhkQPouDEbSz5r3luDu_pdEDhD0cDjIsW1Qt0/edit?usp=sharing" TargetMode="External"/><Relationship Id="rId184" Type="http://schemas.openxmlformats.org/officeDocument/2006/relationships/hyperlink" Target="https://docs.google.com/spreadsheets/d/1MKGV3l6vnf43-FCUnml4bbJBOlMKMcENfgbmpZmy8PY/edit?usp=sharing" TargetMode="External"/><Relationship Id="rId219" Type="http://schemas.openxmlformats.org/officeDocument/2006/relationships/hyperlink" Target="https://docs.google.com/spreadsheets/d/1kEFm461HYWSRvdyufwDKFGSmwK4IfKZtUSAqfb7t0uY/edit?usp=sharing" TargetMode="External"/><Relationship Id="rId230" Type="http://schemas.openxmlformats.org/officeDocument/2006/relationships/hyperlink" Target="https://docs.google.com/spreadsheets/d/19aDWoYdfoCU4GlRHQ5O7xsApWEuUkR4Q80-Bm8m1Kgc/edit?usp=sharing" TargetMode="External"/><Relationship Id="rId251" Type="http://schemas.openxmlformats.org/officeDocument/2006/relationships/hyperlink" Target="https://docs.google.com/spreadsheets/d/1aDaSZe31FZtPKOLRC2oAkpsSycceIUDhL9Q45ngTl40/edit?usp=sharing" TargetMode="External"/><Relationship Id="rId25" Type="http://schemas.openxmlformats.org/officeDocument/2006/relationships/hyperlink" Target="https://docs.google.com/spreadsheets/d/1JMRnu1xRCbzdu48qbKi-ouVdHUQC-4tjhxehJ1ctG1k/edit?usp=sharing" TargetMode="External"/><Relationship Id="rId46" Type="http://schemas.openxmlformats.org/officeDocument/2006/relationships/hyperlink" Target="https://docs.google.com/spreadsheets/d/1nyPxwVSFLgYw9dNyolttLWMNkbk-aWkMgBIpy-6Bi9w/edit?usp=sharing" TargetMode="External"/><Relationship Id="rId67" Type="http://schemas.openxmlformats.org/officeDocument/2006/relationships/hyperlink" Target="https://docs.google.com/spreadsheets/d/1cHn-rL1IhLlGFUmDPRwSOthonDL2l9v8P-G5qbU6uqQ/edit?usp=sharing" TargetMode="External"/><Relationship Id="rId88" Type="http://schemas.openxmlformats.org/officeDocument/2006/relationships/hyperlink" Target="https://docs.google.com/spreadsheets/d/13oeaUsFtM16envfKtwa3v7TTGzG-9q2d8g7YemqN8h8/edit?usp=sharing" TargetMode="External"/><Relationship Id="rId111" Type="http://schemas.openxmlformats.org/officeDocument/2006/relationships/hyperlink" Target="https://docs.google.com/spreadsheets/d/1njXIx_CqKRublcr1PHes3OWwtieXCGTmv8YTx2GIV2w/edit?usp=sharing" TargetMode="External"/><Relationship Id="rId132" Type="http://schemas.openxmlformats.org/officeDocument/2006/relationships/hyperlink" Target="https://docs.google.com/spreadsheets/d/16Xq3FD6Bzc0XDifJHwiRJ4GyWhDnrV9YlnSzV4URG7Y/edit?usp=sharing" TargetMode="External"/><Relationship Id="rId153" Type="http://schemas.openxmlformats.org/officeDocument/2006/relationships/hyperlink" Target="https://docs.google.com/spreadsheets/d/1CFvuX603CD97lTFHLlJx4SbUmewtEFh5X97WJP7D7OY/edit?usp=sharing" TargetMode="External"/><Relationship Id="rId174" Type="http://schemas.openxmlformats.org/officeDocument/2006/relationships/hyperlink" Target="https://docs.google.com/spreadsheets/d/1z4EPq-wsOt6bBmDjh1Rj-w7OKTTB1sIGFf4Ho8V_wmw/edit?usp=sharing" TargetMode="External"/><Relationship Id="rId195" Type="http://schemas.openxmlformats.org/officeDocument/2006/relationships/hyperlink" Target="https://docs.google.com/spreadsheets/d/1myYUilu7QzYBbXzZCey1WfXBDtmp4ZnCU1kdp95j2pc/edit?usp=sharing" TargetMode="External"/><Relationship Id="rId209" Type="http://schemas.openxmlformats.org/officeDocument/2006/relationships/hyperlink" Target="https://docs.google.com/spreadsheets/d/1TkWCLivRf-MIkyYfcm-4GaGdiSazAijcZ2dyTKyg5nU/edit?usp=sharing" TargetMode="External"/><Relationship Id="rId220" Type="http://schemas.openxmlformats.org/officeDocument/2006/relationships/hyperlink" Target="https://docs.google.com/spreadsheets/d/1WMWbsRLQYwzUW75wsgS_xhsa9FlvOsuPPmHMTXQJDSo/edit?usp=sharing" TargetMode="External"/><Relationship Id="rId241" Type="http://schemas.openxmlformats.org/officeDocument/2006/relationships/hyperlink" Target="https://docs.google.com/spreadsheets/d/1cHGTS0HkEyV8vYKl35-3e_o-hkJ5C_21KQs-h-pApa4/edit?usp=sharing" TargetMode="External"/><Relationship Id="rId15" Type="http://schemas.openxmlformats.org/officeDocument/2006/relationships/hyperlink" Target="https://docs.google.com/spreadsheets/d/1NogmyCdkXWqiVPUKA7IaFtQaBlwJzi4g2W_9b2kPC_Y/edit?usp=sharing" TargetMode="External"/><Relationship Id="rId36" Type="http://schemas.openxmlformats.org/officeDocument/2006/relationships/hyperlink" Target="https://docs.google.com/spreadsheets/d/1WvzBCMBzdM8x7YquttnwlbjLZvGnmZ_ZcN7G2gsF8XU/edit?usp=sharing" TargetMode="External"/><Relationship Id="rId57" Type="http://schemas.openxmlformats.org/officeDocument/2006/relationships/hyperlink" Target="https://docs.google.com/spreadsheets/d/1IeYHSFLM1L-pP2SzV1NYWpCYDR3Ex2_haCyT_p_CfB4/edit?usp=sharing" TargetMode="External"/><Relationship Id="rId78" Type="http://schemas.openxmlformats.org/officeDocument/2006/relationships/hyperlink" Target="https://docs.google.com/spreadsheets/d/11xH_-j-DOtY99duPHpeyZ2RFWHt4re9JPzzo7uR5S4g/edit?usp=sharing" TargetMode="External"/><Relationship Id="rId99" Type="http://schemas.openxmlformats.org/officeDocument/2006/relationships/hyperlink" Target="https://docs.google.com/spreadsheets/d/1mQl4Bpf7lKXnSnDkB-RXPsrZrcS-ciG4Pazs6WR2OBg/edit?usp=sharing" TargetMode="External"/><Relationship Id="rId101" Type="http://schemas.openxmlformats.org/officeDocument/2006/relationships/hyperlink" Target="https://docs.google.com/spreadsheets/d/18MEX-GSdDqVqG1QpUzEsZqiO23ACAhWZSoZKSigr5A0/edit?usp=sharing" TargetMode="External"/><Relationship Id="rId122" Type="http://schemas.openxmlformats.org/officeDocument/2006/relationships/hyperlink" Target="https://docs.google.com/spreadsheets/d/1vAYM-yZYtbZb6a6QvFD13co_EGFCSq3tfKzPgCzW52c/edit?usp=sharing" TargetMode="External"/><Relationship Id="rId143" Type="http://schemas.openxmlformats.org/officeDocument/2006/relationships/hyperlink" Target="https://docs.google.com/spreadsheets/d/1zZ2oLwg9DUsHBOW1gCy9GPwRi_XaCiUnlVbrXdgSV70/edit?usp=sharing" TargetMode="External"/><Relationship Id="rId164" Type="http://schemas.openxmlformats.org/officeDocument/2006/relationships/hyperlink" Target="https://docs.google.com/spreadsheets/d/1fpn4vBXUY3XZyobhqE7kOSm_U0xeujnSJZRnvpQoMEU/edit?usp=sharing" TargetMode="External"/><Relationship Id="rId185" Type="http://schemas.openxmlformats.org/officeDocument/2006/relationships/hyperlink" Target="https://docs.google.com/spreadsheets/d/1wjLoPYc2DUgWsFbMvXlxPl9mfdLGBkD2T0-KyqW82tk/edit?usp=sharing" TargetMode="External"/><Relationship Id="rId9" Type="http://schemas.openxmlformats.org/officeDocument/2006/relationships/hyperlink" Target="https://docs.google.com/spreadsheets/d/1VW2Mw3KREhqHKh-cnTnT-Z48fnLyvOsNvBOzFDXL3H4/edit?usp=sharing" TargetMode="External"/><Relationship Id="rId210" Type="http://schemas.openxmlformats.org/officeDocument/2006/relationships/hyperlink" Target="https://docs.google.com/spreadsheets/d/1PrdCJEhfxMxu5onL8GSolOw_MnKQrXphP94o-9jtZL8/edit?usp=sharing" TargetMode="External"/><Relationship Id="rId26" Type="http://schemas.openxmlformats.org/officeDocument/2006/relationships/hyperlink" Target="https://docs.google.com/spreadsheets/d/1A0gOjq2-LPbg6CorOQk0lPx5SahgN8eTJ30fS-4YGoI/edit?usp=sharing" TargetMode="External"/><Relationship Id="rId231" Type="http://schemas.openxmlformats.org/officeDocument/2006/relationships/hyperlink" Target="https://docs.google.com/spreadsheets/d/1ZSM5MWq4A2_EX21MzXReWys5jqp_d63FfBxa-fhMaQY/edit?usp=sharing" TargetMode="External"/><Relationship Id="rId252" Type="http://schemas.openxmlformats.org/officeDocument/2006/relationships/hyperlink" Target="https://docs.google.com/spreadsheets/d/1QvBTKdF7RqFLQF4f0QtBAYdyUDM5Q2lpGobh-WgE93o/edit?usp=sharing" TargetMode="External"/><Relationship Id="rId47" Type="http://schemas.openxmlformats.org/officeDocument/2006/relationships/hyperlink" Target="https://docs.google.com/spreadsheets/d/1XpHQliaICMqBw8Ei4vcJGYMoXJ-TNnyjp3YTsrB9VhM/edit?usp=sharing" TargetMode="External"/><Relationship Id="rId68" Type="http://schemas.openxmlformats.org/officeDocument/2006/relationships/hyperlink" Target="https://docs.google.com/spreadsheets/d/1mkVqppfT_FtfVba46x4gawzgwFQAXXZarQ3UI3Ya8mM/edit?usp=sharing" TargetMode="External"/><Relationship Id="rId89" Type="http://schemas.openxmlformats.org/officeDocument/2006/relationships/hyperlink" Target="https://docs.google.com/spreadsheets/d/1Sub6E7kDCBsSC7tTggEaK6dSLWoRXzMFVh0kvYencJk/edit?usp=sharing" TargetMode="External"/><Relationship Id="rId112" Type="http://schemas.openxmlformats.org/officeDocument/2006/relationships/hyperlink" Target="https://docs.google.com/spreadsheets/d/1qNonW9WBwZmJ7IpX2pYJ7Jzg70okEzoszPAoti9sB2U/edit?usp=sharing" TargetMode="External"/><Relationship Id="rId133" Type="http://schemas.openxmlformats.org/officeDocument/2006/relationships/hyperlink" Target="https://docs.google.com/spreadsheets/d/1UsRY_w7LMpPL5LFHxfK6Wmc3F5LDg1Do1ViAooxs3qE/edit?usp=sharing" TargetMode="External"/><Relationship Id="rId154" Type="http://schemas.openxmlformats.org/officeDocument/2006/relationships/hyperlink" Target="https://docs.google.com/spreadsheets/d/1COfhwW9RW4jaRRnnTvheqDhmuMcr7k8xNxrxVqYxu3A/edit?usp=sharing" TargetMode="External"/><Relationship Id="rId175" Type="http://schemas.openxmlformats.org/officeDocument/2006/relationships/hyperlink" Target="https://docs.google.com/spreadsheets/d/11JWAbOtCqfFfUUXamUGNkco20UtaIT2Yvgk7DzXcIe0/edit?usp=sharing" TargetMode="External"/><Relationship Id="rId196" Type="http://schemas.openxmlformats.org/officeDocument/2006/relationships/hyperlink" Target="https://docs.google.com/spreadsheets/d/1u4e8NyqoJjbJrTno1lBB_vdMy1nLbhDw21CEMm21DuI/edit?usp=sharing" TargetMode="External"/><Relationship Id="rId200" Type="http://schemas.openxmlformats.org/officeDocument/2006/relationships/hyperlink" Target="https://docs.google.com/spreadsheets/d/1-Z1n3i0_BgvIXAicP11VFBjZKwhZFU_pi75V0Ceq_vg/edit?usp=sharing" TargetMode="External"/><Relationship Id="rId16" Type="http://schemas.openxmlformats.org/officeDocument/2006/relationships/hyperlink" Target="https://docs.google.com/spreadsheets/d/1FKaT_HLM_ju53oS738AXDcLXf9BP43W7BtMERZGjSQc/edit?usp=sharing" TargetMode="External"/><Relationship Id="rId221" Type="http://schemas.openxmlformats.org/officeDocument/2006/relationships/hyperlink" Target="https://docs.google.com/spreadsheets/d/1raaeyPvOzq-jZ-INVaKApM-BhzGndM6cNxcggE4t9M4/edit?usp=sharing" TargetMode="External"/><Relationship Id="rId242" Type="http://schemas.openxmlformats.org/officeDocument/2006/relationships/hyperlink" Target="https://docs.google.com/spreadsheets/d/1L6_cxnjlXwP1Jcgh-vrz6cGXvWtzszVeksrc7ZEpZyk/edit?usp=sharing" TargetMode="External"/><Relationship Id="rId37" Type="http://schemas.openxmlformats.org/officeDocument/2006/relationships/hyperlink" Target="https://docs.google.com/spreadsheets/d/1778iC_BukWqeBork_Rejd4JF66KGpYAgG3djsmDsl_I/edit?usp=sharing" TargetMode="External"/><Relationship Id="rId58" Type="http://schemas.openxmlformats.org/officeDocument/2006/relationships/hyperlink" Target="https://docs.google.com/spreadsheets/d/1c09u3vOhXcduBarOxEezXPAxOtY2O-gSYcGhqMnhvsQ/edit?usp=sharing" TargetMode="External"/><Relationship Id="rId79" Type="http://schemas.openxmlformats.org/officeDocument/2006/relationships/hyperlink" Target="https://docs.google.com/spreadsheets/d/1oNFW7sI1fPIZrTXALqA6yhgtbHq011hNtoJ2uPuJXw8/edit?usp=sharing" TargetMode="External"/><Relationship Id="rId102" Type="http://schemas.openxmlformats.org/officeDocument/2006/relationships/hyperlink" Target="https://docs.google.com/spreadsheets/d/126S2XDX3ldTa6VqQNg6qGgWNeA37g2gAjDhS7ZYfsus/edit?usp=sharing" TargetMode="External"/><Relationship Id="rId123" Type="http://schemas.openxmlformats.org/officeDocument/2006/relationships/hyperlink" Target="https://docs.google.com/spreadsheets/d/1I8jH3ffEUsiDxFItE4p2sJBYmM29Esjrt-KpwYHHBy4/edit?usp=sharing" TargetMode="External"/><Relationship Id="rId144" Type="http://schemas.openxmlformats.org/officeDocument/2006/relationships/hyperlink" Target="https://docs.google.com/spreadsheets/d/1xQXd4rfb6fla0NYhPp_WiV5r5EVtW8sWepAlAyULfN8/edit?usp=sharing" TargetMode="External"/><Relationship Id="rId90" Type="http://schemas.openxmlformats.org/officeDocument/2006/relationships/hyperlink" Target="https://docs.google.com/spreadsheets/d/1clVxMhWLLsING7TAgDq8pkyr_VZPZQ4eb5SrF1X6JVY/edit?usp=sharing" TargetMode="External"/><Relationship Id="rId165" Type="http://schemas.openxmlformats.org/officeDocument/2006/relationships/hyperlink" Target="https://docs.google.com/spreadsheets/d/1tnbDzzLm_hEdK94GIztAwGqbMhmlUAMzPTEtycoN8nY/edit?usp=sharing" TargetMode="External"/><Relationship Id="rId186" Type="http://schemas.openxmlformats.org/officeDocument/2006/relationships/hyperlink" Target="https://docs.google.com/spreadsheets/d/10HRRaY0mBVNJIh2CDaQc4HTB3xuC0RO0AoU5QhbEdRU/edit?usp=sharing" TargetMode="External"/><Relationship Id="rId211" Type="http://schemas.openxmlformats.org/officeDocument/2006/relationships/hyperlink" Target="https://docs.google.com/spreadsheets/d/1NmLJlk_q__je-NOrt7aq4RDKFwmeadbtoUcc_1e8zQQ/edit?usp=sharing" TargetMode="External"/><Relationship Id="rId232" Type="http://schemas.openxmlformats.org/officeDocument/2006/relationships/hyperlink" Target="https://docs.google.com/spreadsheets/d/1s_Cw8EbduucyaZzB4eIOKV_4yykRLMmhUqZkhqiSRhM/edit?usp=sharing" TargetMode="External"/><Relationship Id="rId253" Type="http://schemas.openxmlformats.org/officeDocument/2006/relationships/hyperlink" Target="https://docs.google.com/spreadsheets/d/1pvrhZWvXvBT-xAu8F9Om8SqUkUhEsE_oTvZm35oNl0M/edit?usp=sharing" TargetMode="External"/><Relationship Id="rId27" Type="http://schemas.openxmlformats.org/officeDocument/2006/relationships/hyperlink" Target="https://docs.google.com/spreadsheets/d/1fdywTCtE8xTEcYMXkhg1tj9TgI9DyEAh88QleSO2XtY/edit?usp=sharing" TargetMode="External"/><Relationship Id="rId48" Type="http://schemas.openxmlformats.org/officeDocument/2006/relationships/hyperlink" Target="https://docs.google.com/spreadsheets/d/1C2Vr47MuH1uoUnXwPpG9BpA7wVXltCFcx-tJqZAwGYU/edit?usp=sharing" TargetMode="External"/><Relationship Id="rId69" Type="http://schemas.openxmlformats.org/officeDocument/2006/relationships/hyperlink" Target="https://docs.google.com/spreadsheets/d/1pBDn43OCLDJTGOf-Rg1EmVvUpNwT4G6I0l3Z_Rx5xTs/edit?usp=sharing" TargetMode="External"/><Relationship Id="rId113" Type="http://schemas.openxmlformats.org/officeDocument/2006/relationships/hyperlink" Target="https://docs.google.com/spreadsheets/d/1YxmEKuK_LmUU3vjm_UETLlKe9dQA3rJdSgrgVrzO7f4/edit?usp=sharing" TargetMode="External"/><Relationship Id="rId134" Type="http://schemas.openxmlformats.org/officeDocument/2006/relationships/hyperlink" Target="https://docs.google.com/spreadsheets/d/1YZfNj-uOgCATy_IxCB7rYm5vNOeeAlq0sJuyqr3AhpQ/edit?usp=sharing" TargetMode="External"/><Relationship Id="rId80" Type="http://schemas.openxmlformats.org/officeDocument/2006/relationships/hyperlink" Target="https://docs.google.com/spreadsheets/d/1lFZO0wIed1lqx2E8LRTjpji37G-z2QVCOYT60JoRIPs/edit?usp=sharing" TargetMode="External"/><Relationship Id="rId155" Type="http://schemas.openxmlformats.org/officeDocument/2006/relationships/hyperlink" Target="https://docs.google.com/spreadsheets/d/1NquyRSts6EdpfCAgPntKKDstDGxiRgLrJDyJPpRfKOM/edit?usp=sharing" TargetMode="External"/><Relationship Id="rId176" Type="http://schemas.openxmlformats.org/officeDocument/2006/relationships/hyperlink" Target="https://docs.google.com/spreadsheets/d/18eXSrM9WDVHjcTP_bdMwNg9VzRkJGJBqOIRjjnWH8_s/edit?usp=sharing" TargetMode="External"/><Relationship Id="rId197" Type="http://schemas.openxmlformats.org/officeDocument/2006/relationships/hyperlink" Target="https://docs.google.com/spreadsheets/d/1UUWaLo_KHyf7TCHiQ1i8PTWX2Ev3P5Mj3UF-LAiMpzA/edit?usp=sharing" TargetMode="External"/><Relationship Id="rId201" Type="http://schemas.openxmlformats.org/officeDocument/2006/relationships/hyperlink" Target="https://docs.google.com/spreadsheets/d/1M0XhL2Z_2-F5zlRNdICYSpgjATdmrffaVFVFjbsW0z8/edit?usp=sharing" TargetMode="External"/><Relationship Id="rId222" Type="http://schemas.openxmlformats.org/officeDocument/2006/relationships/hyperlink" Target="https://docs.google.com/spreadsheets/d/1zZVFTaqfEXSsCVZ_M6Lszq0M3o1HjcmLxwpwb1NQUrk/edit?usp=sharing" TargetMode="External"/><Relationship Id="rId243" Type="http://schemas.openxmlformats.org/officeDocument/2006/relationships/hyperlink" Target="https://docs.google.com/spreadsheets/d/1Nrs5HtpZ6C8_WLmlphsJs6G60uGEMRgDNii3PA5Z3M8/edit?usp=sharing" TargetMode="External"/><Relationship Id="rId17" Type="http://schemas.openxmlformats.org/officeDocument/2006/relationships/hyperlink" Target="https://docs.google.com/spreadsheets/d/1UuRL0jWD8ruxF1Mio6YOUdq8znnLlVbuULxAV_fJyfk/edit?usp=sharing" TargetMode="External"/><Relationship Id="rId38" Type="http://schemas.openxmlformats.org/officeDocument/2006/relationships/hyperlink" Target="https://docs.google.com/spreadsheets/d/1e-0vwL-d59hN5gT-yiBBQD5uu9jmW0SXji4fFRPL5MI/edit?usp=sharing" TargetMode="External"/><Relationship Id="rId59" Type="http://schemas.openxmlformats.org/officeDocument/2006/relationships/hyperlink" Target="https://docs.google.com/spreadsheets/d/1vx98guPeFiXubfQNdX51XFlBUVR13BwpDJ4lKca-Kfg/edit?usp=sharing" TargetMode="External"/><Relationship Id="rId103" Type="http://schemas.openxmlformats.org/officeDocument/2006/relationships/hyperlink" Target="https://docs.google.com/spreadsheets/d/1xd71tATE2fxy8NwM-DWIdvkFO2As1SgiRYaLMLf95b4/edit?usp=sharing" TargetMode="External"/><Relationship Id="rId124" Type="http://schemas.openxmlformats.org/officeDocument/2006/relationships/hyperlink" Target="https://docs.google.com/spreadsheets/d/1CozObxv2zS22GqPIOzveAMVzoBXD95EV2z7vSABQY9o/edit?usp=sharing" TargetMode="External"/><Relationship Id="rId70" Type="http://schemas.openxmlformats.org/officeDocument/2006/relationships/hyperlink" Target="https://docs.google.com/spreadsheets/d/1FGaKRTqOsudLUg1iV4wh9mukX6fgYgFyLNIRpDISbhA/edit?usp=sharing" TargetMode="External"/><Relationship Id="rId91" Type="http://schemas.openxmlformats.org/officeDocument/2006/relationships/hyperlink" Target="https://docs.google.com/spreadsheets/d/1Ga8lATuzMEigWWyOH3F7mOackIWYR4Ndeosyf-t9eiQ/edit?usp=sharing" TargetMode="External"/><Relationship Id="rId145" Type="http://schemas.openxmlformats.org/officeDocument/2006/relationships/hyperlink" Target="https://docs.google.com/spreadsheets/d/18-oj_2a5ugL4tCMf3tsJlPKBFCdbmaYAlVNukWcGsBY/edit?usp=sharing" TargetMode="External"/><Relationship Id="rId166" Type="http://schemas.openxmlformats.org/officeDocument/2006/relationships/hyperlink" Target="https://docs.google.com/spreadsheets/d/1yVSruGjToD0LGFUi8qlHeY8qBKmN28axEXSaBOTt7T4/edit?usp=sharing" TargetMode="External"/><Relationship Id="rId187" Type="http://schemas.openxmlformats.org/officeDocument/2006/relationships/hyperlink" Target="https://docs.google.com/spreadsheets/d/1uDtvpJ1Ra1q7JrpF0KlV9zZCPrE4delOGYalbVFvy2k/edit?usp=sharing" TargetMode="External"/><Relationship Id="rId1" Type="http://schemas.openxmlformats.org/officeDocument/2006/relationships/hyperlink" Target="https://docs.google.com/spreadsheets/d/1GY8H_eaGht-OYFoFRvw-o68epjLcyZEF0Q0TcblIbns/edit?usp=sharing" TargetMode="External"/><Relationship Id="rId212" Type="http://schemas.openxmlformats.org/officeDocument/2006/relationships/hyperlink" Target="https://docs.google.com/spreadsheets/d/1lxr1OEOjfYzfqqCTJPqH-OPqLr8FL12t30qH26d711k/edit?usp=sharing" TargetMode="External"/><Relationship Id="rId233" Type="http://schemas.openxmlformats.org/officeDocument/2006/relationships/hyperlink" Target="https://docs.google.com/spreadsheets/d/10jkVu9yGgPIsBbitcTRk09zXWfWv0qzLAlrF0KGmuGA/edit?usp=sharing" TargetMode="External"/><Relationship Id="rId254" Type="http://schemas.openxmlformats.org/officeDocument/2006/relationships/hyperlink" Target="https://docs.google.com/spreadsheets/d/1WX-AMFa8KkcGOab4nJlQhWc6v6NEl70dzykeNGrlX3c/edit?usp=sharing" TargetMode="External"/><Relationship Id="rId28" Type="http://schemas.openxmlformats.org/officeDocument/2006/relationships/hyperlink" Target="https://docs.google.com/spreadsheets/d/1E3kuMZ4qCLXggSYyoPSK4dHVc6zRbElBbuc6NV-BGac/edit?usp=sharing" TargetMode="External"/><Relationship Id="rId49" Type="http://schemas.openxmlformats.org/officeDocument/2006/relationships/hyperlink" Target="https://docs.google.com/spreadsheets/d/1_i8bS1JwjViK9ZxBX2NGkE74BzaB_XOVV-oqJG5lU-s/edit?usp=sharing" TargetMode="External"/><Relationship Id="rId114" Type="http://schemas.openxmlformats.org/officeDocument/2006/relationships/hyperlink" Target="https://docs.google.com/spreadsheets/d/1EPiPxfqk-ndpf8s2QQ-I_3e1DWsvjY5qViQVJdCB0Qs/edit?usp=sharing" TargetMode="External"/><Relationship Id="rId60" Type="http://schemas.openxmlformats.org/officeDocument/2006/relationships/hyperlink" Target="https://docs.google.com/spreadsheets/d/1IiZjNLHE6Eq35WeutnJARZRFaB3y5NWFey0GA17abeg/edit?usp=sharing" TargetMode="External"/><Relationship Id="rId81" Type="http://schemas.openxmlformats.org/officeDocument/2006/relationships/hyperlink" Target="https://docs.google.com/spreadsheets/d/1igmA5zfVsfnSWSpljVtvvIW8B8jwCp3OQj13_e342Ts/edit?usp=sharing" TargetMode="External"/><Relationship Id="rId135" Type="http://schemas.openxmlformats.org/officeDocument/2006/relationships/hyperlink" Target="https://docs.google.com/spreadsheets/d/1v7Ra0sL2m8UzluSdkfNXaoIPq0mk2FNnD58MUNpyK-c/edit?usp=sharing" TargetMode="External"/><Relationship Id="rId156" Type="http://schemas.openxmlformats.org/officeDocument/2006/relationships/hyperlink" Target="https://docs.google.com/spreadsheets/d/1ZqOgQ09TpgsuBSDQ_tA-ANMgHI6dVrWdY_9B9Ylbpyo/edit?usp=sharing" TargetMode="External"/><Relationship Id="rId177" Type="http://schemas.openxmlformats.org/officeDocument/2006/relationships/hyperlink" Target="https://docs.google.com/spreadsheets/d/1xciZhSBW9sKxg8uBY-1-dJQJXrx2SdzUqPxLRo8CVGs/edit?usp=sharing" TargetMode="External"/><Relationship Id="rId198" Type="http://schemas.openxmlformats.org/officeDocument/2006/relationships/hyperlink" Target="https://docs.google.com/spreadsheets/d/1uZ24_Uj3ikokdKOvRcJ9CKJB-2JWG3WAVEe6Y4ibVGo/edit?usp=sharing" TargetMode="External"/><Relationship Id="rId202" Type="http://schemas.openxmlformats.org/officeDocument/2006/relationships/hyperlink" Target="https://docs.google.com/spreadsheets/d/1o9jo_pj8SaZTB_xRznT5Z8lMOXxo-xnwFSTaQ6YofwU/edit?usp=sharing" TargetMode="External"/><Relationship Id="rId223" Type="http://schemas.openxmlformats.org/officeDocument/2006/relationships/hyperlink" Target="https://docs.google.com/spreadsheets/d/1FWbZDOd3BWvX1RQgzHyzmqOnj5XZ669tYa9eFudtBgc/edit?usp=sharing" TargetMode="External"/><Relationship Id="rId244" Type="http://schemas.openxmlformats.org/officeDocument/2006/relationships/hyperlink" Target="https://docs.google.com/spreadsheets/d/1mSNwjGik1fR0l-ae1jDzVBTTwsWqORUkG-F7iiKXH4Y/edit?usp=sharing" TargetMode="External"/><Relationship Id="rId18" Type="http://schemas.openxmlformats.org/officeDocument/2006/relationships/hyperlink" Target="https://docs.google.com/spreadsheets/d/16Igqqip5xCzQqFjqsxhIEKUiZRdGR8g3k9aoLji8JEU/edit?usp=sharing" TargetMode="External"/><Relationship Id="rId39" Type="http://schemas.openxmlformats.org/officeDocument/2006/relationships/hyperlink" Target="https://docs.google.com/spreadsheets/d/1KIjz0inamcED8TfuzYWlddXujUe4jJb5KW4BT8qMqME/edit?usp=sharing" TargetMode="External"/><Relationship Id="rId50" Type="http://schemas.openxmlformats.org/officeDocument/2006/relationships/hyperlink" Target="https://docs.google.com/spreadsheets/d/1LsJTRnu1S5i4NDWkBELzY2hKTSaLP2cOSe6CdmVQ5sU/edit?usp=sharing" TargetMode="External"/><Relationship Id="rId104" Type="http://schemas.openxmlformats.org/officeDocument/2006/relationships/hyperlink" Target="https://docs.google.com/spreadsheets/d/1WlUTCZVe6QUu5e7xbEW9jl63ITQjI6pNuonwea4InZw/edit?usp=sharing" TargetMode="External"/><Relationship Id="rId125" Type="http://schemas.openxmlformats.org/officeDocument/2006/relationships/hyperlink" Target="https://docs.google.com/spreadsheets/d/1jwslXaxUij5pXTv9TzjX7WkK7AnavKBnRADakpYOgSc/edit?usp=sharing" TargetMode="External"/><Relationship Id="rId146" Type="http://schemas.openxmlformats.org/officeDocument/2006/relationships/hyperlink" Target="https://docs.google.com/spreadsheets/d/1cGpg8u6JOLeWdoElWlgZOlqWxhT4A_ZOaAGnCDAeCwE/edit?usp=sharing" TargetMode="External"/><Relationship Id="rId167" Type="http://schemas.openxmlformats.org/officeDocument/2006/relationships/hyperlink" Target="https://docs.google.com/spreadsheets/d/1E_DjVzW9jOqTlaEYD0z_jkIAnYkr40_GCFL89YnH7Ps/edit?usp=sharing" TargetMode="External"/><Relationship Id="rId188" Type="http://schemas.openxmlformats.org/officeDocument/2006/relationships/hyperlink" Target="https://docs.google.com/spreadsheets/d/11jwbf7Rj1DVO4UizFpcgZF9eQQ6P_Bi9piO80-TDMNU/edit?usp=sharing" TargetMode="External"/><Relationship Id="rId71" Type="http://schemas.openxmlformats.org/officeDocument/2006/relationships/hyperlink" Target="https://docs.google.com/spreadsheets/d/1lSAQujjX-of1g8Ki9AyUEVWqqHXOad14xPUNqD9wZR4/edit?usp=sharing" TargetMode="External"/><Relationship Id="rId92" Type="http://schemas.openxmlformats.org/officeDocument/2006/relationships/hyperlink" Target="https://docs.google.com/spreadsheets/d/1xKN-C0nzDXEj_AwLLoiHZgI4CPE9rNpx-ZJ0nPbzcx0/edit?usp=sharing" TargetMode="External"/><Relationship Id="rId213" Type="http://schemas.openxmlformats.org/officeDocument/2006/relationships/hyperlink" Target="https://docs.google.com/spreadsheets/d/1am-kTrgeFFm5qA5HSQIv-D3K9VERzC7uUOH68osAeKw/edit?usp=sharing" TargetMode="External"/><Relationship Id="rId234" Type="http://schemas.openxmlformats.org/officeDocument/2006/relationships/hyperlink" Target="https://docs.google.com/spreadsheets/d/1mCunsP6eSNbsniGFgxtKBXnGcdC9-kHLlTmn4WxJSGI/edit?usp=sharing" TargetMode="External"/><Relationship Id="rId2" Type="http://schemas.openxmlformats.org/officeDocument/2006/relationships/hyperlink" Target="https://docs.google.com/spreadsheets/d/1v8uWpyTy42HmTX1K5mYSMJc1wai4NDccMyiGR1P5hps/edit?usp=sharing" TargetMode="External"/><Relationship Id="rId29" Type="http://schemas.openxmlformats.org/officeDocument/2006/relationships/hyperlink" Target="https://docs.google.com/spreadsheets/d/1mjJzjm6ifERc_5mlgdKl8MZYmZXwiC8lh7xJqcK3V_4/edit?usp=sharing" TargetMode="External"/><Relationship Id="rId255" Type="http://schemas.openxmlformats.org/officeDocument/2006/relationships/hyperlink" Target="https://docs.google.com/spreadsheets/d/1A56lyBC4OxPyP-aIpsgEqAMghp9NRlDbzHfQbBb4nm8/edit?usp=sharing" TargetMode="External"/><Relationship Id="rId40" Type="http://schemas.openxmlformats.org/officeDocument/2006/relationships/hyperlink" Target="https://docs.google.com/spreadsheets/d/12WoFR2cnUMB0jqtjR_E8dMxT7keTiA-4JBKJsMCo5zY/edit?usp=sharing" TargetMode="External"/><Relationship Id="rId115" Type="http://schemas.openxmlformats.org/officeDocument/2006/relationships/hyperlink" Target="https://docs.google.com/spreadsheets/d/1JGwfP5F2KE3lKpJzGXA6_Ikc-5vTjv0ED_LwctxAcwE/edit?usp=sharing" TargetMode="External"/><Relationship Id="rId136" Type="http://schemas.openxmlformats.org/officeDocument/2006/relationships/hyperlink" Target="https://docs.google.com/spreadsheets/d/16pBU6A-sovZ3beXnoOJXFMhnUTyLsLMjDP0Uev9Q6lU/edit?usp=sharing" TargetMode="External"/><Relationship Id="rId157" Type="http://schemas.openxmlformats.org/officeDocument/2006/relationships/hyperlink" Target="https://docs.google.com/spreadsheets/d/1M2xDjqWfS9gvr6dEoAb5FOXajNWgTKMFWejy6YiFhII/edit?usp=sharing" TargetMode="External"/><Relationship Id="rId178" Type="http://schemas.openxmlformats.org/officeDocument/2006/relationships/hyperlink" Target="https://docs.google.com/spreadsheets/d/1ccAzaLlmzYwf3EHxiGGSz1DZZ7uh7DUf_Wz36EyEgF4/edit?usp=sharing" TargetMode="External"/><Relationship Id="rId61" Type="http://schemas.openxmlformats.org/officeDocument/2006/relationships/hyperlink" Target="https://docs.google.com/spreadsheets/d/1ppbdsaRNd_JFxSJpcy682tnmNIijKbCT5e7A4bLOIR0/edit?usp=sharing" TargetMode="External"/><Relationship Id="rId82" Type="http://schemas.openxmlformats.org/officeDocument/2006/relationships/hyperlink" Target="https://docs.google.com/spreadsheets/d/1PNSkDWitr53Qa4_0grkKCRRWa6hJ1GHhMzHiEdu6rqc/edit?usp=sharing" TargetMode="External"/><Relationship Id="rId199" Type="http://schemas.openxmlformats.org/officeDocument/2006/relationships/hyperlink" Target="https://docs.google.com/spreadsheets/d/1WF6malRmbHtARYIS4G34Ff807QuyNSQ8b7Ii_hNsKj4/edit?usp=sharing" TargetMode="External"/><Relationship Id="rId203" Type="http://schemas.openxmlformats.org/officeDocument/2006/relationships/hyperlink" Target="https://docs.google.com/spreadsheets/d/1dkzizYIX_97-nvwELSkYQID2JNzeFhySJlqUoUqFv-4/edit?usp=sharing" TargetMode="External"/><Relationship Id="rId19" Type="http://schemas.openxmlformats.org/officeDocument/2006/relationships/hyperlink" Target="https://docs.google.com/spreadsheets/d/1ryTjjArpfURd6Eyfhc8x1QqaOmiHZkfAv2vcKYdj0DY/edit?usp=sharing" TargetMode="External"/><Relationship Id="rId224" Type="http://schemas.openxmlformats.org/officeDocument/2006/relationships/hyperlink" Target="https://docs.google.com/spreadsheets/d/1bOOhayUl2SM8vaPfnBeWLUGH8jAvLEuAzzmtaZd4MS8/edit?usp=sharing" TargetMode="External"/><Relationship Id="rId245" Type="http://schemas.openxmlformats.org/officeDocument/2006/relationships/hyperlink" Target="https://docs.google.com/spreadsheets/d/1asgioLDWimZtsaUrcBP1k2i8vEAc673PFTZzEOyRWE0/edit?usp=sharing" TargetMode="External"/><Relationship Id="rId30" Type="http://schemas.openxmlformats.org/officeDocument/2006/relationships/hyperlink" Target="https://docs.google.com/spreadsheets/d/1PVcj4BTZwxfO_u6Bq7wn6t-gnOQLOLIvk7DjBn6pEt0/edit?usp=sharing" TargetMode="External"/><Relationship Id="rId105" Type="http://schemas.openxmlformats.org/officeDocument/2006/relationships/hyperlink" Target="https://docs.google.com/spreadsheets/d/1Lmc5ewv04pnV9zfmob2Eg7BglKGgwvP8ep_LMMfOMpg/edit?usp=sharing" TargetMode="External"/><Relationship Id="rId126" Type="http://schemas.openxmlformats.org/officeDocument/2006/relationships/hyperlink" Target="https://docs.google.com/spreadsheets/d/1pb1buijVPLSY3UE4ZG2t9gLrPQzPWm5VKjb9ghIylac/edit?usp=sharing" TargetMode="External"/><Relationship Id="rId147" Type="http://schemas.openxmlformats.org/officeDocument/2006/relationships/hyperlink" Target="https://docs.google.com/spreadsheets/d/1IO06sE09s4d5l25pkiXaOZ_bJx0-cLPYll0M-u3UpY8/edit?usp=sharing" TargetMode="External"/><Relationship Id="rId168" Type="http://schemas.openxmlformats.org/officeDocument/2006/relationships/hyperlink" Target="https://docs.google.com/spreadsheets/d/1VcUN4v_PldbLfKTMlI0iknFUVatAK6UPihR4I3XVzTI/edit?usp=sharing" TargetMode="External"/><Relationship Id="rId51" Type="http://schemas.openxmlformats.org/officeDocument/2006/relationships/hyperlink" Target="https://docs.google.com/spreadsheets/d/16BvnLa0960yTb7_7VExvDjGWwyyv1mDLREBjc6OJzdM/edit?usp=sharing" TargetMode="External"/><Relationship Id="rId72" Type="http://schemas.openxmlformats.org/officeDocument/2006/relationships/hyperlink" Target="https://docs.google.com/spreadsheets/d/1z7ressBCApfKp-8wTGT_h99Nf-NFhiGknKOhEilywxk/edit?usp=sharing" TargetMode="External"/><Relationship Id="rId93" Type="http://schemas.openxmlformats.org/officeDocument/2006/relationships/hyperlink" Target="https://docs.google.com/spreadsheets/d/1uOAfkWveP1BSxVIs_lMd6qiRrXQr1QoSLRVJppO0XJQ/edit?usp=sharing" TargetMode="External"/><Relationship Id="rId189" Type="http://schemas.openxmlformats.org/officeDocument/2006/relationships/hyperlink" Target="https://docs.google.com/spreadsheets/d/1PDF4ZCWGpDGRcYm1cLpUK1rWQft1FmqyaDw7kb6Hnbg/edit?usp=sharing" TargetMode="External"/><Relationship Id="rId3" Type="http://schemas.openxmlformats.org/officeDocument/2006/relationships/hyperlink" Target="https://docs.google.com/spreadsheets/d/1KJK1w1_M1kpGwwbY2bc7puTX2E2xnN6sifguyAAFq-M/edit?usp=sharing" TargetMode="External"/><Relationship Id="rId214" Type="http://schemas.openxmlformats.org/officeDocument/2006/relationships/hyperlink" Target="https://docs.google.com/spreadsheets/d/1eNBaXUiAiAU0c1rDnaYvyDt-SYmfrQshhIPfjDwpTyY/edit?usp=sharing" TargetMode="External"/><Relationship Id="rId235" Type="http://schemas.openxmlformats.org/officeDocument/2006/relationships/hyperlink" Target="https://docs.google.com/spreadsheets/d/13EK_R1zaUtZ42hocP5mv6WcjPRMyyqG5Gk-_K9YNuBo/edit?usp=sharing" TargetMode="External"/><Relationship Id="rId256" Type="http://schemas.openxmlformats.org/officeDocument/2006/relationships/hyperlink" Target="https://docs.google.com/spreadsheets/d/1xCfFDmdCBMRk53zOXDbNiG96tTm-uNnjeVLhJk3cs6k/edit?usp=sharing" TargetMode="External"/><Relationship Id="rId116" Type="http://schemas.openxmlformats.org/officeDocument/2006/relationships/hyperlink" Target="https://docs.google.com/spreadsheets/d/1r5Zl_UCXzQcohAMEbIId4t8Cmw3KWTK6nxLsTIcnr24/edit?usp=sharing" TargetMode="External"/><Relationship Id="rId137" Type="http://schemas.openxmlformats.org/officeDocument/2006/relationships/hyperlink" Target="https://docs.google.com/spreadsheets/d/1_-6jXN8N2Xvlu1mNWFGuazi2PpWApXSIcE94s9-pWnU/edit?usp=sharing" TargetMode="External"/><Relationship Id="rId158" Type="http://schemas.openxmlformats.org/officeDocument/2006/relationships/hyperlink" Target="https://docs.google.com/spreadsheets/d/1o0mM78MWhAUbPZ_4wYwFE4WnNSCAkZVNzzRzw3X3-NM/edit?usp=sharing" TargetMode="External"/><Relationship Id="rId20" Type="http://schemas.openxmlformats.org/officeDocument/2006/relationships/hyperlink" Target="https://docs.google.com/spreadsheets/d/1YRiFc0qxs9CJBnoEzYjhepbGssFzQXMJ3u0gU-AHImM/edit?usp=sharing" TargetMode="External"/><Relationship Id="rId41" Type="http://schemas.openxmlformats.org/officeDocument/2006/relationships/hyperlink" Target="https://docs.google.com/spreadsheets/d/1NipOGnU3yoUWqIsUm3BxYLte2beoJlbVBSh4FoO0w_s/edit?usp=sharing" TargetMode="External"/><Relationship Id="rId62" Type="http://schemas.openxmlformats.org/officeDocument/2006/relationships/hyperlink" Target="https://docs.google.com/spreadsheets/d/107JZO9OrTmcgfGxG-L9RJKCezTholC9uSW0CkQRTwus/edit?usp=sharing" TargetMode="External"/><Relationship Id="rId83" Type="http://schemas.openxmlformats.org/officeDocument/2006/relationships/hyperlink" Target="https://docs.google.com/spreadsheets/d/1AvBnJw7vWphn4eDpGwa8yY6KOEn_sjg458ybGnIk9yY/edit?usp=sharing" TargetMode="External"/><Relationship Id="rId179" Type="http://schemas.openxmlformats.org/officeDocument/2006/relationships/hyperlink" Target="https://docs.google.com/spreadsheets/d/1SRaQ7QtFCSR7RSmlVAXMFrHhoHhVIJGW1Xtq4oms9xM/edit?usp=sharing" TargetMode="External"/><Relationship Id="rId190" Type="http://schemas.openxmlformats.org/officeDocument/2006/relationships/hyperlink" Target="https://docs.google.com/spreadsheets/d/1zS-T6ec7j6VFZqS6Y73cEVqdi2dRQHCbXDZwPe75C3c/edit?usp=sharing" TargetMode="External"/><Relationship Id="rId204" Type="http://schemas.openxmlformats.org/officeDocument/2006/relationships/hyperlink" Target="https://docs.google.com/spreadsheets/d/1WJ14B6zewGyLh4-c81AxSC0Aku0oUUArGi4LQzctHFw/edit?usp=sharing" TargetMode="External"/><Relationship Id="rId225" Type="http://schemas.openxmlformats.org/officeDocument/2006/relationships/hyperlink" Target="https://docs.google.com/spreadsheets/d/1GW4EZgGpRwtla-J-2ki2ffqA6dUrc9hYFrLoYsWswu0/edit?usp=sharing" TargetMode="External"/><Relationship Id="rId246" Type="http://schemas.openxmlformats.org/officeDocument/2006/relationships/hyperlink" Target="https://docs.google.com/spreadsheets/d/1B27pBdOph75P6qKNXKFx2QrtWGfXijiWE2Ik_4Z5BXc/edit?usp=sharing" TargetMode="External"/><Relationship Id="rId106" Type="http://schemas.openxmlformats.org/officeDocument/2006/relationships/hyperlink" Target="https://docs.google.com/spreadsheets/d/1iWd5cBGuN_vJDMOtoxsTR5M065SxaauERbznoR80mqA/edit?usp=sharing" TargetMode="External"/><Relationship Id="rId127" Type="http://schemas.openxmlformats.org/officeDocument/2006/relationships/hyperlink" Target="https://docs.google.com/spreadsheets/d/1EZSYfYmRZXOV3_PdwiRMKXsK0_gHSzOcyhHUZY_m_Y8/edit?usp=sharing" TargetMode="External"/><Relationship Id="rId10" Type="http://schemas.openxmlformats.org/officeDocument/2006/relationships/hyperlink" Target="https://docs.google.com/spreadsheets/d/1cR-V0KACPz66-6ntdsBP5QfcY7bOyFDyrML-e85rYzk/edit?usp=share_link" TargetMode="External"/><Relationship Id="rId31" Type="http://schemas.openxmlformats.org/officeDocument/2006/relationships/hyperlink" Target="https://docs.google.com/spreadsheets/d/1JJ_-SvD6YUIwMYKgGTJHaARVtu0WeqERp8QSZbwog1U/edit?usp=sharing" TargetMode="External"/><Relationship Id="rId52" Type="http://schemas.openxmlformats.org/officeDocument/2006/relationships/hyperlink" Target="https://docs.google.com/spreadsheets/d/19hgDJWx5T4P0c1-Cn3FRyyuXZberS-Nljrc_nX5kZV4/edit?usp=sharing" TargetMode="External"/><Relationship Id="rId73" Type="http://schemas.openxmlformats.org/officeDocument/2006/relationships/hyperlink" Target="https://docs.google.com/spreadsheets/d/1pciNzI-LCvNKMqUmeWyx9c92EkPtL37ZVjddtUi41So/edit?usp=sharing" TargetMode="External"/><Relationship Id="rId94" Type="http://schemas.openxmlformats.org/officeDocument/2006/relationships/hyperlink" Target="https://docs.google.com/spreadsheets/d/1Sla0w636GNc3_yGKJf09iHBSC2bG8Yy_iIeDi2WqVHk/edit?usp=sharing" TargetMode="External"/><Relationship Id="rId148" Type="http://schemas.openxmlformats.org/officeDocument/2006/relationships/hyperlink" Target="https://docs.google.com/spreadsheets/d/1gBe5LOQea5c-p6kTzXSN26IV7eaY0ZS5VI1R7q81fm4/edit?usp=sharing" TargetMode="External"/><Relationship Id="rId169" Type="http://schemas.openxmlformats.org/officeDocument/2006/relationships/hyperlink" Target="https://docs.google.com/spreadsheets/d/1HCItuBg3HeaPg0OH8ujdfhacLluPX_lvDDCzGCZGPB8/edit?usp=sharing" TargetMode="External"/><Relationship Id="rId4" Type="http://schemas.openxmlformats.org/officeDocument/2006/relationships/hyperlink" Target="https://docs.google.com/spreadsheets/d/1wn3wt6toRVGlexApC0F-uJZKpQpVc3FAMtWgoKz3Fpg/edit?usp=sharing" TargetMode="External"/><Relationship Id="rId180" Type="http://schemas.openxmlformats.org/officeDocument/2006/relationships/hyperlink" Target="https://docs.google.com/spreadsheets/d/1d7Qt7il8ZiOl3c9YSaHBW_tFGjmD7JVc2cDs7QvZTG0/edit?usp=sharing" TargetMode="External"/><Relationship Id="rId215" Type="http://schemas.openxmlformats.org/officeDocument/2006/relationships/hyperlink" Target="https://docs.google.com/spreadsheets/d/1HGpWkBkX_6Nu5ENEI3oWmSihtAS4NKpBeqGSHw5xT9g/edit?usp=sharing" TargetMode="External"/><Relationship Id="rId236" Type="http://schemas.openxmlformats.org/officeDocument/2006/relationships/hyperlink" Target="https://docs.google.com/spreadsheets/d/1CZrJnr8vFq2ht6UQJyD31CC14Eb2mTMsmlxBMNQY5oE/edit?usp=sharing" TargetMode="External"/><Relationship Id="rId257" Type="http://schemas.openxmlformats.org/officeDocument/2006/relationships/hyperlink" Target="https://docs.google.com/spreadsheets/d/1a8PJEAgWEspWeQw5RC6ViawbGjmQjgf45OE-1Oys-NY/edit?usp=sharing"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ocs.google.com/spreadsheets/d/1rtLwhWuM5SQ_5EEb8T8qU3Nwsl603rXN5Tr7Ww9U1Sg/edit?usp=sharing" TargetMode="External"/><Relationship Id="rId21" Type="http://schemas.openxmlformats.org/officeDocument/2006/relationships/hyperlink" Target="https://docs.google.com/spreadsheets/d/1B_IMNaqf7De7WViMd7ZvljCMENmN5-D2BqBV03UiHaY/edit?usp=sharing" TargetMode="External"/><Relationship Id="rId63" Type="http://schemas.openxmlformats.org/officeDocument/2006/relationships/hyperlink" Target="https://docs.google.com/spreadsheets/d/1P7vCioRxMLf_yZqVMrXoCPtnV79FvGRpXNvISHTVdss/edit?usp=sharing" TargetMode="External"/><Relationship Id="rId159" Type="http://schemas.openxmlformats.org/officeDocument/2006/relationships/hyperlink" Target="https://docs.google.com/spreadsheets/d/1w-94tfzATjQ6eIzA8QFFc7uW5-2GF2W-dM6iJBP_03c/edit?usp=sharing" TargetMode="External"/><Relationship Id="rId170" Type="http://schemas.openxmlformats.org/officeDocument/2006/relationships/hyperlink" Target="https://docs.google.com/spreadsheets/d/1KcYOV65mB9RF0u-gZSW5SXd-XGi9A6pllAczd3LFQ_s/edit?usp=sharing" TargetMode="External"/><Relationship Id="rId226" Type="http://schemas.openxmlformats.org/officeDocument/2006/relationships/hyperlink" Target="https://docs.google.com/spreadsheets/d/1Es8sjkTxxu7KZoCalGvzCNZ2ZXQtzbpB5V3jNDyIxsM/edit?usp=sharing" TargetMode="External"/><Relationship Id="rId268" Type="http://schemas.openxmlformats.org/officeDocument/2006/relationships/hyperlink" Target="https://docs.google.com/spreadsheets/d/1iVx8qUThMa1ZV-Cvl1WFmZHtuM6oY72g_rQNa9Y4U54/edit?usp=sharing" TargetMode="External"/><Relationship Id="rId32" Type="http://schemas.openxmlformats.org/officeDocument/2006/relationships/hyperlink" Target="https://docs.google.com/spreadsheets/d/1rFTRX6iE66q8aPa3jV1ZRkCV1qtf_Idj7Qfa4Buie-I/edit?usp=sharing" TargetMode="External"/><Relationship Id="rId74" Type="http://schemas.openxmlformats.org/officeDocument/2006/relationships/hyperlink" Target="https://docs.google.com/spreadsheets/d/1SSO_MeJCk583KnhwyC1TbD-wcG9JQIMYbQ3kCEO_6GY/edit?usp=sharing" TargetMode="External"/><Relationship Id="rId128" Type="http://schemas.openxmlformats.org/officeDocument/2006/relationships/hyperlink" Target="https://docs.google.com/spreadsheets/d/1mCrupkCgjUBCP4-4DqsG5EubXPqd3nJuQgo1v7TVyEM/edit?usp=sharing" TargetMode="External"/><Relationship Id="rId5" Type="http://schemas.openxmlformats.org/officeDocument/2006/relationships/hyperlink" Target="https://docs.google.com/spreadsheets/d/16mUUi6ITueTY3I3XH9H1JZEZFKDz4jcVUfm9MjkBzuY/edit?usp=sharing" TargetMode="External"/><Relationship Id="rId181" Type="http://schemas.openxmlformats.org/officeDocument/2006/relationships/hyperlink" Target="https://docs.google.com/spreadsheets/d/1OLZF-DsaUxvozrEOXFR_sPB8sv58Zua2wr3PH4JCc5s/edit?usp=sharing" TargetMode="External"/><Relationship Id="rId237" Type="http://schemas.openxmlformats.org/officeDocument/2006/relationships/hyperlink" Target="https://docs.google.com/spreadsheets/d/1OIg1I-wl4CuQAA9CEGef6e52p_GnVTGZrkk1sdroEeI/edit?usp=sharing" TargetMode="External"/><Relationship Id="rId279" Type="http://schemas.openxmlformats.org/officeDocument/2006/relationships/hyperlink" Target="https://docs.google.com/spreadsheets/d/1N7L4I6CQtMJcg6EUgBy8NObDVv5t3JZkzeRVeAKMb7Q/edit?usp=sharing" TargetMode="External"/><Relationship Id="rId43" Type="http://schemas.openxmlformats.org/officeDocument/2006/relationships/hyperlink" Target="https://docs.google.com/spreadsheets/d/1Pu3SsM7283f4CI6knH_4I4frAmdCeLj4R5mHSGH9EnM/edit?usp=sharing" TargetMode="External"/><Relationship Id="rId139" Type="http://schemas.openxmlformats.org/officeDocument/2006/relationships/hyperlink" Target="https://docs.google.com/spreadsheets/d/1d4tG7NTgiSniwHIUfm1syzAMGmA6eM3YSZNCJj6Nzzs/edit?usp=sharing" TargetMode="External"/><Relationship Id="rId85" Type="http://schemas.openxmlformats.org/officeDocument/2006/relationships/hyperlink" Target="https://docs.google.com/spreadsheets/d/1gECRpeuBwb1sWMxPtt0nXQ2XQgSHOujPzE3IxdWDIP8/edit?usp=sharing" TargetMode="External"/><Relationship Id="rId150" Type="http://schemas.openxmlformats.org/officeDocument/2006/relationships/hyperlink" Target="https://docs.google.com/spreadsheets/d/17QwqINMzzpuP4fvYtaUs8ivIJm0NBp-kK7vPirEqQn4/edit?usp=sharing" TargetMode="External"/><Relationship Id="rId171" Type="http://schemas.openxmlformats.org/officeDocument/2006/relationships/hyperlink" Target="https://docs.google.com/spreadsheets/d/1qqeWxyaljhZjlLHSWHhFKajIh8ntcliAmGRjgt1b1Es/edit?usp=sharing" TargetMode="External"/><Relationship Id="rId192" Type="http://schemas.openxmlformats.org/officeDocument/2006/relationships/hyperlink" Target="https://docs.google.com/spreadsheets/d/1eZaZAimshwj-b8OnKrUKoci3CBf_xJlm0tcQEVp_UmA/edit?usp=sharing" TargetMode="External"/><Relationship Id="rId206" Type="http://schemas.openxmlformats.org/officeDocument/2006/relationships/hyperlink" Target="https://docs.google.com/spreadsheets/d/1I7OKgPwuX3ihMwEMxRpyqcDOkQSJmOYA-p7IHdLWwLU/edit?usp=sharing" TargetMode="External"/><Relationship Id="rId227" Type="http://schemas.openxmlformats.org/officeDocument/2006/relationships/hyperlink" Target="https://docs.google.com/spreadsheets/d/1NeisniS8qPhF12S10ISZ_LrAyTqK6FL6jMknX-ck-tk/edit?usp=sharing" TargetMode="External"/><Relationship Id="rId248" Type="http://schemas.openxmlformats.org/officeDocument/2006/relationships/hyperlink" Target="https://docs.google.com/spreadsheets/d/13Fns0l_IReWBaUlxQm6N4xaXewgHWQRpsb0WOCGw-do/edit?usp=sharing" TargetMode="External"/><Relationship Id="rId269" Type="http://schemas.openxmlformats.org/officeDocument/2006/relationships/hyperlink" Target="https://docs.google.com/spreadsheets/d/1z552PLDfBbOL-QbbC4_Jzv93HJ_RSnLD9naV5Hh98FM/edit?usp=sharing" TargetMode="External"/><Relationship Id="rId12" Type="http://schemas.openxmlformats.org/officeDocument/2006/relationships/hyperlink" Target="https://docs.google.com/spreadsheets/d/1CjkN_gPmOwrheD6LQTqvSIagWj3YPkS_PWnV-WEkc1M/edit?usp=sharing" TargetMode="External"/><Relationship Id="rId33" Type="http://schemas.openxmlformats.org/officeDocument/2006/relationships/hyperlink" Target="https://docs.google.com/spreadsheets/d/1oa19RWdoFbCeMR4kNn4CpgQPDKThyCg9FOFTykekyVI/edit?usp=sharing" TargetMode="External"/><Relationship Id="rId108" Type="http://schemas.openxmlformats.org/officeDocument/2006/relationships/hyperlink" Target="https://docs.google.com/spreadsheets/d/1r6OhQI8SUQPxBziRwXeXOKX_pJ4Fl-ag1eF1t5lmFSs/edit?usp=sharing" TargetMode="External"/><Relationship Id="rId129" Type="http://schemas.openxmlformats.org/officeDocument/2006/relationships/hyperlink" Target="https://docs.google.com/spreadsheets/d/1V0J3DK0Fk4MNor2ub2QUjRxoNTCj4kQK8HVp5Qip6Dg/edit?usp=sharing" TargetMode="External"/><Relationship Id="rId280" Type="http://schemas.openxmlformats.org/officeDocument/2006/relationships/hyperlink" Target="https://docs.google.com/spreadsheets/d/1h1q214P1Um9HDM_ZyTdlSGXrHsKemEa8Pq0AUKF4rBA/edit?usp=sharing" TargetMode="External"/><Relationship Id="rId54" Type="http://schemas.openxmlformats.org/officeDocument/2006/relationships/hyperlink" Target="https://docs.google.com/spreadsheets/d/1MEoYCQsqe-bcSL8j-RVfkPCvGOARdYokJBHGv7M0RHQ/edit?usp=sharing" TargetMode="External"/><Relationship Id="rId75" Type="http://schemas.openxmlformats.org/officeDocument/2006/relationships/hyperlink" Target="https://docs.google.com/spreadsheets/d/10tmkAwDEv1-XJ-7SC7ZpqTqLZqwls2L4Mro7k55liz0/edit?usp=sharing" TargetMode="External"/><Relationship Id="rId96" Type="http://schemas.openxmlformats.org/officeDocument/2006/relationships/hyperlink" Target="https://docs.google.com/spreadsheets/d/1tGdXOSqhxHlV9X1tQW7n9bnArSQ2F-LmiDZdxoBpcFA/edit?usp=sharing" TargetMode="External"/><Relationship Id="rId140" Type="http://schemas.openxmlformats.org/officeDocument/2006/relationships/hyperlink" Target="https://docs.google.com/spreadsheets/d/1w-qRWm6vU8nj3jes8bubtU6dHA85lQs-_3ifsVpUT9g/edit?usp=sharing" TargetMode="External"/><Relationship Id="rId161" Type="http://schemas.openxmlformats.org/officeDocument/2006/relationships/hyperlink" Target="https://docs.google.com/spreadsheets/d/1eLIiUqUejD-T44K6fzcDTZg7tg6FLaQcq_cbf_p3zPc/edit?usp=sharing" TargetMode="External"/><Relationship Id="rId182" Type="http://schemas.openxmlformats.org/officeDocument/2006/relationships/hyperlink" Target="https://docs.google.com/spreadsheets/d/11EaC1I8hVYAksp55D5RuO2D0zmZXtn_bJHG81KY1ux0/edit?usp=sharing" TargetMode="External"/><Relationship Id="rId217" Type="http://schemas.openxmlformats.org/officeDocument/2006/relationships/hyperlink" Target="https://docs.google.com/spreadsheets/d/1c_wowv9ZQYDFdEEZ_yZsx_bk3lOlSVZN_hGxVAgAJQg/edit?usp=sharing" TargetMode="External"/><Relationship Id="rId6" Type="http://schemas.openxmlformats.org/officeDocument/2006/relationships/hyperlink" Target="https://docs.google.com/spreadsheets/d/1IhVMfrneSedV-CVxyAon4ejiQcIRcahLXYctFvSBdAk/edit?usp=sharing" TargetMode="External"/><Relationship Id="rId238" Type="http://schemas.openxmlformats.org/officeDocument/2006/relationships/hyperlink" Target="https://docs.google.com/spreadsheets/d/10QqOoSfKgx9e1gCrkzSp3WWop98F6ZidCW3S8ufm6zU/edit?usp=sharing" TargetMode="External"/><Relationship Id="rId259" Type="http://schemas.openxmlformats.org/officeDocument/2006/relationships/hyperlink" Target="https://docs.google.com/spreadsheets/d/1wgzjEXLRPb9njV75wvIzH7sGdHWRsdiqzNwVUr2OS0k/edit?usp=sharing" TargetMode="External"/><Relationship Id="rId23" Type="http://schemas.openxmlformats.org/officeDocument/2006/relationships/hyperlink" Target="https://docs.google.com/spreadsheets/d/1F3j8d-jsFkJ2b77n2_ULx93WH9eotbfU2I-hDrNAEWM/edit?usp=sharing" TargetMode="External"/><Relationship Id="rId119" Type="http://schemas.openxmlformats.org/officeDocument/2006/relationships/hyperlink" Target="https://docs.google.com/spreadsheets/d/12BkMceNro90GaBGsaGZKSVxqXmHLq3IYDZsGbcT-Wew/edit?usp=sharing" TargetMode="External"/><Relationship Id="rId270" Type="http://schemas.openxmlformats.org/officeDocument/2006/relationships/hyperlink" Target="https://docs.google.com/spreadsheets/d/1Pv0f9TJ1dCA36nZZugQjXkf3VLqT3pCnb8_D4DU-ps0/edit?usp=sharing" TargetMode="External"/><Relationship Id="rId44" Type="http://schemas.openxmlformats.org/officeDocument/2006/relationships/hyperlink" Target="https://docs.google.com/spreadsheets/d/1ljiuCeVcsLgI0cl7xxj2DiAmiG5xaQGHeHrPXIrMzow/edit?usp=sharing" TargetMode="External"/><Relationship Id="rId65" Type="http://schemas.openxmlformats.org/officeDocument/2006/relationships/hyperlink" Target="https://docs.google.com/spreadsheets/d/1p_qu_BUVZo1gDrX2o-clQ2bzY3bJq8AL93UaT05sLNA/edit?usp=sharing" TargetMode="External"/><Relationship Id="rId86" Type="http://schemas.openxmlformats.org/officeDocument/2006/relationships/hyperlink" Target="https://docs.google.com/spreadsheets/d/12s07fvVLrnvzc372FtvRI_n0gUKDJcBkl8qiOXMgvS4/edit?usp=sharing" TargetMode="External"/><Relationship Id="rId130" Type="http://schemas.openxmlformats.org/officeDocument/2006/relationships/hyperlink" Target="https://docs.google.com/spreadsheets/d/1KwA0LMRG3sEgvcIDuCuyChc2uohrsEVPtcpSalaAcEE/edit?usp=sharing" TargetMode="External"/><Relationship Id="rId151" Type="http://schemas.openxmlformats.org/officeDocument/2006/relationships/hyperlink" Target="https://docs.google.com/spreadsheets/d/1WB8dwA4MFyfUMg8E7Cx-vkDZPrR2fFpTLl54xDEG0-E/edit?usp=sharing" TargetMode="External"/><Relationship Id="rId172" Type="http://schemas.openxmlformats.org/officeDocument/2006/relationships/hyperlink" Target="https://docs.google.com/spreadsheets/d/1o9ZtnMOIN4CCLBES1IkpisqBPz9CprPPrAFBHjahMK0/edit?usp=sharing" TargetMode="External"/><Relationship Id="rId193" Type="http://schemas.openxmlformats.org/officeDocument/2006/relationships/hyperlink" Target="https://docs.google.com/spreadsheets/d/1PIEJWQsjbrXts3AJluyJMmESZkOS_Mzg1MIdDzU9qRM/edit?usp=sharing" TargetMode="External"/><Relationship Id="rId207" Type="http://schemas.openxmlformats.org/officeDocument/2006/relationships/hyperlink" Target="https://docs.google.com/spreadsheets/d/1wcLJAnkMEFnlsAGMSrdRlVtc4D_XaSvQS2_vEWiZkzg/edit?usp=sharing" TargetMode="External"/><Relationship Id="rId228" Type="http://schemas.openxmlformats.org/officeDocument/2006/relationships/hyperlink" Target="https://docs.google.com/spreadsheets/d/1-3fw8gsxBvrJDz-woAb7WdxRGiY1KL1k3awEQPDUuAA/edit?usp=sharing" TargetMode="External"/><Relationship Id="rId249" Type="http://schemas.openxmlformats.org/officeDocument/2006/relationships/hyperlink" Target="https://docs.google.com/spreadsheets/d/1poqCueQq1SrTAWBmkDhNHiEGkEqSGxsKn8gvX7AHAhk/edit?usp=sharing" TargetMode="External"/><Relationship Id="rId13" Type="http://schemas.openxmlformats.org/officeDocument/2006/relationships/hyperlink" Target="https://docs.google.com/spreadsheets/d/1_9LFEVnMvQZawQQ9wcM69klL-FasI66rpjsySiaCCw4/edit?usp=sharing" TargetMode="External"/><Relationship Id="rId109" Type="http://schemas.openxmlformats.org/officeDocument/2006/relationships/hyperlink" Target="https://docs.google.com/spreadsheets/d/18wBp_NkpT_9COnxPp_z1lfd7lQaUR-4C0-XB26EYsPU/edit?usp=sharing" TargetMode="External"/><Relationship Id="rId260" Type="http://schemas.openxmlformats.org/officeDocument/2006/relationships/hyperlink" Target="https://docs.google.com/spreadsheets/d/1sDOJI28vOruBTzvY-70XEgh4MP7DLfSXboWayHvWEkI/edit?usp=sharing" TargetMode="External"/><Relationship Id="rId281" Type="http://schemas.openxmlformats.org/officeDocument/2006/relationships/hyperlink" Target="https://docs.google.com/spreadsheets/d/1AEayQeguQ-yBGdKfMvbi_zYgV6LtQRwLmu_YaXZv6s4/edit?usp=sharing" TargetMode="External"/><Relationship Id="rId34" Type="http://schemas.openxmlformats.org/officeDocument/2006/relationships/hyperlink" Target="https://docs.google.com/spreadsheets/d/1P1eRVMa3mQWPLy6jfCxXsa6EBFiVmjuGihtZoeOpByY/edit?usp=sharing" TargetMode="External"/><Relationship Id="rId55" Type="http://schemas.openxmlformats.org/officeDocument/2006/relationships/hyperlink" Target="https://docs.google.com/spreadsheets/d/1HazzJVAH9DXxx7rEx5NYmM76KCsMekthjWu4QeTWY2o/edit?usp=sharing" TargetMode="External"/><Relationship Id="rId76" Type="http://schemas.openxmlformats.org/officeDocument/2006/relationships/hyperlink" Target="https://docs.google.com/spreadsheets/d/1_fU8X2uQuOkTsv21xLY3vHWSHJbt0wJ9MGcFVhVWyQU/edit?usp=sharing" TargetMode="External"/><Relationship Id="rId97" Type="http://schemas.openxmlformats.org/officeDocument/2006/relationships/hyperlink" Target="https://docs.google.com/spreadsheets/d/1E-CXaQ97O_LjYEnY91ED8ThmTsGCEMNgu45HVDXodHQ/edit?usp=sharing" TargetMode="External"/><Relationship Id="rId120" Type="http://schemas.openxmlformats.org/officeDocument/2006/relationships/hyperlink" Target="https://docs.google.com/spreadsheets/d/1neFUbOJ9-olL0jvBOBa2BrZkUaykYRuBKlaDbqkE_ks/edit?usp=sharing" TargetMode="External"/><Relationship Id="rId141" Type="http://schemas.openxmlformats.org/officeDocument/2006/relationships/hyperlink" Target="https://docs.google.com/spreadsheets/d/1YHaMzlsC5VoLTDpp65xWsNOTGbKAtK42vPmeA6CKDoo/edit?usp=sharing" TargetMode="External"/><Relationship Id="rId7" Type="http://schemas.openxmlformats.org/officeDocument/2006/relationships/hyperlink" Target="https://docs.google.com/spreadsheets/d/193ljj5zgM9ALQnAHrLpVBR1h99nWQjhEMxzwGViEwzc/edit?usp=sharing" TargetMode="External"/><Relationship Id="rId162" Type="http://schemas.openxmlformats.org/officeDocument/2006/relationships/hyperlink" Target="https://docs.google.com/spreadsheets/d/14jxMugYf8MgmOx70v4dm9K1Jtp8RDNHdNpBXH_qcjLA/edit?usp=sharing" TargetMode="External"/><Relationship Id="rId183" Type="http://schemas.openxmlformats.org/officeDocument/2006/relationships/hyperlink" Target="https://docs.google.com/spreadsheets/d/1DDRWsc30xJ2sY0SztegYDw3CcNS8xRBWyh77nCoEk9w/edit?usp=sharing" TargetMode="External"/><Relationship Id="rId218" Type="http://schemas.openxmlformats.org/officeDocument/2006/relationships/hyperlink" Target="https://docs.google.com/spreadsheets/d/1r-qfz_KVoMsqoWUO7JCB73kmyBvEHBDNO-j7j5Irk9A/edit?usp=sharing" TargetMode="External"/><Relationship Id="rId239" Type="http://schemas.openxmlformats.org/officeDocument/2006/relationships/hyperlink" Target="https://docs.google.com/spreadsheets/d/1MHS75lN0PPFODgmFH8CJPb28Es5ABgs7PJR48WcqBZY/edit?usp=sharing" TargetMode="External"/><Relationship Id="rId250" Type="http://schemas.openxmlformats.org/officeDocument/2006/relationships/hyperlink" Target="https://docs.google.com/spreadsheets/d/1ROF6qVGcqcclf1oCuID9Q0h3MbTnS48X64rZpNkgIgU/edit?usp=sharing" TargetMode="External"/><Relationship Id="rId271" Type="http://schemas.openxmlformats.org/officeDocument/2006/relationships/hyperlink" Target="https://docs.google.com/spreadsheets/d/1GCGtFz5z004bu3l1xgB5g6r8gJJHV69cT6my5NULbxo/edit?usp=sharing" TargetMode="External"/><Relationship Id="rId24" Type="http://schemas.openxmlformats.org/officeDocument/2006/relationships/hyperlink" Target="https://docs.google.com/spreadsheets/d/1TibWuRnLp3PC_0Wc8lbE6K6BJlDXWdL38kJtJp4fXH0/edit?usp=sharing" TargetMode="External"/><Relationship Id="rId45" Type="http://schemas.openxmlformats.org/officeDocument/2006/relationships/hyperlink" Target="https://docs.google.com/spreadsheets/d/1Ojvt2wbmGs_q4FrrgrXN9j8rdkvU5xqXPQpWyvh6kEo/edit?usp=sharing" TargetMode="External"/><Relationship Id="rId66" Type="http://schemas.openxmlformats.org/officeDocument/2006/relationships/hyperlink" Target="https://docs.google.com/spreadsheets/d/1z6pO9pEtXx38HqjSJBjfXw42XhJulSAdTcPh67c_oYI/edit?usp=sharing" TargetMode="External"/><Relationship Id="rId87" Type="http://schemas.openxmlformats.org/officeDocument/2006/relationships/hyperlink" Target="https://docs.google.com/spreadsheets/d/1mSPiDyNu-HZoIC7WSRCY32X5U3NbWVdSjMW3ze7Kel8/edit?usp=sharing" TargetMode="External"/><Relationship Id="rId110" Type="http://schemas.openxmlformats.org/officeDocument/2006/relationships/hyperlink" Target="https://docs.google.com/spreadsheets/d/1tOGTyW6kB41dGLFGFZ2vj_McGv8YVAgo4B6YoKCYq5w/edit?usp=sharing" TargetMode="External"/><Relationship Id="rId131" Type="http://schemas.openxmlformats.org/officeDocument/2006/relationships/hyperlink" Target="https://docs.google.com/spreadsheets/d/1Pt216u8vIh0My2G68BJW2_fCv1hi3qaEyyUSJo4JU4I/edit?usp=sharing" TargetMode="External"/><Relationship Id="rId152" Type="http://schemas.openxmlformats.org/officeDocument/2006/relationships/hyperlink" Target="https://docs.google.com/spreadsheets/d/1JicxApuOuPFJduBa4RyqGRaqaUxABxqzXpvRLVTc-rw/edit?usp=sharing" TargetMode="External"/><Relationship Id="rId173" Type="http://schemas.openxmlformats.org/officeDocument/2006/relationships/hyperlink" Target="https://docs.google.com/spreadsheets/d/1UcySmheevtBt4NLUGzf34DU_idFIBt1K_4H4sjeQs18/edit?usp=sharing" TargetMode="External"/><Relationship Id="rId194" Type="http://schemas.openxmlformats.org/officeDocument/2006/relationships/hyperlink" Target="https://docs.google.com/spreadsheets/d/11z4buXAAhRrRLceauKmds_J0VHaqxcmUMLG985ajLXg/edit?usp=sharing" TargetMode="External"/><Relationship Id="rId208" Type="http://schemas.openxmlformats.org/officeDocument/2006/relationships/hyperlink" Target="https://docs.google.com/spreadsheets/d/1HmOvUEMEoktxAN3BP6SfYWJhPQ0WgnQGc40tlHXIjok/edit?usp=sharing" TargetMode="External"/><Relationship Id="rId229" Type="http://schemas.openxmlformats.org/officeDocument/2006/relationships/hyperlink" Target="https://docs.google.com/spreadsheets/d/16IcbDJ_b58maW56ErIx2aipz_cS6AXMHzFxjzf_eW50/edit?usp=sharing" TargetMode="External"/><Relationship Id="rId240" Type="http://schemas.openxmlformats.org/officeDocument/2006/relationships/hyperlink" Target="https://docs.google.com/spreadsheets/d/1wQYtEKIN3y73POXnSiQYNVMD8__ZDILKP-w4eBvv0IU/edit?usp=sharing" TargetMode="External"/><Relationship Id="rId261" Type="http://schemas.openxmlformats.org/officeDocument/2006/relationships/hyperlink" Target="https://docs.google.com/spreadsheets/d/1HTkj8szcFjWdOdp4xooAkLhAkne2OmU0Eil4NOeO3tk/edit?usp=sharing" TargetMode="External"/><Relationship Id="rId14" Type="http://schemas.openxmlformats.org/officeDocument/2006/relationships/hyperlink" Target="https://docs.google.com/spreadsheets/d/1z8aQ4ORiDHpwDa8BmPl2f4oxc1zx38DrybCtIMQkVnM/edit?usp=sharing" TargetMode="External"/><Relationship Id="rId35" Type="http://schemas.openxmlformats.org/officeDocument/2006/relationships/hyperlink" Target="https://docs.google.com/spreadsheets/d/1P-Ijcg-cBFLnDRfmbsZk52y0EasJ6_-RvQj1sOD_Q8w/edit?usp=drive_link" TargetMode="External"/><Relationship Id="rId56" Type="http://schemas.openxmlformats.org/officeDocument/2006/relationships/hyperlink" Target="https://docs.google.com/spreadsheets/d/1oCstGIgBjcI4KGvMFevaha30XhKBNlKllrIHJxRiags/edit?usp=share_link" TargetMode="External"/><Relationship Id="rId77" Type="http://schemas.openxmlformats.org/officeDocument/2006/relationships/hyperlink" Target="https://docs.google.com/spreadsheets/d/1WlXiK8hMelNwJ9q4twEj8cejta7Pgg_eV9xUDEPN0jc/edit?usp=sharing" TargetMode="External"/><Relationship Id="rId100" Type="http://schemas.openxmlformats.org/officeDocument/2006/relationships/hyperlink" Target="https://docs.google.com/spreadsheets/d/1pD6zwmOW3twYhpyPnJFXe88eOAeA1wYK-tB-iOHhxqs/edit?usp=sharing" TargetMode="External"/><Relationship Id="rId282" Type="http://schemas.openxmlformats.org/officeDocument/2006/relationships/hyperlink" Target="https://docs.google.com/spreadsheets/d/12cJUcmOxGHg4dINM_jjcjJb9E588d8apCLmBjX9LN50/edit?usp=sharing" TargetMode="External"/><Relationship Id="rId8" Type="http://schemas.openxmlformats.org/officeDocument/2006/relationships/hyperlink" Target="https://docs.google.com/spreadsheets/d/13E3dGKp_wBfcLLDLNfGgap9EFshmsE7Hw6Q3DlKBu3I/edit?usp=sharing" TargetMode="External"/><Relationship Id="rId98" Type="http://schemas.openxmlformats.org/officeDocument/2006/relationships/hyperlink" Target="https://docs.google.com/spreadsheets/d/1ZDne42pXgwnkBDbUaVBJg06YlF3kFflS6V9sCHyPPFo/edit?usp=sharing" TargetMode="External"/><Relationship Id="rId121" Type="http://schemas.openxmlformats.org/officeDocument/2006/relationships/hyperlink" Target="https://docs.google.com/spreadsheets/d/1k65L9MF88ljwrWJ7a2AMQyZjfxNU_UXfGJUq8Tjghn4/edit?usp=sharing" TargetMode="External"/><Relationship Id="rId142" Type="http://schemas.openxmlformats.org/officeDocument/2006/relationships/hyperlink" Target="https://docs.google.com/spreadsheets/d/12T8N01x6_neqFzQZ78Mg2VTVC5N7mP_BSUZLipIVY1A/edit?usp=sharing" TargetMode="External"/><Relationship Id="rId163" Type="http://schemas.openxmlformats.org/officeDocument/2006/relationships/hyperlink" Target="https://docs.google.com/spreadsheets/d/1wE_Wb9n4xExw1ucy4sJfkwIVxTfEYWgMNr4aPoclqg8/edit?usp=sharing" TargetMode="External"/><Relationship Id="rId184" Type="http://schemas.openxmlformats.org/officeDocument/2006/relationships/hyperlink" Target="https://docs.google.com/spreadsheets/d/1hU8iuNMVMzcjxgr5vzITUbdUHsDOT7TjYIrnaPTVmso/edit?usp=sharing" TargetMode="External"/><Relationship Id="rId219" Type="http://schemas.openxmlformats.org/officeDocument/2006/relationships/hyperlink" Target="https://docs.google.com/spreadsheets/d/10pWT487XEx7AFGtM9D8_vaG7W_JtR2_iS5y760xkOmQ/edit?usp=sharing" TargetMode="External"/><Relationship Id="rId230" Type="http://schemas.openxmlformats.org/officeDocument/2006/relationships/hyperlink" Target="https://docs.google.com/spreadsheets/d/1XtCHpU7tJIpIIXQTT3bFLWKoI4PwJ0rbuTGPrkwUJJE/edit?usp=sharing" TargetMode="External"/><Relationship Id="rId251" Type="http://schemas.openxmlformats.org/officeDocument/2006/relationships/hyperlink" Target="https://docs.google.com/spreadsheets/d/1fDflMUyI7hctZ_s7G_oFqc9pCf912yc9TRNUP51ofQo/edit?usp=sharing" TargetMode="External"/><Relationship Id="rId25" Type="http://schemas.openxmlformats.org/officeDocument/2006/relationships/hyperlink" Target="https://docs.google.com/spreadsheets/d/1LBydmPEepbh1MUsPgwE3VnEeX8PNBjRKDwxuXuHjjg0/edit?usp=sharing" TargetMode="External"/><Relationship Id="rId46" Type="http://schemas.openxmlformats.org/officeDocument/2006/relationships/hyperlink" Target="https://docs.google.com/spreadsheets/d/1jWokpYACYLbiKOZ8YAh4CQbP-a4QpH0bwbmM0RyXCrI/edit?usp=sharing" TargetMode="External"/><Relationship Id="rId67" Type="http://schemas.openxmlformats.org/officeDocument/2006/relationships/hyperlink" Target="https://docs.google.com/spreadsheets/d/13dv6vEeY6Wmc9-u5_brY9zBWW2IXyIq0mFjuirk6yUw/edit?usp=sharing" TargetMode="External"/><Relationship Id="rId272" Type="http://schemas.openxmlformats.org/officeDocument/2006/relationships/hyperlink" Target="https://docs.google.com/spreadsheets/d/14UcRG3J1M3A_FMDmCKEM9YcrQPBM67_f8fcqcfeejAg/edit?usp=sharing" TargetMode="External"/><Relationship Id="rId88" Type="http://schemas.openxmlformats.org/officeDocument/2006/relationships/hyperlink" Target="https://docs.google.com/spreadsheets/d/13jMrKayzcHgdh3Fj_fIFmsCUNhCyrlQmW05z5q6g2dw/edit?usp=sharing" TargetMode="External"/><Relationship Id="rId111" Type="http://schemas.openxmlformats.org/officeDocument/2006/relationships/hyperlink" Target="https://docs.google.com/spreadsheets/d/1Qvt8B_LQH3PpmlKd7V8ar9E1L1IuerAamdA_R5WMhrE/edit?usp=sharing" TargetMode="External"/><Relationship Id="rId132" Type="http://schemas.openxmlformats.org/officeDocument/2006/relationships/hyperlink" Target="https://docs.google.com/spreadsheets/d/1c7XK9hd7jsCYCWh_LwIjqQihB_WD0ca-vB3JAAR3q_Y/edit?usp=sharing" TargetMode="External"/><Relationship Id="rId153" Type="http://schemas.openxmlformats.org/officeDocument/2006/relationships/hyperlink" Target="https://docs.google.com/spreadsheets/d/1OWrLefXBTt9LXRZE2eFtxXxNYj6AY6Oc4gzV6LqyuZ8/edit?usp=sharing" TargetMode="External"/><Relationship Id="rId174" Type="http://schemas.openxmlformats.org/officeDocument/2006/relationships/hyperlink" Target="https://docs.google.com/spreadsheets/d/1vpF4UjQa_la1fWohXwNetjT2yvIFMEl2ZZeYi67WHec/edit?usp=sharing" TargetMode="External"/><Relationship Id="rId195" Type="http://schemas.openxmlformats.org/officeDocument/2006/relationships/hyperlink" Target="https://docs.google.com/spreadsheets/d/1E3vWhRHnsoa6RUnZ2H19QoOoRw-j1sf6P8GGpk8Og-8/edit?usp=sharing" TargetMode="External"/><Relationship Id="rId209" Type="http://schemas.openxmlformats.org/officeDocument/2006/relationships/hyperlink" Target="https://docs.google.com/spreadsheets/d/18ig2tOBpXIP2Np6Ol73psFFbAFnJ22gJ3czTLRkrrK0/edit?usp=sharing" TargetMode="External"/><Relationship Id="rId220" Type="http://schemas.openxmlformats.org/officeDocument/2006/relationships/hyperlink" Target="https://docs.google.com/spreadsheets/d/1GZ7-LEhuado_HeU5RieGpIic1o90MoH1lrcg7TURB8U/edit?usp=sharing" TargetMode="External"/><Relationship Id="rId241" Type="http://schemas.openxmlformats.org/officeDocument/2006/relationships/hyperlink" Target="https://docs.google.com/spreadsheets/d/1Hn_LmkwqsMNumo-KhD3V8y3_afZcb9bKV-ivFMYoQ9o/edit?usp=sharing" TargetMode="External"/><Relationship Id="rId15" Type="http://schemas.openxmlformats.org/officeDocument/2006/relationships/hyperlink" Target="https://docs.google.com/spreadsheets/d/14Vrq51ueoDe7nti70kfiq5RbDsmQuzP3YSrV427h7tA/edit?usp=sharing" TargetMode="External"/><Relationship Id="rId36" Type="http://schemas.openxmlformats.org/officeDocument/2006/relationships/hyperlink" Target="https://docs.google.com/spreadsheets/d/1oNKosjxdx5uXJG9MKcwMhmzfXiRw9zs2Yi9NEeSjpJQ/edit?usp=drive_link" TargetMode="External"/><Relationship Id="rId57" Type="http://schemas.openxmlformats.org/officeDocument/2006/relationships/hyperlink" Target="https://docs.google.com/spreadsheets/d/1XEJJ9jU7sLc8NfCuRL1n8C3uo84ziHHLf9H43wSIgmU/edit?usp=sharing" TargetMode="External"/><Relationship Id="rId262" Type="http://schemas.openxmlformats.org/officeDocument/2006/relationships/hyperlink" Target="https://docs.google.com/spreadsheets/d/1D7sx8EG6l44BvbNMQq6g1sOuWtjfrO1fyNn4nWhVxns/edit?usp=sharing" TargetMode="External"/><Relationship Id="rId283" Type="http://schemas.openxmlformats.org/officeDocument/2006/relationships/hyperlink" Target="https://docs.google.com/spreadsheets/d/1W19QWCh-dhir_S8OJMub72sLtY-x0K6CQdv55I52nN4/edit?usp=sharing" TargetMode="External"/><Relationship Id="rId78" Type="http://schemas.openxmlformats.org/officeDocument/2006/relationships/hyperlink" Target="https://docs.google.com/spreadsheets/d/154OlDeXVSfvILlZ45VycxerZO5yQixmf8zzoTDikQ5E/edit?usp=sharing" TargetMode="External"/><Relationship Id="rId99" Type="http://schemas.openxmlformats.org/officeDocument/2006/relationships/hyperlink" Target="https://docs.google.com/spreadsheets/d/1WIvnBnJA9U2pyc60Guv7btQV7e0QZZg41PCdt9TOl1Y/edit?usp=sharing" TargetMode="External"/><Relationship Id="rId101" Type="http://schemas.openxmlformats.org/officeDocument/2006/relationships/hyperlink" Target="https://docs.google.com/spreadsheets/d/1mr1QY8woUeEVdusMihG_8UTrZP2IzfJrnCUCWV9V6W0/edit?usp=sharing" TargetMode="External"/><Relationship Id="rId122" Type="http://schemas.openxmlformats.org/officeDocument/2006/relationships/hyperlink" Target="https://docs.google.com/spreadsheets/d/1IUww5h_pYy6_QuI4hJ2GNOO4Eccs44V4Dx7q0d9uBPo/edit?usp=sharing" TargetMode="External"/><Relationship Id="rId143" Type="http://schemas.openxmlformats.org/officeDocument/2006/relationships/hyperlink" Target="https://docs.google.com/spreadsheets/d/1HK2VH_7ZpwrCr7tQbO6n6orCMKz7ylS30WdY-vi900c/edit?usp=sharing" TargetMode="External"/><Relationship Id="rId164" Type="http://schemas.openxmlformats.org/officeDocument/2006/relationships/hyperlink" Target="https://docs.google.com/spreadsheets/d/1_PL43_i1CESapk4g3LsnIusoY4rCTEQt42Wtz02g-ak/edit?usp=sharing" TargetMode="External"/><Relationship Id="rId185" Type="http://schemas.openxmlformats.org/officeDocument/2006/relationships/hyperlink" Target="https://docs.google.com/spreadsheets/d/1NMfXHUm9naKYF3sb1ynQxiIIu-EW2Wy_tzO2bf1uPEU/edit?usp=sharing" TargetMode="External"/><Relationship Id="rId9" Type="http://schemas.openxmlformats.org/officeDocument/2006/relationships/hyperlink" Target="https://docs.google.com/spreadsheets/d/1lVuvEtD2fF579k_h3y4s7J87bsB8MFtPGH7SbORixdo/edit?usp=sharing" TargetMode="External"/><Relationship Id="rId210" Type="http://schemas.openxmlformats.org/officeDocument/2006/relationships/hyperlink" Target="https://docs.google.com/spreadsheets/d/1QdVfU0pPjwx_-o_SOeNnILh3IafzpfVNu1YiK8Klpmw/edit?usp=sharing" TargetMode="External"/><Relationship Id="rId26" Type="http://schemas.openxmlformats.org/officeDocument/2006/relationships/hyperlink" Target="https://docs.google.com/spreadsheets/d/1uW5_nbIK54LdAWECDkV-UuI2ZGPSNvIU049qNUAYrGU/edit?usp=sharing" TargetMode="External"/><Relationship Id="rId231" Type="http://schemas.openxmlformats.org/officeDocument/2006/relationships/hyperlink" Target="https://docs.google.com/spreadsheets/d/1AJTVY9P9_UQP90eisdH8qjoKaJI22vnQvd9I0bpfgH0/edit?usp=sharing" TargetMode="External"/><Relationship Id="rId252" Type="http://schemas.openxmlformats.org/officeDocument/2006/relationships/hyperlink" Target="https://docs.google.com/spreadsheets/d/1Jg0lkkID3Hno_RH0evYAD2YqGTeyobkRB_rRlDUxVLA/edit?usp=sharing" TargetMode="External"/><Relationship Id="rId273" Type="http://schemas.openxmlformats.org/officeDocument/2006/relationships/hyperlink" Target="https://docs.google.com/spreadsheets/d/1-VyZN9Pxlfbvk20in13Y5trnh8yza8-gXmuC4KGXsO8/edit?usp=sharing" TargetMode="External"/><Relationship Id="rId47" Type="http://schemas.openxmlformats.org/officeDocument/2006/relationships/hyperlink" Target="https://docs.google.com/spreadsheets/d/1k5ohbA7opkKTYqF8OqanJ6vWviD8GoHyLmb9tCB5aJk/edit?usp=sharing" TargetMode="External"/><Relationship Id="rId68" Type="http://schemas.openxmlformats.org/officeDocument/2006/relationships/hyperlink" Target="https://docs.google.com/spreadsheets/d/1MrzMOMdgwu0ljcWnCZ4Xy_et_7ZVG9aLjC6ZgYBSOg0/edit?usp=sharing" TargetMode="External"/><Relationship Id="rId89" Type="http://schemas.openxmlformats.org/officeDocument/2006/relationships/hyperlink" Target="https://docs.google.com/spreadsheets/d/1ppHujaBPSK1o-0Kp5ef5cX8_hOq3kNtqGZZooA6ZdHw/edit?usp=sharing" TargetMode="External"/><Relationship Id="rId112" Type="http://schemas.openxmlformats.org/officeDocument/2006/relationships/hyperlink" Target="https://docs.google.com/spreadsheets/d/1kTmUv5GTBZ5J4C1Cum3ZSd01UGu58qBIsqBvDRSDcRI/edit?usp=sharing" TargetMode="External"/><Relationship Id="rId133" Type="http://schemas.openxmlformats.org/officeDocument/2006/relationships/hyperlink" Target="https://docs.google.com/spreadsheets/d/1zJtmN6TDqC3LAum5cwQStPhZO6AkoI9gBRzldrohjyk/edit?usp=sharing" TargetMode="External"/><Relationship Id="rId154" Type="http://schemas.openxmlformats.org/officeDocument/2006/relationships/hyperlink" Target="https://docs.google.com/spreadsheets/d/12juX6uW4x5TB0ccc5YbXiXM6pakAv6g9K9pFlcfjmNE/edit?usp=sharing" TargetMode="External"/><Relationship Id="rId175" Type="http://schemas.openxmlformats.org/officeDocument/2006/relationships/hyperlink" Target="https://docs.google.com/spreadsheets/d/1-9AaNUxjHZ-ZZgSMDG49-zZvofbgpUajlGxHENBkv8c/edit?usp=sharing" TargetMode="External"/><Relationship Id="rId196" Type="http://schemas.openxmlformats.org/officeDocument/2006/relationships/hyperlink" Target="https://docs.google.com/spreadsheets/d/1MZATYn2BnYDK8c8NguvqzeuMKIPbTuOOr9_eOqsG7J8/edit?usp=sharing" TargetMode="External"/><Relationship Id="rId200" Type="http://schemas.openxmlformats.org/officeDocument/2006/relationships/hyperlink" Target="https://docs.google.com/spreadsheets/d/1U0MJXDoZ4H6u0DWLjwdqwO3j74lkseNEz09bE-bS-SI/edit?usp=sharing" TargetMode="External"/><Relationship Id="rId16" Type="http://schemas.openxmlformats.org/officeDocument/2006/relationships/hyperlink" Target="https://docs.google.com/spreadsheets/d/1Fse1aGV8LhPuvEzQsJi8fWe7If2F6_npUiMfnTUnWrQ/edit?usp=sharing" TargetMode="External"/><Relationship Id="rId221" Type="http://schemas.openxmlformats.org/officeDocument/2006/relationships/hyperlink" Target="https://docs.google.com/spreadsheets/d/1dymg-FERvfPAhxgooZBZKefyS3M1OyDslly2T1XwMXA/edit?usp=sharing" TargetMode="External"/><Relationship Id="rId242" Type="http://schemas.openxmlformats.org/officeDocument/2006/relationships/hyperlink" Target="https://docs.google.com/spreadsheets/d/1En8oTJCbLd1X38v9BxcIeDCSlZTgqEFc9layaNotdaU/edit?usp=sharing" TargetMode="External"/><Relationship Id="rId263" Type="http://schemas.openxmlformats.org/officeDocument/2006/relationships/hyperlink" Target="https://docs.google.com/spreadsheets/d/1gSBH31YppYezDW8oDdbUKgvFuVYQU102hngYm7sifH4/edit?usp=sharing" TargetMode="External"/><Relationship Id="rId284" Type="http://schemas.openxmlformats.org/officeDocument/2006/relationships/hyperlink" Target="https://docs.google.com/spreadsheets/d/1VqDAajdEE96i--NLw0Nj6xvytKp3j5EVP0EDkJuyMMY/edit?usp=sharing" TargetMode="External"/><Relationship Id="rId37" Type="http://schemas.openxmlformats.org/officeDocument/2006/relationships/hyperlink" Target="https://docs.google.com/spreadsheets/d/1KqIBsmKlYUzx91lf4OF9gyjalxSPZAuKsoi7n7y5Jf0/edit?usp=sharing" TargetMode="External"/><Relationship Id="rId58" Type="http://schemas.openxmlformats.org/officeDocument/2006/relationships/hyperlink" Target="https://docs.google.com/spreadsheets/d/1sezgaDosApbZxhj1d86XdEY39Q9KCDXoZ6FxoR7Saq4/edit?usp=sharing" TargetMode="External"/><Relationship Id="rId79" Type="http://schemas.openxmlformats.org/officeDocument/2006/relationships/hyperlink" Target="https://docs.google.com/spreadsheets/d/1WZMTtyns-TKzH1ygs0pr8bjGJvPiCjtTcqS7l5LS5ZE/edit?usp=sharing" TargetMode="External"/><Relationship Id="rId102" Type="http://schemas.openxmlformats.org/officeDocument/2006/relationships/hyperlink" Target="https://docs.google.com/spreadsheets/d/166NI7mWNaroBkxIiKvlNj13zkmS5cFat0zjkwk99VJM/edit?usp=sharing" TargetMode="External"/><Relationship Id="rId123" Type="http://schemas.openxmlformats.org/officeDocument/2006/relationships/hyperlink" Target="https://docs.google.com/spreadsheets/d/1pZaavgKVzCWzxGl2HTdqic1cr797HehVQb41gF4-6dY/edit?usp=sharing" TargetMode="External"/><Relationship Id="rId144" Type="http://schemas.openxmlformats.org/officeDocument/2006/relationships/hyperlink" Target="https://docs.google.com/spreadsheets/d/1wxTxFdPuACjgd92ZPS10pAaeuP4iMmgcxRIKMwKnDew/edit?usp=sharing" TargetMode="External"/><Relationship Id="rId90" Type="http://schemas.openxmlformats.org/officeDocument/2006/relationships/hyperlink" Target="https://docs.google.com/spreadsheets/d/1s7jJ3TN_x8TlT7n9aWP7o4621oRmiGrW7abmhp_aAm4/edit?usp=sharing" TargetMode="External"/><Relationship Id="rId165" Type="http://schemas.openxmlformats.org/officeDocument/2006/relationships/hyperlink" Target="https://docs.google.com/spreadsheets/d/1mSALZUxiJ9Bq0aPaClllej9uwzGCz0xLxr6AgehgOoQ/edit?usp=sharing" TargetMode="External"/><Relationship Id="rId186" Type="http://schemas.openxmlformats.org/officeDocument/2006/relationships/hyperlink" Target="https://docs.google.com/spreadsheets/d/1w7oW3qj0-tpEvKZhpWnzplf0W9blXbmZ6uGucM2VAgY/edit?usp=sharing" TargetMode="External"/><Relationship Id="rId211" Type="http://schemas.openxmlformats.org/officeDocument/2006/relationships/hyperlink" Target="https://docs.google.com/spreadsheets/d/1al4eJIjkFNuZrYzXYEW1_rGEa5JztiNgNoFJuCschFA/edit?usp=sharing" TargetMode="External"/><Relationship Id="rId232" Type="http://schemas.openxmlformats.org/officeDocument/2006/relationships/hyperlink" Target="https://docs.google.com/spreadsheets/d/17nuKyRbJj19fVXFvPCHwEq_ch3Og0H84YOxq0vlnZaY/edit?usp=sharing" TargetMode="External"/><Relationship Id="rId253" Type="http://schemas.openxmlformats.org/officeDocument/2006/relationships/hyperlink" Target="https://docs.google.com/spreadsheets/d/1EbKRsIQh0eCVz7Y9oogjRIVIQqTwTa43Yhc9V1isTkw/edit?usp=sharing" TargetMode="External"/><Relationship Id="rId274" Type="http://schemas.openxmlformats.org/officeDocument/2006/relationships/hyperlink" Target="https://docs.google.com/spreadsheets/d/1o5BawshhAlAnnQNapDhgH4SVwV05Tyd0qz2Pvcu_JC4/edit?usp=sharing" TargetMode="External"/><Relationship Id="rId27" Type="http://schemas.openxmlformats.org/officeDocument/2006/relationships/hyperlink" Target="https://docs.google.com/spreadsheets/d/1ONDavWRyJTqE4atK2JU7aW8Cdcysac5Ca9Y0FvGc2Vs/edit?usp=sharing" TargetMode="External"/><Relationship Id="rId48" Type="http://schemas.openxmlformats.org/officeDocument/2006/relationships/hyperlink" Target="https://docs.google.com/spreadsheets/d/1CAiA4zLtBKAmqt-yumz8WVi7vP4Kg7EKmM6gzDW-ddQ/edit?usp=sharing" TargetMode="External"/><Relationship Id="rId69" Type="http://schemas.openxmlformats.org/officeDocument/2006/relationships/hyperlink" Target="https://docs.google.com/spreadsheets/d/1F7vVmowwT-enm1MLH3YgWQXili0XCE-UTW9CIAa3Q0o/edit?usp=sharing" TargetMode="External"/><Relationship Id="rId113" Type="http://schemas.openxmlformats.org/officeDocument/2006/relationships/hyperlink" Target="https://docs.google.com/spreadsheets/d/1mUR5hHSnCvtw6FcnxlqWwmh2xn5Mo8slYJEz1e9cWuM/edit?usp=sharing" TargetMode="External"/><Relationship Id="rId134" Type="http://schemas.openxmlformats.org/officeDocument/2006/relationships/hyperlink" Target="https://docs.google.com/spreadsheets/d/1ofXfgApzR9AW7TmfnvKklv8M5RiY9MYZ71VwxPghEOw/edit?usp=sharing" TargetMode="External"/><Relationship Id="rId80" Type="http://schemas.openxmlformats.org/officeDocument/2006/relationships/hyperlink" Target="https://docs.google.com/spreadsheets/d/1L7v8QF2_DYT6bbBOr22ZcGx1tD3PLCeNHbbl6F_uju0/edit?usp=sharing" TargetMode="External"/><Relationship Id="rId155" Type="http://schemas.openxmlformats.org/officeDocument/2006/relationships/hyperlink" Target="https://docs.google.com/spreadsheets/d/1HyuwdR3eLZK6E54II8iR-PwFVodq3jMwHbq7WHaFnnM/edit?usp=sharing" TargetMode="External"/><Relationship Id="rId176" Type="http://schemas.openxmlformats.org/officeDocument/2006/relationships/hyperlink" Target="https://docs.google.com/spreadsheets/d/1rieiO2WOh_G6TTiaCbvwnzy2_7dvSkA4Pa9csG_Trqg/edit?usp=sharing" TargetMode="External"/><Relationship Id="rId197" Type="http://schemas.openxmlformats.org/officeDocument/2006/relationships/hyperlink" Target="https://docs.google.com/spreadsheets/d/14xEJCFfdpiVWNCROTXFjmJIW1UWEk-GBZg-72FZNQKQ/edit?usp=sharing" TargetMode="External"/><Relationship Id="rId201" Type="http://schemas.openxmlformats.org/officeDocument/2006/relationships/hyperlink" Target="https://docs.google.com/spreadsheets/d/1M_SSMnxCabPXrRDrmZUWnhK8djWWCxk3oR33RSUl_dQ/edit?usp=sharing" TargetMode="External"/><Relationship Id="rId222" Type="http://schemas.openxmlformats.org/officeDocument/2006/relationships/hyperlink" Target="https://docs.google.com/spreadsheets/d/1zmV5-mIp8rR_z2-oMIEl5zngPbJlWMgWWZ_YnW5jO2c/edit?usp=sharing" TargetMode="External"/><Relationship Id="rId243" Type="http://schemas.openxmlformats.org/officeDocument/2006/relationships/hyperlink" Target="https://docs.google.com/spreadsheets/d/1VcpL_Mlx3WZ74vsmlNRsA-0hA5ApomXryNzI_9e5y3c/edit?usp=sharing" TargetMode="External"/><Relationship Id="rId264" Type="http://schemas.openxmlformats.org/officeDocument/2006/relationships/hyperlink" Target="https://docs.google.com/spreadsheets/d/1T61sGNA93pcM9sIgEx8cqvwE1tEt23-voao8L1aDpr8/edit?usp=sharing" TargetMode="External"/><Relationship Id="rId285" Type="http://schemas.openxmlformats.org/officeDocument/2006/relationships/hyperlink" Target="https://docs.google.com/spreadsheets/d/1v17KTjBNs1qNublXB8xwFJrgtGYMjKRfxmk1lQDt6ZE/edit?usp=sharing" TargetMode="External"/><Relationship Id="rId17" Type="http://schemas.openxmlformats.org/officeDocument/2006/relationships/hyperlink" Target="https://docs.google.com/spreadsheets/d/1ACXS6QGnUAnouFIRvBqU2SLtZwCo6aHnUMBJY9UEhYA/edit?usp=sharing" TargetMode="External"/><Relationship Id="rId38" Type="http://schemas.openxmlformats.org/officeDocument/2006/relationships/hyperlink" Target="https://docs.google.com/spreadsheets/d/1Yhsq2PCjYF5ztKvNaT0fNwzcFbbGrYpAfRpCYhKYMMI/edit?usp=sharing" TargetMode="External"/><Relationship Id="rId59" Type="http://schemas.openxmlformats.org/officeDocument/2006/relationships/hyperlink" Target="https://docs.google.com/spreadsheets/d/1zSMK7PjtpDs9VbSlL9_5RBjnUrx3pvuxW_3DFpDHBUQ/edit?usp=sharing" TargetMode="External"/><Relationship Id="rId103" Type="http://schemas.openxmlformats.org/officeDocument/2006/relationships/hyperlink" Target="https://docs.google.com/spreadsheets/d/1MW9l8W9pU0vXilxTxHVhTu4zUEci2tl1HKjpqU927vE/edit?usp=sharing" TargetMode="External"/><Relationship Id="rId124" Type="http://schemas.openxmlformats.org/officeDocument/2006/relationships/hyperlink" Target="https://docs.google.com/spreadsheets/d/1MWIHUP3DY8V7IRoU4h6zBBH3AK7CJpYhQyVOvjR9WzU/edit?usp=sharing" TargetMode="External"/><Relationship Id="rId70" Type="http://schemas.openxmlformats.org/officeDocument/2006/relationships/hyperlink" Target="https://docs.google.com/spreadsheets/d/1cDZOXfxU2oItp_E0IczAmYu2K2RmBW31WQvpuD_rQJw/edit?usp=sharing" TargetMode="External"/><Relationship Id="rId91" Type="http://schemas.openxmlformats.org/officeDocument/2006/relationships/hyperlink" Target="https://docs.google.com/spreadsheets/d/1PEQQ7WUkTK7xWC01ikEoCvjTDv8j1vADRSrUs7Sz_xU/edit?usp=sharing" TargetMode="External"/><Relationship Id="rId145" Type="http://schemas.openxmlformats.org/officeDocument/2006/relationships/hyperlink" Target="https://docs.google.com/spreadsheets/d/1lKlYiD9maSN546qtS10cDU-FP-3HSbggA_gTtXa-rTI/edit?usp=sharing" TargetMode="External"/><Relationship Id="rId166" Type="http://schemas.openxmlformats.org/officeDocument/2006/relationships/hyperlink" Target="https://docs.google.com/spreadsheets/d/1tdZa6-uEzvzG9R8SLnJrea-EqKqEyt4-gTujbqMQ2PA/edit?usp=sharing" TargetMode="External"/><Relationship Id="rId187" Type="http://schemas.openxmlformats.org/officeDocument/2006/relationships/hyperlink" Target="https://docs.google.com/spreadsheets/d/1B0HLvl3PSyq5m6gqpGkuz5tEgj-7HtVZtjXpIXO2x_s/edit?usp=sharing" TargetMode="External"/><Relationship Id="rId1" Type="http://schemas.openxmlformats.org/officeDocument/2006/relationships/hyperlink" Target="https://docs.google.com/spreadsheets/d/1ijKiDpjKeKPPf9oi0Y0BLsX0fO8B27nJQPYcDjK_DFE/edit?usp=sharing" TargetMode="External"/><Relationship Id="rId212" Type="http://schemas.openxmlformats.org/officeDocument/2006/relationships/hyperlink" Target="https://docs.google.com/spreadsheets/d/1hwlbr-Py7I1EjC4c4OSyOgC7b5T8lu-j-rz3M_v9KjM/edit?usp=sharing" TargetMode="External"/><Relationship Id="rId233" Type="http://schemas.openxmlformats.org/officeDocument/2006/relationships/hyperlink" Target="https://docs.google.com/spreadsheets/d/1B9Yq4gM3qX3fVrsTsT7kY6RRji9ea9WKfgjUb1hqHc4/edit?usp=sharing" TargetMode="External"/><Relationship Id="rId254" Type="http://schemas.openxmlformats.org/officeDocument/2006/relationships/hyperlink" Target="https://docs.google.com/spreadsheets/d/10moNgv61BRvJGL9Q4lkN9AapZlYxHxG1a5Yum0nR6O8/edit?usp=sharing" TargetMode="External"/><Relationship Id="rId28" Type="http://schemas.openxmlformats.org/officeDocument/2006/relationships/hyperlink" Target="https://docs.google.com/spreadsheets/d/1Dqoe19JLpjWj7gj7cJ4bI-fZo1ms2umUniQas_efyuw/edit?usp=sharing" TargetMode="External"/><Relationship Id="rId49" Type="http://schemas.openxmlformats.org/officeDocument/2006/relationships/hyperlink" Target="https://docs.google.com/spreadsheets/d/1Z61L52EEGXPy62_KGK21q3V0VJzSN2ChPgSr4mCpt6A/edit?usp=sharing" TargetMode="External"/><Relationship Id="rId114" Type="http://schemas.openxmlformats.org/officeDocument/2006/relationships/hyperlink" Target="https://docs.google.com/spreadsheets/d/1rgwAYSitvTb5A0dTQKYKG4NedP-N3gIyZcc7pwfdJtw/edit?usp=sharing" TargetMode="External"/><Relationship Id="rId275" Type="http://schemas.openxmlformats.org/officeDocument/2006/relationships/hyperlink" Target="https://docs.google.com/spreadsheets/d/1Sk1fR6iSygd0xTsVpLS8_s240nLqdBWv4Jjhjq9-Jtg/edit?usp=sharing" TargetMode="External"/><Relationship Id="rId60" Type="http://schemas.openxmlformats.org/officeDocument/2006/relationships/hyperlink" Target="https://docs.google.com/spreadsheets/d/1Ad9PjqcrfrjB2Ie9gzlv7sorp_UiXedxENU4i86Sq5k/edit?usp=sharing" TargetMode="External"/><Relationship Id="rId81" Type="http://schemas.openxmlformats.org/officeDocument/2006/relationships/hyperlink" Target="https://docs.google.com/spreadsheets/d/1nlKZvP0nE42so-zDssCvctZfrBMz0L8PjlXGcHBqvJ4/edit?usp=sharing" TargetMode="External"/><Relationship Id="rId135" Type="http://schemas.openxmlformats.org/officeDocument/2006/relationships/hyperlink" Target="https://docs.google.com/spreadsheets/d/1kZwThz_gu8cD11kaT0ehepnQ0FP0c5zfpsvJy8KzGq4/edit?usp=sharing" TargetMode="External"/><Relationship Id="rId156" Type="http://schemas.openxmlformats.org/officeDocument/2006/relationships/hyperlink" Target="https://docs.google.com/spreadsheets/d/1aw4a-xdpTV4gHUg37QN-1T-2bXHE0RDVGGa1eljIQ5c/edit?usp=sharing" TargetMode="External"/><Relationship Id="rId177" Type="http://schemas.openxmlformats.org/officeDocument/2006/relationships/hyperlink" Target="https://docs.google.com/spreadsheets/d/1ivmkWbz6R_V44JPEJMSQEZqv901XPMnTtk3Wwa83oC0/edit?usp=sharing" TargetMode="External"/><Relationship Id="rId198" Type="http://schemas.openxmlformats.org/officeDocument/2006/relationships/hyperlink" Target="https://docs.google.com/spreadsheets/d/1T61sGNA93pcM9sIgEx8cqvwE1tEt23-voao8L1aDpr8/edit?usp=sharing" TargetMode="External"/><Relationship Id="rId202" Type="http://schemas.openxmlformats.org/officeDocument/2006/relationships/hyperlink" Target="https://docs.google.com/spreadsheets/d/140sbymSVH3L5rD0eG1vDyJmwTRB_AZaqWVm4Q3V_Cl8/edit?usp=sharing" TargetMode="External"/><Relationship Id="rId223" Type="http://schemas.openxmlformats.org/officeDocument/2006/relationships/hyperlink" Target="https://docs.google.com/spreadsheets/d/1IabZAm0FCeWkfoqwu15qjpLHv46Q5RF0uzQPNRtTI0M/edit?usp=sharing" TargetMode="External"/><Relationship Id="rId244" Type="http://schemas.openxmlformats.org/officeDocument/2006/relationships/hyperlink" Target="https://docs.google.com/spreadsheets/d/1ChtPMQsZFs_e7RD5qApK5BBghAelM27B8aSHhsLzJ6g/edit?usp=sharing" TargetMode="External"/><Relationship Id="rId18" Type="http://schemas.openxmlformats.org/officeDocument/2006/relationships/hyperlink" Target="https://docs.google.com/spreadsheets/d/1rcv-IFJcenhQQs-C5jXBKa6Mncri9zNMsAxllD7uXeo/edit?usp=sharing" TargetMode="External"/><Relationship Id="rId39" Type="http://schemas.openxmlformats.org/officeDocument/2006/relationships/hyperlink" Target="https://docs.google.com/spreadsheets/d/1r9i2K5drEJD6I_cPOmePg72LVOnJD6zcws7MtG2aZ1I/edit?usp=sharing" TargetMode="External"/><Relationship Id="rId265" Type="http://schemas.openxmlformats.org/officeDocument/2006/relationships/hyperlink" Target="https://docs.google.com/spreadsheets/d/1ipYDNf60_QgEbN-2KuVi2Bsprag1VbuU4TXVZRo0ZLc/edit?usp=sharing" TargetMode="External"/><Relationship Id="rId286" Type="http://schemas.openxmlformats.org/officeDocument/2006/relationships/hyperlink" Target="https://docs.google.com/spreadsheets/d/1M7D-LlYsnXIrNpTNB5zXBrghFowoz2Qu8T6xzEfTx0I/edit?usp=sharing" TargetMode="External"/><Relationship Id="rId50" Type="http://schemas.openxmlformats.org/officeDocument/2006/relationships/hyperlink" Target="https://docs.google.com/spreadsheets/d/1_TQA2PKFEtm4Fg5ErtrC6XW9ttJFojZm-WfJc70ysfE/edit?usp=sharing" TargetMode="External"/><Relationship Id="rId104" Type="http://schemas.openxmlformats.org/officeDocument/2006/relationships/hyperlink" Target="https://docs.google.com/spreadsheets/d/1dnDAZTqecwOQHPgAumgzGvFTKL8vedwAq5pZ8678_nM/edit?usp=sharing" TargetMode="External"/><Relationship Id="rId125" Type="http://schemas.openxmlformats.org/officeDocument/2006/relationships/hyperlink" Target="https://docs.google.com/spreadsheets/d/15_3GvEhCfjW8QiZ-PeMT4zu2Yj04LNJOqTil84b8_zY/edit?usp=sharing" TargetMode="External"/><Relationship Id="rId146" Type="http://schemas.openxmlformats.org/officeDocument/2006/relationships/hyperlink" Target="https://docs.google.com/spreadsheets/d/1jds5knWGMoWQXK6KEk7cDERIfjD3fUlfaM350UCOYUQ/edit?usp=sharing" TargetMode="External"/><Relationship Id="rId167" Type="http://schemas.openxmlformats.org/officeDocument/2006/relationships/hyperlink" Target="https://docs.google.com/spreadsheets/d/13i_oWZnktzR9bFgtLnmIqia5evVMMw4MXEQ2sgn3ih4/edit?usp=sharing" TargetMode="External"/><Relationship Id="rId188" Type="http://schemas.openxmlformats.org/officeDocument/2006/relationships/hyperlink" Target="https://docs.google.com/spreadsheets/d/1IMU0L51vb3XErcvMtJEDu19wNybw6ZH5uwo6PcQQCmQ/edit?usp=sharing" TargetMode="External"/><Relationship Id="rId71" Type="http://schemas.openxmlformats.org/officeDocument/2006/relationships/hyperlink" Target="https://docs.google.com/spreadsheets/d/1jamGYBM52MlrkGdhRlCUEWRaiVKGklH4EqEUAqgBBJY/edit?usp=sharing" TargetMode="External"/><Relationship Id="rId92" Type="http://schemas.openxmlformats.org/officeDocument/2006/relationships/hyperlink" Target="https://docs.google.com/spreadsheets/d/10JdI_g3nluC4hCaDJYXac97PdQG2s8WBYnKWjCytPeI/edit?usp=sharing" TargetMode="External"/><Relationship Id="rId213" Type="http://schemas.openxmlformats.org/officeDocument/2006/relationships/hyperlink" Target="https://docs.google.com/spreadsheets/d/1VM2bC0VL6R6I6HgQOsQEOYp7hkSiH4G_RZNZ2tjynWY/edit?usp=sharing" TargetMode="External"/><Relationship Id="rId234" Type="http://schemas.openxmlformats.org/officeDocument/2006/relationships/hyperlink" Target="https://docs.google.com/spreadsheets/d/1jUrmBt0JrD6yVt9wqLo-ZE2NMsN2tRuLhczbrejEY50/edit?usp=sharing" TargetMode="External"/><Relationship Id="rId2" Type="http://schemas.openxmlformats.org/officeDocument/2006/relationships/hyperlink" Target="https://docs.google.com/spreadsheets/d/17WIwH3IeXoPbBeBx9YsPouZWFt3sxJnv2UDEZHUD7Gk/edit?usp=sharing" TargetMode="External"/><Relationship Id="rId29" Type="http://schemas.openxmlformats.org/officeDocument/2006/relationships/hyperlink" Target="https://docs.google.com/spreadsheets/d/1ehQ0TVKio4NuJ6tGQBlpbGzF8YahCMcxpLFRGb15Cpw/edit?usp=sharing" TargetMode="External"/><Relationship Id="rId255" Type="http://schemas.openxmlformats.org/officeDocument/2006/relationships/hyperlink" Target="https://docs.google.com/spreadsheets/d/1WvJpfTHzYtx35MN_vzPKwOcZfu-0Q_9OZTsUFL1d4rc/edit?usp=sharing" TargetMode="External"/><Relationship Id="rId276" Type="http://schemas.openxmlformats.org/officeDocument/2006/relationships/hyperlink" Target="https://docs.google.com/spreadsheets/d/1dBWRtOCjS8jiHt46kDxKYAtEZI05oaMfmVDQaHNgUgc/edit?usp=sharing" TargetMode="External"/><Relationship Id="rId40" Type="http://schemas.openxmlformats.org/officeDocument/2006/relationships/hyperlink" Target="https://docs.google.com/spreadsheets/d/1DSKmz05Oh8JcUEL8zKfi6AtCc2NBZtOYB81SoVpgoZA/edit?usp=sharing" TargetMode="External"/><Relationship Id="rId115" Type="http://schemas.openxmlformats.org/officeDocument/2006/relationships/hyperlink" Target="https://docs.google.com/spreadsheets/d/1Vc1egoE6tYNGY7HncUAkaSAJB-D8zrL7hoZywntLrN0/edit?usp=sharing" TargetMode="External"/><Relationship Id="rId136" Type="http://schemas.openxmlformats.org/officeDocument/2006/relationships/hyperlink" Target="https://docs.google.com/spreadsheets/d/1g8Fj3v6eeUmF65OQPn_Su56_86E8uKpuKiE2I_0OwSM/edit?usp=sharing" TargetMode="External"/><Relationship Id="rId157" Type="http://schemas.openxmlformats.org/officeDocument/2006/relationships/hyperlink" Target="https://docs.google.com/spreadsheets/d/1VgnM9QUiCMVTWtnHELOFsBlPqozD9cF5JXq-H5Uk7Mg/edit?usp=sharing" TargetMode="External"/><Relationship Id="rId178" Type="http://schemas.openxmlformats.org/officeDocument/2006/relationships/hyperlink" Target="https://docs.google.com/spreadsheets/d/1r6NnE-fLt1eXz9CTu_m6RHDAtxgdStoyoJ_sTezDmMA/edit?usp=sharing" TargetMode="External"/><Relationship Id="rId61" Type="http://schemas.openxmlformats.org/officeDocument/2006/relationships/hyperlink" Target="https://docs.google.com/spreadsheets/d/1im0U6VQ3YSPz7wUNHbUmG5iBPWTtOuaViQQtUNXE9l0/edit?usp=sharing" TargetMode="External"/><Relationship Id="rId82" Type="http://schemas.openxmlformats.org/officeDocument/2006/relationships/hyperlink" Target="https://docs.google.com/spreadsheets/d/11xKAUa1ZPlrelz7wZOfBtXOuYQ-kT-YCHdyadSYyQQ0/edit?usp=sharing" TargetMode="External"/><Relationship Id="rId199" Type="http://schemas.openxmlformats.org/officeDocument/2006/relationships/hyperlink" Target="https://docs.google.com/spreadsheets/d/1-voY2qu8aGXUbFp-_EgE2mW6Fok6fCA3bt4w5a0jFWU/edit?usp=sharing" TargetMode="External"/><Relationship Id="rId203" Type="http://schemas.openxmlformats.org/officeDocument/2006/relationships/hyperlink" Target="https://docs.google.com/spreadsheets/d/1PR_7FjjyjJo-aMFS72GKxcWLeTDvUmvtkepgGeVrvH8/edit?usp=sharing" TargetMode="External"/><Relationship Id="rId19" Type="http://schemas.openxmlformats.org/officeDocument/2006/relationships/hyperlink" Target="https://docs.google.com/spreadsheets/d/1gSVMCdT9jE8PR23mzZmBnzSxOLWNnROY0OtByF4DMrU/edit?usp=sharing" TargetMode="External"/><Relationship Id="rId224" Type="http://schemas.openxmlformats.org/officeDocument/2006/relationships/hyperlink" Target="https://docs.google.com/spreadsheets/d/1B7r-p9RA0o4EaXgZgRehkJDnJ-inPSk46XMsJE0RVY0/edit?usp=sharing" TargetMode="External"/><Relationship Id="rId245" Type="http://schemas.openxmlformats.org/officeDocument/2006/relationships/hyperlink" Target="https://docs.google.com/spreadsheets/d/1FwDlvJIzoDmDU85vT9WcrPEKjGOCO8PvELneKeT6QZ8/edit?usp=sharing" TargetMode="External"/><Relationship Id="rId266" Type="http://schemas.openxmlformats.org/officeDocument/2006/relationships/hyperlink" Target="https://docs.google.com/spreadsheets/d/1is10j7sPzaMKER2vnHVB4fKUFlHuJqsz6BVGwnZEsTc/edit?usp=sharing" TargetMode="External"/><Relationship Id="rId287" Type="http://schemas.openxmlformats.org/officeDocument/2006/relationships/hyperlink" Target="https://docs.google.com/spreadsheets/d/12uiOCPjuzufgQID6X5T8U5vp-Our_IJkP15o4N7RGVY/edit?usp=sharing" TargetMode="External"/><Relationship Id="rId30" Type="http://schemas.openxmlformats.org/officeDocument/2006/relationships/hyperlink" Target="https://docs.google.com/spreadsheets/d/1pZRDVKCrnid-ZJQm7teRvgkS2yzCYOCLiicqdemCpXs/edit?usp=sharing" TargetMode="External"/><Relationship Id="rId105" Type="http://schemas.openxmlformats.org/officeDocument/2006/relationships/hyperlink" Target="https://docs.google.com/spreadsheets/d/1-ua2v9wd2OuT0zm77katVrJTj9KXg4ipWUhMdIYMkf8/edit?usp=sharing" TargetMode="External"/><Relationship Id="rId126" Type="http://schemas.openxmlformats.org/officeDocument/2006/relationships/hyperlink" Target="https://docs.google.com/spreadsheets/d/1bIryhnkgm4w1hBfUxVN1oN7yvnJ9MHgQvi11AQ-ZjYs/edit?usp=sharing" TargetMode="External"/><Relationship Id="rId147" Type="http://schemas.openxmlformats.org/officeDocument/2006/relationships/hyperlink" Target="https://docs.google.com/spreadsheets/d/1RJv5jEyQ5_MPcAB99JAciratq4g_jtr7z6e8ddg0oto/edit?usp=sharing" TargetMode="External"/><Relationship Id="rId168" Type="http://schemas.openxmlformats.org/officeDocument/2006/relationships/hyperlink" Target="https://docs.google.com/spreadsheets/d/193r8kCrIdukleBJzMDH-e6q2Ozhl_TJy2VjoGelYCRE/edit?usp=sharing" TargetMode="External"/><Relationship Id="rId51" Type="http://schemas.openxmlformats.org/officeDocument/2006/relationships/hyperlink" Target="https://docs.google.com/spreadsheets/d/1E8bmxTFdN2e8_y5qN07PVUNFiiYlQsaegoAkL2MV0Go/edit?usp=sharing" TargetMode="External"/><Relationship Id="rId72" Type="http://schemas.openxmlformats.org/officeDocument/2006/relationships/hyperlink" Target="https://docs.google.com/spreadsheets/d/1xI7O0uyP10t_3ClVj4_8AjBghr8nY-ymqLxBM2v5lz8/edit?usp=sharing" TargetMode="External"/><Relationship Id="rId93" Type="http://schemas.openxmlformats.org/officeDocument/2006/relationships/hyperlink" Target="https://docs.google.com/spreadsheets/d/1P_Rjt3Kff8pmcBqQ631egHtRzb_qqOK7qXGKbJUA25c/edit?usp=sharing" TargetMode="External"/><Relationship Id="rId189" Type="http://schemas.openxmlformats.org/officeDocument/2006/relationships/hyperlink" Target="https://docs.google.com/spreadsheets/d/1uhhbHhWeYU8MiBdhYk4KQOLLiBzgY8S34LKjPLXgyUg/edit?usp=sharing" TargetMode="External"/><Relationship Id="rId3" Type="http://schemas.openxmlformats.org/officeDocument/2006/relationships/hyperlink" Target="https://docs.google.com/spreadsheets/d/1QnEKcYjGDMDHFgOLWI_lQAT2fhy4bCUfCp5WA5vC1Iw/edit?usp=sharing" TargetMode="External"/><Relationship Id="rId214" Type="http://schemas.openxmlformats.org/officeDocument/2006/relationships/hyperlink" Target="https://docs.google.com/spreadsheets/d/1Hq52bQUw_BgROpBau3gXV8bYptAe7A1MIjKBGYc8fGE/edit?usp=sharing" TargetMode="External"/><Relationship Id="rId235" Type="http://schemas.openxmlformats.org/officeDocument/2006/relationships/hyperlink" Target="https://docs.google.com/spreadsheets/d/1wzBiI2j3XuT2a-QISGP9jgWhmfUaNDHSfScmTrs3zPU/edit?usp=sharing" TargetMode="External"/><Relationship Id="rId256" Type="http://schemas.openxmlformats.org/officeDocument/2006/relationships/hyperlink" Target="https://docs.google.com/spreadsheets/d/19NonlsG24VM50rHr3AOdl-VaH_NNLDvujMX4G7hsqVs/edit?usp=sharing" TargetMode="External"/><Relationship Id="rId277" Type="http://schemas.openxmlformats.org/officeDocument/2006/relationships/hyperlink" Target="https://docs.google.com/spreadsheets/d/1KscWl79yr65R_i4Ip0-eytcJaaoR8fwB-LxcIy1QKPo/edit?usp=sharing" TargetMode="External"/><Relationship Id="rId116" Type="http://schemas.openxmlformats.org/officeDocument/2006/relationships/hyperlink" Target="https://docs.google.com/spreadsheets/d/1oyJl0-H5kKT4oMMLT6KFgXrK-Vpn_AHCP622nQtY-Uo/edit?usp=sharing" TargetMode="External"/><Relationship Id="rId137" Type="http://schemas.openxmlformats.org/officeDocument/2006/relationships/hyperlink" Target="https://docs.google.com/spreadsheets/d/1cd0yDbJzxCyypxzZTe_GDzDHfV4Noj5qYm6pmYwl6BA/edit?usp=sharing" TargetMode="External"/><Relationship Id="rId158" Type="http://schemas.openxmlformats.org/officeDocument/2006/relationships/hyperlink" Target="https://docs.google.com/spreadsheets/d/138_Pg5JW8vPfKWiVOQQCu8A31JPCWoeNdD8wRTttOSc/edit?usp=sharing" TargetMode="External"/><Relationship Id="rId20" Type="http://schemas.openxmlformats.org/officeDocument/2006/relationships/hyperlink" Target="https://docs.google.com/spreadsheets/d/1gVx0oZIoUmE2pp7UZSlNo0YB4NM59vfZqDwUozdCums/edit?usp=sharing" TargetMode="External"/><Relationship Id="rId41" Type="http://schemas.openxmlformats.org/officeDocument/2006/relationships/hyperlink" Target="https://docs.google.com/spreadsheets/d/1iQLuNdpZnQ7iqlb2LapCgV1Uf13BnvfiLmYzRPDMpqM/edit?usp=sharing" TargetMode="External"/><Relationship Id="rId62" Type="http://schemas.openxmlformats.org/officeDocument/2006/relationships/hyperlink" Target="https://docs.google.com/spreadsheets/d/1e2CviT_x9ldWq_qNPJYc3IyKxHHSSORsTlY0EhumQu0/edit?usp=sharing" TargetMode="External"/><Relationship Id="rId83" Type="http://schemas.openxmlformats.org/officeDocument/2006/relationships/hyperlink" Target="https://docs.google.com/spreadsheets/d/1lrdUhggAhEGbpu7S2X_zq_yMjuV2om3amN1ZCTz52TE/edit?usp=sharing" TargetMode="External"/><Relationship Id="rId179" Type="http://schemas.openxmlformats.org/officeDocument/2006/relationships/hyperlink" Target="https://docs.google.com/spreadsheets/d/1GsrhbPUs6Z-tl6U4tl4TejbPtCbxGPYm-tM89LDQTng/edit?usp=sharing" TargetMode="External"/><Relationship Id="rId190" Type="http://schemas.openxmlformats.org/officeDocument/2006/relationships/hyperlink" Target="https://docs.google.com/spreadsheets/d/1PHUSOtxnLpecq4XNnFUymiW4Q6HmdVHuJqWaW6fnHOw/edit?usp=sharing" TargetMode="External"/><Relationship Id="rId204" Type="http://schemas.openxmlformats.org/officeDocument/2006/relationships/hyperlink" Target="https://docs.google.com/spreadsheets/d/1Agkzjs1uYtLxcNjFAcJwtAyTNubHwtoS6xnVa0k1HHg/edit?usp=sharing" TargetMode="External"/><Relationship Id="rId225" Type="http://schemas.openxmlformats.org/officeDocument/2006/relationships/hyperlink" Target="https://docs.google.com/spreadsheets/d/1-pQQ9LNUWBpWMRSJDyUJdoSNaeqJi4Dp434L9GoRwHI/edit?usp=sharing" TargetMode="External"/><Relationship Id="rId246" Type="http://schemas.openxmlformats.org/officeDocument/2006/relationships/hyperlink" Target="https://docs.google.com/spreadsheets/d/1n6FLGF0fp5cEJj1Yf8Cw5GxijnnzvyYOK4bf-oATjo0/edit?usp=sharing" TargetMode="External"/><Relationship Id="rId267" Type="http://schemas.openxmlformats.org/officeDocument/2006/relationships/hyperlink" Target="https://docs.google.com/spreadsheets/d/1taYlKx5MReDqD7uGIZMY_stpgmvY6FFjlBh0Uoay1sY/edit?usp=sharing" TargetMode="External"/><Relationship Id="rId288" Type="http://schemas.openxmlformats.org/officeDocument/2006/relationships/hyperlink" Target="https://docs.google.com/spreadsheets/d/17_sAMgotTVly5K1hNz5Ym5e9yEtGHiz_mNzoYsCFZYI/edit?usp=sharing" TargetMode="External"/><Relationship Id="rId106" Type="http://schemas.openxmlformats.org/officeDocument/2006/relationships/hyperlink" Target="https://docs.google.com/spreadsheets/d/1yKDdxr1AUX_pXw6JC0gY7L2mWJUATcrt7_PL0ct2hbU/edit?usp=sharing" TargetMode="External"/><Relationship Id="rId127" Type="http://schemas.openxmlformats.org/officeDocument/2006/relationships/hyperlink" Target="https://docs.google.com/spreadsheets/d/1DA3ZbBJPTLigl-7OmDjVp7RU9qM3XB9xmxDAslgoDMk/edit?usp=sharing" TargetMode="External"/><Relationship Id="rId10" Type="http://schemas.openxmlformats.org/officeDocument/2006/relationships/hyperlink" Target="https://docs.google.com/spreadsheets/d/1NCtfLmfLAIy-eQWOGBTg6RUK0d87Dipfk9uN5B-EDrc/edit?usp=sharing" TargetMode="External"/><Relationship Id="rId31" Type="http://schemas.openxmlformats.org/officeDocument/2006/relationships/hyperlink" Target="https://docs.google.com/spreadsheets/d/1dCTWzhnO-_HOIAI9GN0RFJyFjyCXHf3yPFTjqmnVLVk/edit?usp=sharing" TargetMode="External"/><Relationship Id="rId52" Type="http://schemas.openxmlformats.org/officeDocument/2006/relationships/hyperlink" Target="https://docs.google.com/spreadsheets/d/1RYxc-Gyr1PLHE1aBZd-sarAQtZhWtX0n88mGd-1jbe8/edit?usp=sharing" TargetMode="External"/><Relationship Id="rId73" Type="http://schemas.openxmlformats.org/officeDocument/2006/relationships/hyperlink" Target="https://docs.google.com/spreadsheets/d/1pv5C4AjTu5jgw6tjOAz1hkcIwOT6IVfr8U8jjKk2kBc/edit?usp=sharing" TargetMode="External"/><Relationship Id="rId94" Type="http://schemas.openxmlformats.org/officeDocument/2006/relationships/hyperlink" Target="https://docs.google.com/spreadsheets/d/1apgicfM2atffUraZKFTkS4HhTrAMN8506qPE2yByEQk/edit?usp=sharing" TargetMode="External"/><Relationship Id="rId148" Type="http://schemas.openxmlformats.org/officeDocument/2006/relationships/hyperlink" Target="https://docs.google.com/spreadsheets/d/1CWGLS1TrfBmmUgLDGgwBvf_jNKlyN7vc-ib6i0bvKlE/edit?usp=sharing" TargetMode="External"/><Relationship Id="rId169" Type="http://schemas.openxmlformats.org/officeDocument/2006/relationships/hyperlink" Target="https://docs.google.com/spreadsheets/d/1HQqZ21RZIyM34-AohtaBUNHaIS7_JORiQ9kWdfBwvmQ/edit?usp=sharing" TargetMode="External"/><Relationship Id="rId4" Type="http://schemas.openxmlformats.org/officeDocument/2006/relationships/hyperlink" Target="https://docs.google.com/spreadsheets/d/1IsTR0WV5rK4mmqDnvS5T9HYjsrf8YHLuBT0O59YZQiQ/edit?usp=sharing" TargetMode="External"/><Relationship Id="rId180" Type="http://schemas.openxmlformats.org/officeDocument/2006/relationships/hyperlink" Target="https://docs.google.com/spreadsheets/d/1EgLRvW__xuRBRa81SPX8dCJJVJ2WMexGGVJPcojMc48/edit?usp=sharing" TargetMode="External"/><Relationship Id="rId215" Type="http://schemas.openxmlformats.org/officeDocument/2006/relationships/hyperlink" Target="https://docs.google.com/spreadsheets/d/1SPvwFLvpksqx9NjgKdJGZe9Wh7fD4CDNFfEsY3ozaxQ/edit?usp=sharing" TargetMode="External"/><Relationship Id="rId236" Type="http://schemas.openxmlformats.org/officeDocument/2006/relationships/hyperlink" Target="https://docs.google.com/spreadsheets/d/1DSr489ZrXRg1XbqV7VXQ1oJZ512VNi0Sxq9fsRHwhNk/edit?usp=sharing" TargetMode="External"/><Relationship Id="rId257" Type="http://schemas.openxmlformats.org/officeDocument/2006/relationships/hyperlink" Target="https://docs.google.com/spreadsheets/d/1SLUED2U5WwXf_VK2_AZznacYHABZfimdB0fFp6tZjVw/edit?usp=sharing" TargetMode="External"/><Relationship Id="rId278" Type="http://schemas.openxmlformats.org/officeDocument/2006/relationships/hyperlink" Target="https://docs.google.com/spreadsheets/d/1XiSsFDSoP3WqGKD1qi3xR67M_Q4whf4Rq1JW6yjs12I/edit?usp=sharing" TargetMode="External"/><Relationship Id="rId42" Type="http://schemas.openxmlformats.org/officeDocument/2006/relationships/hyperlink" Target="https://docs.google.com/spreadsheets/d/1SW3XiixDLJRavviJv9Z0HCl0zLcs5hzrjulS3Qxveos/edit?usp=sharing" TargetMode="External"/><Relationship Id="rId84" Type="http://schemas.openxmlformats.org/officeDocument/2006/relationships/hyperlink" Target="https://docs.google.com/spreadsheets/d/1UGUph_AtylGrFnd1e1Y0BS9mn4NBiVUtfiRQfeSGBds/edit?usp=sharing" TargetMode="External"/><Relationship Id="rId138" Type="http://schemas.openxmlformats.org/officeDocument/2006/relationships/hyperlink" Target="https://docs.google.com/spreadsheets/d/1_ETrBbdqzzcLGnGaqIEDY0LKWwIBpDSEecpjUz1aK8A/edit?usp=sharing" TargetMode="External"/><Relationship Id="rId191" Type="http://schemas.openxmlformats.org/officeDocument/2006/relationships/hyperlink" Target="https://docs.google.com/spreadsheets/d/1ng-nPG-p4iTWurnMtVbU-RYByp99bkmXW438MVMHbTM/edit?usp=sharing" TargetMode="External"/><Relationship Id="rId205" Type="http://schemas.openxmlformats.org/officeDocument/2006/relationships/hyperlink" Target="https://docs.google.com/spreadsheets/d/1DwymeSWxy1mCAhXIBvp8B9r5pjfeCktNCGqiZfTG8ng/edit?usp=sharing" TargetMode="External"/><Relationship Id="rId247" Type="http://schemas.openxmlformats.org/officeDocument/2006/relationships/hyperlink" Target="https://docs.google.com/spreadsheets/d/18v4SSGJ4x0kG7C4EjlJYzywKPOi2gkfDe63VgJ4RoaI/edit?usp=sharing" TargetMode="External"/><Relationship Id="rId107" Type="http://schemas.openxmlformats.org/officeDocument/2006/relationships/hyperlink" Target="https://docs.google.com/spreadsheets/d/1aKyADqXkHhnbNhJy7Z2TgQxlTIOGKA2a1CDinrRuL3M/edit?usp=sharing" TargetMode="External"/><Relationship Id="rId11" Type="http://schemas.openxmlformats.org/officeDocument/2006/relationships/hyperlink" Target="https://docs.google.com/spreadsheets/d/12whbaRj6qTF7WoN3KNcdzr8xbADn_l7an10oWy6FXu0/edit?usp=sharing" TargetMode="External"/><Relationship Id="rId53" Type="http://schemas.openxmlformats.org/officeDocument/2006/relationships/hyperlink" Target="https://docs.google.com/spreadsheets/d/1qYjMCADXYowsO5iCmq7G_RCzGMDy-m_08dSpkTHKTkQ/edit?usp=sharing" TargetMode="External"/><Relationship Id="rId149" Type="http://schemas.openxmlformats.org/officeDocument/2006/relationships/hyperlink" Target="https://docs.google.com/spreadsheets/d/1nfJjSAXH1NqK8bR6hVEFC0VIvQ8VH8M04dy-wtN2wmI/edit?usp=sharing" TargetMode="External"/><Relationship Id="rId95" Type="http://schemas.openxmlformats.org/officeDocument/2006/relationships/hyperlink" Target="https://docs.google.com/spreadsheets/d/1Wa_PVpJv_U8IuX7AEOrv-lxxCpmi8mvivPXCQqgndXk/edit?usp=sharing" TargetMode="External"/><Relationship Id="rId160" Type="http://schemas.openxmlformats.org/officeDocument/2006/relationships/hyperlink" Target="https://docs.google.com/spreadsheets/d/1rcqXzQuuF5xj4tEsIZg4Hke6VUyf676a6XwzA0KXutY/edit?usp=sharing" TargetMode="External"/><Relationship Id="rId216" Type="http://schemas.openxmlformats.org/officeDocument/2006/relationships/hyperlink" Target="https://docs.google.com/spreadsheets/d/1v9krf458d3obwnwY4E_Mi01lb32EeJSKLkI-ZdF3TdE/edit?usp=sharing" TargetMode="External"/><Relationship Id="rId258" Type="http://schemas.openxmlformats.org/officeDocument/2006/relationships/hyperlink" Target="https://docs.google.com/spreadsheets/d/1QOn5ums88YF4OasyGPfcnRat3YXoVj6IrDP3SBTl5lA/edit?usp=sharing" TargetMode="External"/><Relationship Id="rId22" Type="http://schemas.openxmlformats.org/officeDocument/2006/relationships/hyperlink" Target="https://docs.google.com/spreadsheets/d/1avPI_44EWEJaEqqAgdK_koZTqt3RODIA2S9pxtd0F2A/edit?usp=sharing" TargetMode="External"/><Relationship Id="rId64" Type="http://schemas.openxmlformats.org/officeDocument/2006/relationships/hyperlink" Target="https://docs.google.com/spreadsheets/d/13DgXr3ks2riYrKMGnB0IGe-mByC9_cQYCWeaoLqT0KM/edit?usp=sharing" TargetMode="External"/><Relationship Id="rId118" Type="http://schemas.openxmlformats.org/officeDocument/2006/relationships/hyperlink" Target="https://docs.google.com/spreadsheets/d/1YockACPpnc1ruIV8jG3QIrQBr_SZYsa6cJE0prhMviQ/edit?usp=sharing"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ocs.google.com/spreadsheets/d/1Hg_xDEZA-OTCUMou6C4dP9xeq18UAzTnlgIaM4U03e8/edit?usp=sharing" TargetMode="External"/><Relationship Id="rId21" Type="http://schemas.openxmlformats.org/officeDocument/2006/relationships/hyperlink" Target="https://docs.google.com/spreadsheets/d/1xCKZ3Uw-ryQz1MPb2kyErC5eCd8c_XxFsA1QNNyaWwQ/edit?usp=sharing" TargetMode="External"/><Relationship Id="rId63" Type="http://schemas.openxmlformats.org/officeDocument/2006/relationships/hyperlink" Target="https://docs.google.com/spreadsheets/d/1ECfZn5XQycKofTwH8NcXF0bT0QS8LQXiAgJnN58gl1k/edit?usp=sharing" TargetMode="External"/><Relationship Id="rId159" Type="http://schemas.openxmlformats.org/officeDocument/2006/relationships/hyperlink" Target="https://docs.google.com/spreadsheets/d/1Dm5Mj-OsIvgJIgKI3to5QPI7b8l9cF5q1mTV_z2vhKQ/edit?usp=sharing" TargetMode="External"/><Relationship Id="rId170" Type="http://schemas.openxmlformats.org/officeDocument/2006/relationships/hyperlink" Target="https://docs.google.com/spreadsheets/d/1njW3m4zVnzRnvH05fWzhOxQlgWJgDLLpwtK1mSdZC3k/edit?usp=sharing" TargetMode="External"/><Relationship Id="rId226" Type="http://schemas.openxmlformats.org/officeDocument/2006/relationships/hyperlink" Target="https://docs.google.com/spreadsheets/d/1IEFTAWITcGK5qtLwUi0next2ni862mJ9mX4BZkFKcQQ/edit?usp=sharing" TargetMode="External"/><Relationship Id="rId268" Type="http://schemas.openxmlformats.org/officeDocument/2006/relationships/hyperlink" Target="https://docs.google.com/spreadsheets/d/1T9aaKtL4Wa3rDxil2mgvgOKDEx3WDrtqmUs7DG0Tl6o/edit?usp=sharing" TargetMode="External"/><Relationship Id="rId32" Type="http://schemas.openxmlformats.org/officeDocument/2006/relationships/hyperlink" Target="https://docs.google.com/spreadsheets/d/1mkTkKIqka6wxBGnHxTytVKdTKOWqRrjY4RhPFri96sc/edit?usp=sharing" TargetMode="External"/><Relationship Id="rId74" Type="http://schemas.openxmlformats.org/officeDocument/2006/relationships/hyperlink" Target="https://docs.google.com/spreadsheets/d/1ntKaxpvIX0UHMM25rhfefCM8Xij-JPD6oAbHujF04mA/edit?usp=sharing" TargetMode="External"/><Relationship Id="rId128" Type="http://schemas.openxmlformats.org/officeDocument/2006/relationships/hyperlink" Target="https://docs.google.com/spreadsheets/d/1XNWI_R9m0PjaHBalFd7NhCrWml2qAVEPkxJGc85xXhk/edit?usp=sharing" TargetMode="External"/><Relationship Id="rId5" Type="http://schemas.openxmlformats.org/officeDocument/2006/relationships/hyperlink" Target="https://docs.google.com/spreadsheets/d/1bRvjARQ_cilic8tvBDyxLOOdTP_SCnykoyjkZVaPdfU/edit?usp=sharing" TargetMode="External"/><Relationship Id="rId181" Type="http://schemas.openxmlformats.org/officeDocument/2006/relationships/hyperlink" Target="https://docs.google.com/spreadsheets/d/1qg-Z6wNm5TdIsR-3w-gnGFa8iR557aDfkjIK2gp0Zx8/edit?usp=sharing" TargetMode="External"/><Relationship Id="rId237" Type="http://schemas.openxmlformats.org/officeDocument/2006/relationships/hyperlink" Target="https://docs.google.com/spreadsheets/d/15kypnd8Ci3wPGzWtuYmc1Tht6E5dj_8H3L4YyHScx0Y/edit?usp=sharing" TargetMode="External"/><Relationship Id="rId279" Type="http://schemas.openxmlformats.org/officeDocument/2006/relationships/hyperlink" Target="https://docs.google.com/spreadsheets/d/15uKTB3FZAG--gCBmJiFVVxf1sVEnoQl3AF6m3CdeBEA/edit?usp=sharing" TargetMode="External"/><Relationship Id="rId43" Type="http://schemas.openxmlformats.org/officeDocument/2006/relationships/hyperlink" Target="https://docs.google.com/spreadsheets/d/1OISLQxEXZ1i1hXJ_9oPIGd6Z_bBdNbjHp4iBPBxS2T8/edit?usp=sharing" TargetMode="External"/><Relationship Id="rId139" Type="http://schemas.openxmlformats.org/officeDocument/2006/relationships/hyperlink" Target="https://docs.google.com/spreadsheets/d/1BNsHYhzB1BCSpFo5rTVL1Bz_r2OBDCCmJUA30kbifbo/edit?usp=sharing" TargetMode="External"/><Relationship Id="rId290" Type="http://schemas.openxmlformats.org/officeDocument/2006/relationships/hyperlink" Target="https://docs.google.com/spreadsheets/d/1gyb2KN0fcY-UwaRxFDQ8jaPaxoTu90t4wAtu2bypNT4/edit?usp=sharing" TargetMode="External"/><Relationship Id="rId85" Type="http://schemas.openxmlformats.org/officeDocument/2006/relationships/hyperlink" Target="https://docs.google.com/spreadsheets/d/1N6HEeHtOsy83-eh74-Z6o0NdrDUaDctZzvODrRHjiz4/edit?usp=sharing" TargetMode="External"/><Relationship Id="rId150" Type="http://schemas.openxmlformats.org/officeDocument/2006/relationships/hyperlink" Target="https://docs.google.com/spreadsheets/d/196aR1FcoL-jADiN7ZVkMX9OFiRH_0ARiUXCpR7gagdk/edit?usp=sharing" TargetMode="External"/><Relationship Id="rId192" Type="http://schemas.openxmlformats.org/officeDocument/2006/relationships/hyperlink" Target="https://docs.google.com/spreadsheets/d/17WQj6kj0TrXwlZG65omE_xUWTJdmqD2IDPDLX-A0iTM/edit?usp=sharing" TargetMode="External"/><Relationship Id="rId206" Type="http://schemas.openxmlformats.org/officeDocument/2006/relationships/hyperlink" Target="https://docs.google.com/spreadsheets/d/13w4XqiBMM3UKFb08t7xpgTXwbn0NqmwRGo8wPaObk6g/edit?usp=sharing" TargetMode="External"/><Relationship Id="rId248" Type="http://schemas.openxmlformats.org/officeDocument/2006/relationships/hyperlink" Target="https://docs.google.com/spreadsheets/d/1a8MN87kq57yxZc_l1aW16rqbsZlf6Dr3K1Fek_ChU2A/edit?usp=sharing" TargetMode="External"/><Relationship Id="rId12" Type="http://schemas.openxmlformats.org/officeDocument/2006/relationships/hyperlink" Target="https://docs.google.com/spreadsheets/d/1w6l9CXIG6ZzXZxnkMZIZmWMQa7CI6868qrTC7ESo-RM/edit?usp=sharing" TargetMode="External"/><Relationship Id="rId108" Type="http://schemas.openxmlformats.org/officeDocument/2006/relationships/hyperlink" Target="https://docs.google.com/spreadsheets/d/1ODKS9x7dRZpufuUOAy4AgX09Ock33iTKu4x9n_re0_8/edit?usp=sharing" TargetMode="External"/><Relationship Id="rId54" Type="http://schemas.openxmlformats.org/officeDocument/2006/relationships/hyperlink" Target="https://docs.google.com/spreadsheets/d/1qGcdAfL8pHJqA8uYI84nXW5ZSm0c7O3sj1PNQJpTbhU/edit?usp=sharing" TargetMode="External"/><Relationship Id="rId75" Type="http://schemas.openxmlformats.org/officeDocument/2006/relationships/hyperlink" Target="https://docs.google.com/spreadsheets/d/12D7SESHSprQ7M7myDjfW62c08GC7N3LRxjQq8V6rQ6Y/edit?usp=sharing" TargetMode="External"/><Relationship Id="rId96" Type="http://schemas.openxmlformats.org/officeDocument/2006/relationships/hyperlink" Target="https://docs.google.com/spreadsheets/d/1HW-b6jxIu9Aeg74EHf3ImQb4o8dGt6oPcwlsM0vQDSI/edit?usp=sharing" TargetMode="External"/><Relationship Id="rId140" Type="http://schemas.openxmlformats.org/officeDocument/2006/relationships/hyperlink" Target="https://docs.google.com/spreadsheets/d/1CCMGzdjZ2msCW-3BmsRrCxSQ_6iRHYmsZm22S1UZx2w/edit?usp=sharing" TargetMode="External"/><Relationship Id="rId161" Type="http://schemas.openxmlformats.org/officeDocument/2006/relationships/hyperlink" Target="https://docs.google.com/spreadsheets/d/1HV_0rVvJI1WCx6mOXdcq4-1mVtLmVgoH_nfZ1qiz6to/edit?usp=sharing" TargetMode="External"/><Relationship Id="rId182" Type="http://schemas.openxmlformats.org/officeDocument/2006/relationships/hyperlink" Target="https://docs.google.com/spreadsheets/d/1ewEflztNPWLLhsxYGWnjNkhsUSlgxpzY12W83L4Cj_U/edit?usp=sharing" TargetMode="External"/><Relationship Id="rId217" Type="http://schemas.openxmlformats.org/officeDocument/2006/relationships/hyperlink" Target="https://docs.google.com/spreadsheets/d/1ddu4QbykBZ7EV9fSgu3kyg-VOuOpLoUXw1p65yf6grU/edit?usp=sharing" TargetMode="External"/><Relationship Id="rId6" Type="http://schemas.openxmlformats.org/officeDocument/2006/relationships/hyperlink" Target="https://docs.google.com/spreadsheets/d/1BFz47lh5YRVXyYD8qSsP7BAP4bMm9LmTBX5X9ijb2go/edit?usp=sharing" TargetMode="External"/><Relationship Id="rId238" Type="http://schemas.openxmlformats.org/officeDocument/2006/relationships/hyperlink" Target="https://docs.google.com/spreadsheets/d/1J-c25LQ5XbJf5VD_gSC7d3oO8u_BI0953XrfWlu808M/edit?usp=sharing" TargetMode="External"/><Relationship Id="rId259" Type="http://schemas.openxmlformats.org/officeDocument/2006/relationships/hyperlink" Target="https://docs.google.com/spreadsheets/d/1Cm8a7cNgGQoZh4B5eXirk3n1xWIerg66y6BffdSlV4o/edit?usp=sharing" TargetMode="External"/><Relationship Id="rId23" Type="http://schemas.openxmlformats.org/officeDocument/2006/relationships/hyperlink" Target="https://docs.google.com/spreadsheets/d/13isFX8S0HHbuaA2L_6FsMKGcmA4ZTsU2CZyHxXbmSkY/edit?usp=share_link" TargetMode="External"/><Relationship Id="rId119" Type="http://schemas.openxmlformats.org/officeDocument/2006/relationships/hyperlink" Target="https://docs.google.com/spreadsheets/d/1wl7lSp_8lhlwWlelbVcn_41GHkn5pwyBcxBdsFQyKes/edit?usp=sharing" TargetMode="External"/><Relationship Id="rId270" Type="http://schemas.openxmlformats.org/officeDocument/2006/relationships/hyperlink" Target="https://docs.google.com/spreadsheets/d/1ocvD7zucwDu38a4L9BhZ7ZCirUX3Brww7jIOUeN_OTk/edit?usp=sharing" TargetMode="External"/><Relationship Id="rId291" Type="http://schemas.openxmlformats.org/officeDocument/2006/relationships/hyperlink" Target="https://docs.google.com/spreadsheets/d/1Yr7kOB9uC297jnoht6_PXKLXLIAloXuzRUh0ZXSO7XU/edit?usp=sharing" TargetMode="External"/><Relationship Id="rId44" Type="http://schemas.openxmlformats.org/officeDocument/2006/relationships/hyperlink" Target="https://docs.google.com/spreadsheets/d/16RoQZj97QXJ4eWqBFqaJmhfmB0_9-W1tBWYGKgdiyXE/edit?usp=sharing" TargetMode="External"/><Relationship Id="rId65" Type="http://schemas.openxmlformats.org/officeDocument/2006/relationships/hyperlink" Target="https://docs.google.com/spreadsheets/d/19yCXuzi-F_oRkBWfwYfcA6CI9QVqy4mxpEDCYdLsFDA/edit?usp=sharing" TargetMode="External"/><Relationship Id="rId86" Type="http://schemas.openxmlformats.org/officeDocument/2006/relationships/hyperlink" Target="https://docs.google.com/spreadsheets/d/1Rti6PQxvLiLlFNkmMAqxYPvIEHmE1I58L_ACgu3L1Tw/edit?usp=sharing" TargetMode="External"/><Relationship Id="rId130" Type="http://schemas.openxmlformats.org/officeDocument/2006/relationships/hyperlink" Target="https://docs.google.com/spreadsheets/d/19LD3XlucnZX0ZnCAGLmvj7UjCUVqHa4LxWUUkGAnO6A/edit?usp=sharing" TargetMode="External"/><Relationship Id="rId151" Type="http://schemas.openxmlformats.org/officeDocument/2006/relationships/hyperlink" Target="https://docs.google.com/spreadsheets/d/1GPzQmDPSX64K-hpzqeFXp7cnCRxUsIeZyvQZVRfEt4U/edit?usp=sharing" TargetMode="External"/><Relationship Id="rId172" Type="http://schemas.openxmlformats.org/officeDocument/2006/relationships/hyperlink" Target="https://docs.google.com/spreadsheets/d/1EJLqJzljNWZm9pYDj847cTX_ENfAnI2M4-I3gppr6TE/edit?usp=sharing" TargetMode="External"/><Relationship Id="rId193" Type="http://schemas.openxmlformats.org/officeDocument/2006/relationships/hyperlink" Target="https://docs.google.com/spreadsheets/d/1gRgZEmqnrA2Bv660GpzcJa4ZiGpRdea7clcTr9642xU/edit?usp=sharing" TargetMode="External"/><Relationship Id="rId207" Type="http://schemas.openxmlformats.org/officeDocument/2006/relationships/hyperlink" Target="https://docs.google.com/spreadsheets/d/10fXgnoyd07PKEuuxMRK3u0M-rdz_WNSNfpRyqqtW8Iw/edit?usp=sharing" TargetMode="External"/><Relationship Id="rId228" Type="http://schemas.openxmlformats.org/officeDocument/2006/relationships/hyperlink" Target="https://docs.google.com/spreadsheets/d/17jkmOU09bZSMw17XbgvUHCowDC02ctbeRs1FqJnDRJE/edit?usp=sharing" TargetMode="External"/><Relationship Id="rId249" Type="http://schemas.openxmlformats.org/officeDocument/2006/relationships/hyperlink" Target="https://docs.google.com/spreadsheets/d/1tn1d6gk4ow9uGuxhnDaW3GAYK8y9pla4RQ2YEbTK76w/edit?usp=sharing" TargetMode="External"/><Relationship Id="rId13" Type="http://schemas.openxmlformats.org/officeDocument/2006/relationships/hyperlink" Target="https://docs.google.com/spreadsheets/d/1AHPNRXviNegHYYNE3PYodwQvmP96CSzE-ctRYvwK8Xw/edit?usp=sharing" TargetMode="External"/><Relationship Id="rId109" Type="http://schemas.openxmlformats.org/officeDocument/2006/relationships/hyperlink" Target="https://docs.google.com/spreadsheets/d/1n82zUNugmIJLPWaI2C1VD1VR41jt3UM6un5vd04bDzE/edit?usp=sharing" TargetMode="External"/><Relationship Id="rId260" Type="http://schemas.openxmlformats.org/officeDocument/2006/relationships/hyperlink" Target="https://docs.google.com/spreadsheets/d/1P9sd2yJSYuUN-iJ5rRTeIvMm4Cuw4FsByoODsh3shbU/edit?usp=sharing" TargetMode="External"/><Relationship Id="rId281" Type="http://schemas.openxmlformats.org/officeDocument/2006/relationships/hyperlink" Target="https://docs.google.com/spreadsheets/d/1a5lh7zA3Z5iQ-MxDHGxOXabYs-4d0RnqC6fiuIcpUwA/edit?usp=sharing" TargetMode="External"/><Relationship Id="rId34" Type="http://schemas.openxmlformats.org/officeDocument/2006/relationships/hyperlink" Target="https://docs.google.com/spreadsheets/d/1cetU5oyYzUvyPQ5pdN57yCS0QmOTl6NaXg3zZXX_Fns/edit?usp=share_link" TargetMode="External"/><Relationship Id="rId55" Type="http://schemas.openxmlformats.org/officeDocument/2006/relationships/hyperlink" Target="https://docs.google.com/spreadsheets/d/12As4Zmn6XnHYesqSpwkueFvhT1K19TyYOWV4EvLkkws/edit?usp=sharing" TargetMode="External"/><Relationship Id="rId76" Type="http://schemas.openxmlformats.org/officeDocument/2006/relationships/hyperlink" Target="https://docs.google.com/spreadsheets/d/1-fhAywFFpXdlbSLfdCRFh2jkIiChZure-roJBnWUvNE/edit?usp=sharing" TargetMode="External"/><Relationship Id="rId97" Type="http://schemas.openxmlformats.org/officeDocument/2006/relationships/hyperlink" Target="https://docs.google.com/spreadsheets/d/1oaqK2xWlZsepX-Yt08VRhBd_-MnDGfySQZ514lsvf5M/edit?usp=sharing" TargetMode="External"/><Relationship Id="rId120" Type="http://schemas.openxmlformats.org/officeDocument/2006/relationships/hyperlink" Target="https://docs.google.com/spreadsheets/d/1gaiWBIqT70L9j9gnqSrPLWTdkcZ8hEJGLsPsYovzGN8/edit?usp=sharing" TargetMode="External"/><Relationship Id="rId141" Type="http://schemas.openxmlformats.org/officeDocument/2006/relationships/hyperlink" Target="https://docs.google.com/spreadsheets/d/1kfAZm8A3gAcnkOoPG5_i7ZtZVUrqOpLDWrHwLvGnRuw/edit?usp=sharing" TargetMode="External"/><Relationship Id="rId7" Type="http://schemas.openxmlformats.org/officeDocument/2006/relationships/hyperlink" Target="https://docs.google.com/spreadsheets/d/1Sftr7ByfOVGuFH5KfaVdrqTndru_L0oM_sh5aPeL6gI/edit?usp=sharing" TargetMode="External"/><Relationship Id="rId162" Type="http://schemas.openxmlformats.org/officeDocument/2006/relationships/hyperlink" Target="https://docs.google.com/spreadsheets/d/1WOPd7WrtYBT9ehbloFunifUJ2jvHpT_aweDiqWhVePs/edit?usp=sharing" TargetMode="External"/><Relationship Id="rId183" Type="http://schemas.openxmlformats.org/officeDocument/2006/relationships/hyperlink" Target="https://docs.google.com/spreadsheets/d/1mMTtFB53gFBh8ErGaqaA9gg7IuEdO51O-OmCa0iy678/edit?usp=sharing" TargetMode="External"/><Relationship Id="rId218" Type="http://schemas.openxmlformats.org/officeDocument/2006/relationships/hyperlink" Target="https://docs.google.com/spreadsheets/d/1zWwC2w5fLLEXw9i93H7mhSklo5IEdPSFB885mhQyjK4/edit?usp=sharing" TargetMode="External"/><Relationship Id="rId239" Type="http://schemas.openxmlformats.org/officeDocument/2006/relationships/hyperlink" Target="https://docs.google.com/spreadsheets/d/1NcRFcMo_SlUG1S-7LDPDYghHfN7AUhQxHPTOQLx9JmY/edit?usp=sharing" TargetMode="External"/><Relationship Id="rId250" Type="http://schemas.openxmlformats.org/officeDocument/2006/relationships/hyperlink" Target="https://docs.google.com/spreadsheets/d/1uwa2Mi4eINv_-xwHATdVZdcCS5utYYJRhe8yiE1Ylus/edit?usp=sharing" TargetMode="External"/><Relationship Id="rId271" Type="http://schemas.openxmlformats.org/officeDocument/2006/relationships/hyperlink" Target="https://docs.google.com/spreadsheets/d/1r_A9260DI5LanvpCDzRSwALN5QOQE7USLJf8cW1oK6g/edit?usp=sharing" TargetMode="External"/><Relationship Id="rId292" Type="http://schemas.openxmlformats.org/officeDocument/2006/relationships/hyperlink" Target="https://docs.google.com/spreadsheets/d/1zzAGyB36zIJJdS7Likndazx_CWvxVnF8IMZwHMqI7mM/edit?usp=sharing" TargetMode="External"/><Relationship Id="rId24" Type="http://schemas.openxmlformats.org/officeDocument/2006/relationships/hyperlink" Target="https://docs.google.com/spreadsheets/d/1fhflLms6F9E376K7xXYcNbXEmZQ-RR9okvZVby6IHOs/edit?usp=share_link" TargetMode="External"/><Relationship Id="rId45" Type="http://schemas.openxmlformats.org/officeDocument/2006/relationships/hyperlink" Target="https://docs.google.com/spreadsheets/d/1k4p3ONIKgcvpcnmEK_eU4vO3ByEFJfCYissEIyNDJnY/edit?usp=sharing" TargetMode="External"/><Relationship Id="rId66" Type="http://schemas.openxmlformats.org/officeDocument/2006/relationships/hyperlink" Target="https://docs.google.com/spreadsheets/d/1j7PgZ4ifiuxF0w7hlZkk_uTT4RsyVvYYv1wVb1vFVho/edit?usp=sharing" TargetMode="External"/><Relationship Id="rId87" Type="http://schemas.openxmlformats.org/officeDocument/2006/relationships/hyperlink" Target="https://docs.google.com/spreadsheets/d/1mgktuuypABrR4mrVL1rbqMtpGA7-ESYvJ-h1eUZu-sI/edit?usp=sharing" TargetMode="External"/><Relationship Id="rId110" Type="http://schemas.openxmlformats.org/officeDocument/2006/relationships/hyperlink" Target="https://docs.google.com/spreadsheets/d/1Hb_yrtGa9useCgDbxIjrG7dYst_6GZmmpnHlRUQ4Pdo/edit?usp=sharing" TargetMode="External"/><Relationship Id="rId131" Type="http://schemas.openxmlformats.org/officeDocument/2006/relationships/hyperlink" Target="https://docs.google.com/spreadsheets/d/1nssA7utS7wZXf5NDck0PpL0ELDX5Ms6pG81vtxpr4zQ/edit?usp=sharing" TargetMode="External"/><Relationship Id="rId152" Type="http://schemas.openxmlformats.org/officeDocument/2006/relationships/hyperlink" Target="https://docs.google.com/spreadsheets/d/1KOlhlb8Q132rLt0SOWg_qtUbqgqSlRjug4nfpp03hMI/edit?usp=sharing" TargetMode="External"/><Relationship Id="rId173" Type="http://schemas.openxmlformats.org/officeDocument/2006/relationships/hyperlink" Target="https://docs.google.com/spreadsheets/d/1-ENj63c6EmvAgybkU9QFFDj7phy09D7HZNz3dWZz8zo/edit?usp=sharing" TargetMode="External"/><Relationship Id="rId194" Type="http://schemas.openxmlformats.org/officeDocument/2006/relationships/hyperlink" Target="https://docs.google.com/spreadsheets/d/1zTve4lppYZDCf4NLRSy5SDsSLT3vC5ep2gDDUrcBors/edit?usp=sharing" TargetMode="External"/><Relationship Id="rId208" Type="http://schemas.openxmlformats.org/officeDocument/2006/relationships/hyperlink" Target="https://docs.google.com/spreadsheets/d/1aX0OSPQnh7GfIJPUeAw1V1-0oK-iCdwHWF9-eCNJuJw/edit?usp=sharing" TargetMode="External"/><Relationship Id="rId229" Type="http://schemas.openxmlformats.org/officeDocument/2006/relationships/hyperlink" Target="https://docs.google.com/spreadsheets/d/1svkfyuWijk0qs5-5DjQYFBrbAUz1USuxOqeMqPinZW0/edit?usp=sharing" TargetMode="External"/><Relationship Id="rId240" Type="http://schemas.openxmlformats.org/officeDocument/2006/relationships/hyperlink" Target="https://docs.google.com/spreadsheets/d/1jv96aM0a2az41OK1v0wXjuoCAFzrXpImcZ8HWZ9mOfA/edit?usp=sharing" TargetMode="External"/><Relationship Id="rId261" Type="http://schemas.openxmlformats.org/officeDocument/2006/relationships/hyperlink" Target="https://docs.google.com/spreadsheets/d/1LX6_etdss3PsHgvCmXGRHnJa05UWO1LZJP0Lmgdluug/edit?usp=sharing" TargetMode="External"/><Relationship Id="rId14" Type="http://schemas.openxmlformats.org/officeDocument/2006/relationships/hyperlink" Target="https://docs.google.com/spreadsheets/d/1fVh5rsOJf-mzL4gPnzzyZa1II565xgEw2IHR-aJZc6U/edit?usp=sharing" TargetMode="External"/><Relationship Id="rId35" Type="http://schemas.openxmlformats.org/officeDocument/2006/relationships/hyperlink" Target="https://docs.google.com/spreadsheets/d/1AZz51p3rxfTvJm7-WzKJooO-2UK87ArERMDXIG7EQwY/edit?usp=sharing" TargetMode="External"/><Relationship Id="rId56" Type="http://schemas.openxmlformats.org/officeDocument/2006/relationships/hyperlink" Target="https://docs.google.com/spreadsheets/d/1-7sjapkB9dZCds6nM6uPLKtLvAwKcc7Mky12SG7B-a4/edit?usp=sharing" TargetMode="External"/><Relationship Id="rId77" Type="http://schemas.openxmlformats.org/officeDocument/2006/relationships/hyperlink" Target="https://docs.google.com/spreadsheets/d/1K76UA9tz0lVoNxZpDI5cyojZ8dpZc-JLl-M7MIxoy5A/edit?usp=sharing" TargetMode="External"/><Relationship Id="rId100" Type="http://schemas.openxmlformats.org/officeDocument/2006/relationships/hyperlink" Target="https://docs.google.com/spreadsheets/d/1n29vSCS_EwTHBrh8093TIxAMSVgoI0neO40kejb8llw/edit?usp=sharing" TargetMode="External"/><Relationship Id="rId282" Type="http://schemas.openxmlformats.org/officeDocument/2006/relationships/hyperlink" Target="https://docs.google.com/spreadsheets/d/1zR5drsGbpsY4-3FXU7h6lMLuQEFu80qnF1hnSAImClU/edit?usp=sharing" TargetMode="External"/><Relationship Id="rId8" Type="http://schemas.openxmlformats.org/officeDocument/2006/relationships/hyperlink" Target="https://docs.google.com/spreadsheets/d/1Or2_IqHbuF2iMX4OKiqPXy-u5Hqy7GEMJ1fZFtT3bzg/edit?usp=sharing" TargetMode="External"/><Relationship Id="rId98" Type="http://schemas.openxmlformats.org/officeDocument/2006/relationships/hyperlink" Target="https://docs.google.com/spreadsheets/d/17solQb_5w9RmZHNdEW6YMfIW5Z_kjBbhg2usnUbQ8cY/edit?usp=sharing" TargetMode="External"/><Relationship Id="rId121" Type="http://schemas.openxmlformats.org/officeDocument/2006/relationships/hyperlink" Target="https://docs.google.com/spreadsheets/d/1Yfspz9-XQYFIjSYS75J4vayKMw3-gCFzO2qWX9fT_pM/edit?usp=sharing" TargetMode="External"/><Relationship Id="rId142" Type="http://schemas.openxmlformats.org/officeDocument/2006/relationships/hyperlink" Target="https://docs.google.com/spreadsheets/d/1AGzTVSDAwLbK2BqHgwARGS8OOgEW1u3IrpakNfAn7qw/edit?usp=sharing" TargetMode="External"/><Relationship Id="rId163" Type="http://schemas.openxmlformats.org/officeDocument/2006/relationships/hyperlink" Target="https://docs.google.com/spreadsheets/d/1S-WSQI6NJVhDHQDQ-c6BTYKGh8S2sqoDSIF9Hr8kjNI/edit?usp=sharing" TargetMode="External"/><Relationship Id="rId184" Type="http://schemas.openxmlformats.org/officeDocument/2006/relationships/hyperlink" Target="https://docs.google.com/spreadsheets/d/1i8r-pLgZbaVhpIhhoVYoIPxN_FZK7bn9Fie83nZ-ui8/edit?usp=sharing" TargetMode="External"/><Relationship Id="rId219" Type="http://schemas.openxmlformats.org/officeDocument/2006/relationships/hyperlink" Target="https://docs.google.com/spreadsheets/d/1z9MNv7BiV_IlssjIVjIptL-TVT7UCo7kxcp3wmJnlgQ/edit?usp=sharing" TargetMode="External"/><Relationship Id="rId230" Type="http://schemas.openxmlformats.org/officeDocument/2006/relationships/hyperlink" Target="https://docs.google.com/spreadsheets/d/1wWSyUBJoqUsCzjvWi1Hsm5gMd8H-ilGH4cqTBvrosYk/edit?usp=sharing" TargetMode="External"/><Relationship Id="rId251" Type="http://schemas.openxmlformats.org/officeDocument/2006/relationships/hyperlink" Target="https://docs.google.com/spreadsheets/d/15jd-mFlb5ZRKo-W1EH_Tec0AQfPxgLpvGso5psO3N2Y/edit?usp=sharing" TargetMode="External"/><Relationship Id="rId25" Type="http://schemas.openxmlformats.org/officeDocument/2006/relationships/hyperlink" Target="https://docs.google.com/spreadsheets/d/1EZUCc8cA1YOgj_wj5u7FtbbiKoR2O0L_2AHkhmLpOyA/edit?usp=sharing" TargetMode="External"/><Relationship Id="rId46" Type="http://schemas.openxmlformats.org/officeDocument/2006/relationships/hyperlink" Target="https://docs.google.com/spreadsheets/d/1KSgddMcKMZZcJmPhghKgqbF1BwZpt08VRpYxpgb1QK8/edit?usp=sharing" TargetMode="External"/><Relationship Id="rId67" Type="http://schemas.openxmlformats.org/officeDocument/2006/relationships/hyperlink" Target="https://docs.google.com/spreadsheets/d/1RottdoP7fdHA9DJaIXmQXUYEqOWLBX9e7_xu05dSqC0/edit?usp=sharing" TargetMode="External"/><Relationship Id="rId272" Type="http://schemas.openxmlformats.org/officeDocument/2006/relationships/hyperlink" Target="https://docs.google.com/spreadsheets/d/15ZEefqzO5GPhWZDw2fCvUajOTZ56xsrZMATBP_8SXE8/edit?usp=sharing" TargetMode="External"/><Relationship Id="rId293" Type="http://schemas.openxmlformats.org/officeDocument/2006/relationships/hyperlink" Target="https://docs.google.com/spreadsheets/d/1thTns-fH1Ak5qphiaPuTYUAw517aKn30-EoxLItuNa8/edit?usp=sharing" TargetMode="External"/><Relationship Id="rId88" Type="http://schemas.openxmlformats.org/officeDocument/2006/relationships/hyperlink" Target="https://docs.google.com/spreadsheets/d/1egqSlhSfwTWj4oNet9fzkKyHz4c0LUDNZyCg6p4abJY/edit?usp=sharing" TargetMode="External"/><Relationship Id="rId111" Type="http://schemas.openxmlformats.org/officeDocument/2006/relationships/hyperlink" Target="https://docs.google.com/spreadsheets/d/127lwdWl2f_B1Xh7e1LAvEKrfL74F-6mAcwo54OCh510/edit?usp=sharing" TargetMode="External"/><Relationship Id="rId132" Type="http://schemas.openxmlformats.org/officeDocument/2006/relationships/hyperlink" Target="https://docs.google.com/spreadsheets/d/1R2ExqVqTJ40Xn9KaiDnV_JyQ1XIxaGykTPLJjtUaZiQ/edit?usp=sharing" TargetMode="External"/><Relationship Id="rId153" Type="http://schemas.openxmlformats.org/officeDocument/2006/relationships/hyperlink" Target="https://docs.google.com/spreadsheets/d/1yov7Fab_MZPG16U5MedZ0G9BTmFqW_gM2l9UmhhtPqQ/edit?usp=sharing" TargetMode="External"/><Relationship Id="rId174" Type="http://schemas.openxmlformats.org/officeDocument/2006/relationships/hyperlink" Target="https://docs.google.com/spreadsheets/d/1wf851WefKNtW5uk0OOr_kAUy5dtNpnECQLgXAbMZFBE/edit?usp=sharing" TargetMode="External"/><Relationship Id="rId195" Type="http://schemas.openxmlformats.org/officeDocument/2006/relationships/hyperlink" Target="https://docs.google.com/spreadsheets/d/1GbfO0g_AbCI3nfdiT_Ae1rcNvy3BnOWassKmQcdpfqM/edit?usp=sharing" TargetMode="External"/><Relationship Id="rId209" Type="http://schemas.openxmlformats.org/officeDocument/2006/relationships/hyperlink" Target="https://docs.google.com/spreadsheets/d/1Ck8lUF6qb9eIKt89tClUsCyZ8UnCe3ty967gvHZerfU/edit?usp=sharing" TargetMode="External"/><Relationship Id="rId220" Type="http://schemas.openxmlformats.org/officeDocument/2006/relationships/hyperlink" Target="https://docs.google.com/spreadsheets/d/1wlZMK2KA5BtdHitrpa2nW4EH5YoTWr4gbByMtNEC2Y0/edit?usp=sharing" TargetMode="External"/><Relationship Id="rId241" Type="http://schemas.openxmlformats.org/officeDocument/2006/relationships/hyperlink" Target="https://docs.google.com/spreadsheets/d/103LxL3eGZFtsI8gIxKiEG87xeob5mVYeFGUlO-0dbys/edit?usp=sharing" TargetMode="External"/><Relationship Id="rId15" Type="http://schemas.openxmlformats.org/officeDocument/2006/relationships/hyperlink" Target="https://docs.google.com/spreadsheets/d/1V4tY0Ymfb3ixBv-B_uso96pVzzxsIB92NImxUB_xUI4/edit?usp=sharing" TargetMode="External"/><Relationship Id="rId36" Type="http://schemas.openxmlformats.org/officeDocument/2006/relationships/hyperlink" Target="https://docs.google.com/spreadsheets/d/1woxzgC0zWznoY36rSzV5G7aM5LrhP5A1kuPXmrwopwY/edit?usp=sharing" TargetMode="External"/><Relationship Id="rId57" Type="http://schemas.openxmlformats.org/officeDocument/2006/relationships/hyperlink" Target="https://docs.google.com/spreadsheets/d/18P0WZuK4dJiDmfTfDW1u6rGgUTzPr6ohihbmsW0eqLs/edit?usp=sharing" TargetMode="External"/><Relationship Id="rId262" Type="http://schemas.openxmlformats.org/officeDocument/2006/relationships/hyperlink" Target="https://docs.google.com/spreadsheets/d/19cHSBoJaIjD0fOAjWyvyz7GLp0jgtHqCQostkZ59jeo/edit?usp=sharing" TargetMode="External"/><Relationship Id="rId283" Type="http://schemas.openxmlformats.org/officeDocument/2006/relationships/hyperlink" Target="https://docs.google.com/spreadsheets/d/1dgA1YyeVESxU0S91AUlmcXCjdBuO2h5nFT1-AQY-mY4/edit?usp=sharing" TargetMode="External"/><Relationship Id="rId78" Type="http://schemas.openxmlformats.org/officeDocument/2006/relationships/hyperlink" Target="https://docs.google.com/spreadsheets/d/1wlFLrXanvtL6DJ5Gs4Qi6jxB2xRvmfThEV9JiEELwfw/edit?usp=sharing" TargetMode="External"/><Relationship Id="rId99" Type="http://schemas.openxmlformats.org/officeDocument/2006/relationships/hyperlink" Target="https://docs.google.com/spreadsheets/d/1RAXtc_Ks8k7jg8135uZQShPR6hH0BVW_fXNBcuVbjYY/edit?usp=sharing" TargetMode="External"/><Relationship Id="rId101" Type="http://schemas.openxmlformats.org/officeDocument/2006/relationships/hyperlink" Target="https://docs.google.com/spreadsheets/d/1_Mww2HdLavH-RO03-RaP2LS8lOwIupGboShtJwvJyaA/edit?usp=sharing" TargetMode="External"/><Relationship Id="rId122" Type="http://schemas.openxmlformats.org/officeDocument/2006/relationships/hyperlink" Target="https://docs.google.com/spreadsheets/d/1twrC6694wZ5xqpTJvJ73KkVJaYQr5c-KAaMrNAklt5I/edit?usp=sharing" TargetMode="External"/><Relationship Id="rId143" Type="http://schemas.openxmlformats.org/officeDocument/2006/relationships/hyperlink" Target="https://docs.google.com/spreadsheets/d/1G8kWFCSICHiMHfZvPoQkAX4BNGl08Z4jUVEFSmVRjXU/edit?usp=sharing" TargetMode="External"/><Relationship Id="rId164" Type="http://schemas.openxmlformats.org/officeDocument/2006/relationships/hyperlink" Target="https://docs.google.com/spreadsheets/d/1fxoE2v5HQWBauY_sWHVHR0tkRabqreyS1cX09pUA9Kg/edit?usp=sharing" TargetMode="External"/><Relationship Id="rId185" Type="http://schemas.openxmlformats.org/officeDocument/2006/relationships/hyperlink" Target="https://docs.google.com/spreadsheets/d/1uBoMxOzfgaQUEAdhtqxu98aRXkJA2q0TKJ3JKQxaIpM/edit?usp=sharing" TargetMode="External"/><Relationship Id="rId9" Type="http://schemas.openxmlformats.org/officeDocument/2006/relationships/hyperlink" Target="https://docs.google.com/spreadsheets/d/1jwf9p4SBrqi6nGmi52AvxaVO368ecE_UJjONClt5VFk/edit?usp=sharing" TargetMode="External"/><Relationship Id="rId210" Type="http://schemas.openxmlformats.org/officeDocument/2006/relationships/hyperlink" Target="https://docs.google.com/spreadsheets/d/1lwx9kJM9mqEVOjoNk5_NH3vQgwFYcsD-Sq6Pbjy8NxM/edit?usp=sharing" TargetMode="External"/><Relationship Id="rId26" Type="http://schemas.openxmlformats.org/officeDocument/2006/relationships/hyperlink" Target="https://docs.google.com/spreadsheets/d/1-pgJSFShw4PFQ_jj701NCGNH7cTWrqjH4mv1-LY1kM0/edit?usp=sharing" TargetMode="External"/><Relationship Id="rId231" Type="http://schemas.openxmlformats.org/officeDocument/2006/relationships/hyperlink" Target="https://docs.google.com/spreadsheets/d/11UA9Y8PtguFH51PxkpqMFF_Ets3twCje0QOSJbZ88eM/edit?usp=sharing" TargetMode="External"/><Relationship Id="rId252" Type="http://schemas.openxmlformats.org/officeDocument/2006/relationships/hyperlink" Target="https://docs.google.com/spreadsheets/d/1zcGcMXRAY1CGXHlOCbTXZmylRb1U4_R7HIR8B8CikX0/edit?usp=sharing" TargetMode="External"/><Relationship Id="rId273" Type="http://schemas.openxmlformats.org/officeDocument/2006/relationships/hyperlink" Target="https://docs.google.com/spreadsheets/d/1e44w9a7A9a03uqquDbe8bgRTHnk_67IG0N653a-ypac/edit?usp=sharing" TargetMode="External"/><Relationship Id="rId294" Type="http://schemas.openxmlformats.org/officeDocument/2006/relationships/hyperlink" Target="https://docs.google.com/spreadsheets/d/1jQtkZOg5hDitwyY0LDhGvd-1Q8iNnHbCVNnNP2L_EsA/edit?usp=sharing" TargetMode="External"/><Relationship Id="rId47" Type="http://schemas.openxmlformats.org/officeDocument/2006/relationships/hyperlink" Target="https://docs.google.com/spreadsheets/d/1y-cBT4lrblOmVTomQ0sJ8RXPAhVWk2ddrOfqSNsPh2E/edit?usp=sharing" TargetMode="External"/><Relationship Id="rId68" Type="http://schemas.openxmlformats.org/officeDocument/2006/relationships/hyperlink" Target="https://docs.google.com/spreadsheets/d/1fPMc6K5CPxoFiHRuZTCGDpws_DC7SQbWk3U38xwaPcA/edit?usp=sharing" TargetMode="External"/><Relationship Id="rId89" Type="http://schemas.openxmlformats.org/officeDocument/2006/relationships/hyperlink" Target="https://docs.google.com/spreadsheets/d/1LgJE-OwGBLE9oLSouHXQFMHk7iRAZIBtgDUZzxyICuU/edit?usp=sharing" TargetMode="External"/><Relationship Id="rId112" Type="http://schemas.openxmlformats.org/officeDocument/2006/relationships/hyperlink" Target="https://docs.google.com/spreadsheets/d/1AmPoB7CHBYAURxaTfMfdb8auRmSWMXyv4W_3SCEAh-U/edit?usp=sharing" TargetMode="External"/><Relationship Id="rId133" Type="http://schemas.openxmlformats.org/officeDocument/2006/relationships/hyperlink" Target="https://docs.google.com/spreadsheets/d/1Pi97xspqVeL_BSuOo8vHYaRsDEFWizufPnP8p_ghesY/edit?usp=sharing" TargetMode="External"/><Relationship Id="rId154" Type="http://schemas.openxmlformats.org/officeDocument/2006/relationships/hyperlink" Target="https://docs.google.com/spreadsheets/d/18l_fB08cx8-mtBxsRpaPwH-546MlrHCIR152CrHDPbw/edit?usp=sharing" TargetMode="External"/><Relationship Id="rId175" Type="http://schemas.openxmlformats.org/officeDocument/2006/relationships/hyperlink" Target="https://docs.google.com/spreadsheets/d/1QgQITXKis1DTmaeV-54uvQkAq7DMwSZl682I5B2tCpk/edit?usp=sharing" TargetMode="External"/><Relationship Id="rId196" Type="http://schemas.openxmlformats.org/officeDocument/2006/relationships/hyperlink" Target="https://docs.google.com/spreadsheets/d/1ChehB6IinIwNe3LcrCEikJewr3kBUtKtbTyfuRtYFYg/edit?usp=sharing" TargetMode="External"/><Relationship Id="rId200" Type="http://schemas.openxmlformats.org/officeDocument/2006/relationships/hyperlink" Target="https://docs.google.com/spreadsheets/d/1rIHE6xJvBk2bSZbvTvk7Yvbox0IjVKujTjVgV_kY0CI/edit?usp=sharing" TargetMode="External"/><Relationship Id="rId16" Type="http://schemas.openxmlformats.org/officeDocument/2006/relationships/hyperlink" Target="https://docs.google.com/spreadsheets/d/1fOACq73gd20-VQR-qTjJOAXtaLDXpseloQwrHXfJGjc/edit?usp=sharing" TargetMode="External"/><Relationship Id="rId221" Type="http://schemas.openxmlformats.org/officeDocument/2006/relationships/hyperlink" Target="https://docs.google.com/spreadsheets/d/1fPhvUVVr4Vc9SkxR0W5Whplssn5ZAFDW_GBmgyS8BW0/edit?usp=sharing" TargetMode="External"/><Relationship Id="rId242" Type="http://schemas.openxmlformats.org/officeDocument/2006/relationships/hyperlink" Target="https://docs.google.com/spreadsheets/d/1oixA9rzW6Ii110oScaSGbQNXrr-Y7pZ9VQr_StCjRX8/edit?usp=sharing" TargetMode="External"/><Relationship Id="rId263" Type="http://schemas.openxmlformats.org/officeDocument/2006/relationships/hyperlink" Target="https://docs.google.com/spreadsheets/d/14R6uFhZODp2Xj-T4hbYVXsl23JV3t-7gjyBfvAcrh7Y/edit?usp=sharing" TargetMode="External"/><Relationship Id="rId284" Type="http://schemas.openxmlformats.org/officeDocument/2006/relationships/hyperlink" Target="https://docs.google.com/spreadsheets/d/1n-lyjoPzPV-wT5Xqh14YPzz2g37qZ-GFlJT6sTfuN5o/edit?usp=sharing" TargetMode="External"/><Relationship Id="rId37" Type="http://schemas.openxmlformats.org/officeDocument/2006/relationships/hyperlink" Target="https://docs.google.com/spreadsheets/d/1-rOSMP9BsjlhluBHmNat0D4nSFtf78xRTRyf4Z-ZaYI/edit?usp=sharing" TargetMode="External"/><Relationship Id="rId58" Type="http://schemas.openxmlformats.org/officeDocument/2006/relationships/hyperlink" Target="https://docs.google.com/spreadsheets/d/15Ka8p1RjmWAa2niINNBKN3q4r5V0krc6bVnktxZb99Y/edit?usp=sharing" TargetMode="External"/><Relationship Id="rId79" Type="http://schemas.openxmlformats.org/officeDocument/2006/relationships/hyperlink" Target="https://docs.google.com/spreadsheets/d/11jLv1yMAIIusXi5lummn57z5UlgIwDZj4fSQ3DwRI88/edit?usp=sharing" TargetMode="External"/><Relationship Id="rId102" Type="http://schemas.openxmlformats.org/officeDocument/2006/relationships/hyperlink" Target="https://docs.google.com/spreadsheets/d/1dBatc9k9HMIzU0OvmckmEKnTEXlJdoZPH9m2gHVARRw/edit?usp=sharing" TargetMode="External"/><Relationship Id="rId123" Type="http://schemas.openxmlformats.org/officeDocument/2006/relationships/hyperlink" Target="https://docs.google.com/spreadsheets/d/1nSozJNxe5aumkYe3n1ZkAW4sLWE6tUWNr6LjCyId6GQ/edit?usp=sharing" TargetMode="External"/><Relationship Id="rId144" Type="http://schemas.openxmlformats.org/officeDocument/2006/relationships/hyperlink" Target="https://docs.google.com/spreadsheets/d/1s1qyWEogjMlmc2UTKwc5B_0Q7nLnZAQmMPvCUDnRKzs/edit?usp=sharing" TargetMode="External"/><Relationship Id="rId90" Type="http://schemas.openxmlformats.org/officeDocument/2006/relationships/hyperlink" Target="https://docs.google.com/spreadsheets/d/1GSOkqTPohZM2sbhKk6s9MwcrjX6fwZii_gVJ-8Oh_FQ/edit?usp=sharing" TargetMode="External"/><Relationship Id="rId165" Type="http://schemas.openxmlformats.org/officeDocument/2006/relationships/hyperlink" Target="https://docs.google.com/spreadsheets/d/1pk2I31ZwBPeY5_Gjpy5rhcgZdvk-ywmopyupM0d-WOE/edit?usp=sharing" TargetMode="External"/><Relationship Id="rId186" Type="http://schemas.openxmlformats.org/officeDocument/2006/relationships/hyperlink" Target="https://docs.google.com/spreadsheets/d/1-XAFssff_2pM3oWPd1ARXEX3GO_Ohy_UIhCnMNP01Nw/edit?usp=sharing" TargetMode="External"/><Relationship Id="rId211" Type="http://schemas.openxmlformats.org/officeDocument/2006/relationships/hyperlink" Target="https://docs.google.com/spreadsheets/d/1BSvOGgWUpEg5hxm_FvbmZlZXByDkJ6zzaJMGPGek3ck/edit?usp=sharing" TargetMode="External"/><Relationship Id="rId232" Type="http://schemas.openxmlformats.org/officeDocument/2006/relationships/hyperlink" Target="https://docs.google.com/spreadsheets/d/1-bXttlCk-JPFvTSPwiGsxiyl_TPc-WKS1RbMrH3paUs/edit?usp=sharing" TargetMode="External"/><Relationship Id="rId253" Type="http://schemas.openxmlformats.org/officeDocument/2006/relationships/hyperlink" Target="https://docs.google.com/spreadsheets/d/1CpYqiz4X3hIbRnw2Beo76h-i9i9VET9K07GacT4nr1o/edit?usp=sharing" TargetMode="External"/><Relationship Id="rId274" Type="http://schemas.openxmlformats.org/officeDocument/2006/relationships/hyperlink" Target="https://docs.google.com/spreadsheets/d/12F5q40bTmbrTBgcOepGigcXl-6IXoQfHCdBeQcvNXA4/edit?usp=sharing" TargetMode="External"/><Relationship Id="rId295" Type="http://schemas.openxmlformats.org/officeDocument/2006/relationships/hyperlink" Target="https://docs.google.com/spreadsheets/d/1cP24Q_KoodVnwInfYKR4L_MGQA2vuTCfba00anNC0-o/edit?usp=sharing" TargetMode="External"/><Relationship Id="rId27" Type="http://schemas.openxmlformats.org/officeDocument/2006/relationships/hyperlink" Target="https://docs.google.com/spreadsheets/d/1XmJxZa5d73_rEoE59pxjWskS7RUkgrPWLsxaqJtVZ6U/edit?usp=sharing" TargetMode="External"/><Relationship Id="rId48" Type="http://schemas.openxmlformats.org/officeDocument/2006/relationships/hyperlink" Target="https://docs.google.com/spreadsheets/d/1bfYcficy8udNOV5jxGw-WF-KSuQlHH81cuRYty6r47Q/edit?usp=sharing" TargetMode="External"/><Relationship Id="rId69" Type="http://schemas.openxmlformats.org/officeDocument/2006/relationships/hyperlink" Target="https://docs.google.com/spreadsheets/d/1lDyg1LA32QQuORK_Io7II_vD5xCMYws-PyYLpPWo-B8/edit?usp=sharing" TargetMode="External"/><Relationship Id="rId113" Type="http://schemas.openxmlformats.org/officeDocument/2006/relationships/hyperlink" Target="https://docs.google.com/spreadsheets/d/1k0mEfCvM_s3Kangz9YH0C27V97FIXXkv2Xr7hEx0gHM/edit?usp=sharing" TargetMode="External"/><Relationship Id="rId134" Type="http://schemas.openxmlformats.org/officeDocument/2006/relationships/hyperlink" Target="https://docs.google.com/spreadsheets/d/1zCJSg4oaZBjqE6RbI98cwJvC-HmVQxTD_mWzFlrCwwg/edit?usp=sharing" TargetMode="External"/><Relationship Id="rId80" Type="http://schemas.openxmlformats.org/officeDocument/2006/relationships/hyperlink" Target="https://docs.google.com/spreadsheets/d/1QovBji3WhDY71ZRUY88C4vzWBLDo2frEKH9hAVx8GLY/edit?usp=sharing" TargetMode="External"/><Relationship Id="rId155" Type="http://schemas.openxmlformats.org/officeDocument/2006/relationships/hyperlink" Target="https://docs.google.com/spreadsheets/d/15hYxOFdOYpSigl8ghPSWcIYkP9Er-8cFMouX7vMdnuY/edit?usp=sharing" TargetMode="External"/><Relationship Id="rId176" Type="http://schemas.openxmlformats.org/officeDocument/2006/relationships/hyperlink" Target="https://docs.google.com/spreadsheets/d/1WEDHU7s-x08ouqi30DDiwlR4L5FAqoEcosc5xpiGMgA/edit?usp=sharing" TargetMode="External"/><Relationship Id="rId197" Type="http://schemas.openxmlformats.org/officeDocument/2006/relationships/hyperlink" Target="https://docs.google.com/spreadsheets/d/1VLbCpE1fixWpQndBBAC0PKyzybmTdFF-FhJfBHksgJE/edit?usp=sharing" TargetMode="External"/><Relationship Id="rId201" Type="http://schemas.openxmlformats.org/officeDocument/2006/relationships/hyperlink" Target="https://docs.google.com/spreadsheets/d/1CJnTo04FSvfi9xj4_oYIC4jRdjQ2JJqh908_6n6oPAQ/edit?usp=sharing" TargetMode="External"/><Relationship Id="rId222" Type="http://schemas.openxmlformats.org/officeDocument/2006/relationships/hyperlink" Target="https://docs.google.com/spreadsheets/d/1vpU1EI5YblVt9aPFWkli3wYWxjRKncf6ueIbOxA2Xa0/edit?usp=sharing" TargetMode="External"/><Relationship Id="rId243" Type="http://schemas.openxmlformats.org/officeDocument/2006/relationships/hyperlink" Target="https://docs.google.com/spreadsheets/d/1vsnuBtYkhVTAarf8B41gxEPyjXvt_aaGHLIlULdQvis/edit?usp=sharing" TargetMode="External"/><Relationship Id="rId264" Type="http://schemas.openxmlformats.org/officeDocument/2006/relationships/hyperlink" Target="https://docs.google.com/spreadsheets/d/1uLkUUtSdv-7MEChMR1eBWbrfchs9E-DxBIV3u3JVgKw/edit?usp=sharing" TargetMode="External"/><Relationship Id="rId285" Type="http://schemas.openxmlformats.org/officeDocument/2006/relationships/hyperlink" Target="https://docs.google.com/spreadsheets/d/1YHA3qlsi3ZKLtqKxgHW5EtejZHpnx_6D4Agh9bVqxFI/edit?usp=sharing" TargetMode="External"/><Relationship Id="rId17" Type="http://schemas.openxmlformats.org/officeDocument/2006/relationships/hyperlink" Target="https://docs.google.com/spreadsheets/d/19qnUDXgmC_tPbg7KUEi_sTSk40BPkQX0FrBCkkBMsTg/edit?usp=share_link" TargetMode="External"/><Relationship Id="rId38" Type="http://schemas.openxmlformats.org/officeDocument/2006/relationships/hyperlink" Target="https://docs.google.com/spreadsheets/d/19ftFg1Irav4E-gL9iRbOqNd17HJPmA99yfHRSGMb8OU/edit?usp=sharing" TargetMode="External"/><Relationship Id="rId59" Type="http://schemas.openxmlformats.org/officeDocument/2006/relationships/hyperlink" Target="https://docs.google.com/spreadsheets/d/1qaXdOAfwEhHzRCarrqPg5Ex7oGBVtzTte9813L1yGxI/edit?usp=sharing" TargetMode="External"/><Relationship Id="rId103" Type="http://schemas.openxmlformats.org/officeDocument/2006/relationships/hyperlink" Target="https://docs.google.com/spreadsheets/d/13M8_BscrU8YC2Kz0BpG9iUqaw7vasKq-juGxuGtqlQk/edit?usp=sharing" TargetMode="External"/><Relationship Id="rId124" Type="http://schemas.openxmlformats.org/officeDocument/2006/relationships/hyperlink" Target="https://docs.google.com/spreadsheets/d/1YKya1gX1sFeJ6IjCDFVRsjKROAm1BbBbV1m4NVIr0yA/edit?usp=sharing" TargetMode="External"/><Relationship Id="rId70" Type="http://schemas.openxmlformats.org/officeDocument/2006/relationships/hyperlink" Target="https://docs.google.com/spreadsheets/d/1pTiyNoSRnCdSC_0P49a0FqDR-Ew33YIQ__ScFrwNugk/edit?usp=sharing" TargetMode="External"/><Relationship Id="rId91" Type="http://schemas.openxmlformats.org/officeDocument/2006/relationships/hyperlink" Target="https://docs.google.com/spreadsheets/d/13VMU4lyjI1HAB34PCJ_kQzSff_CvdHuMu8tpICL-VUk/edit?usp=sharing" TargetMode="External"/><Relationship Id="rId145" Type="http://schemas.openxmlformats.org/officeDocument/2006/relationships/hyperlink" Target="https://docs.google.com/spreadsheets/d/1YtICJtRMaYSAHahWWO27gFwPQ_kEl4QcVT8qHwqXLqk/edit?usp=sharing" TargetMode="External"/><Relationship Id="rId166" Type="http://schemas.openxmlformats.org/officeDocument/2006/relationships/hyperlink" Target="https://docs.google.com/spreadsheets/d/1dwOdE7fg8xTEYSKRsGVLxomP7do-x2aMui1X-Avv9OA/edit?usp=sharing" TargetMode="External"/><Relationship Id="rId187" Type="http://schemas.openxmlformats.org/officeDocument/2006/relationships/hyperlink" Target="https://docs.google.com/spreadsheets/d/17UKpkr10zB2BvhixhWqAOr509blYqt-1u7KY5bn2erE/edit?usp=sharing" TargetMode="External"/><Relationship Id="rId1" Type="http://schemas.openxmlformats.org/officeDocument/2006/relationships/hyperlink" Target="https://docs.google.com/spreadsheets/d/1X0KOlICyh_eF3XcfbDvvVzkEoQRa-t07HrmJ5m8WL3c/edit?usp=sharing" TargetMode="External"/><Relationship Id="rId212" Type="http://schemas.openxmlformats.org/officeDocument/2006/relationships/hyperlink" Target="https://docs.google.com/spreadsheets/d/13Ywp559uUt69lNzGrT2SNYkxhH0MoGzx3tUUW9UEn0Q/edit?usp=sharing" TargetMode="External"/><Relationship Id="rId233" Type="http://schemas.openxmlformats.org/officeDocument/2006/relationships/hyperlink" Target="https://docs.google.com/spreadsheets/d/1lXA_715QZpYywZ-m0TZyRdzUZRCG2qx8oqHLmOZ6Sb0/edit?usp=sharing" TargetMode="External"/><Relationship Id="rId254" Type="http://schemas.openxmlformats.org/officeDocument/2006/relationships/hyperlink" Target="https://docs.google.com/spreadsheets/d/1DweAgHVkFYA8levUF_3iIxv9nPZmKuBTqyzyebXnlfo/edit?usp=sharing" TargetMode="External"/><Relationship Id="rId28" Type="http://schemas.openxmlformats.org/officeDocument/2006/relationships/hyperlink" Target="https://docs.google.com/spreadsheets/d/1gJfMbLkKvO34BRwL1bfuJR0vTgHEGE1IadAXzRSaLXw/edit?usp=sharing" TargetMode="External"/><Relationship Id="rId49" Type="http://schemas.openxmlformats.org/officeDocument/2006/relationships/hyperlink" Target="https://docs.google.com/spreadsheets/d/1y6PV1cTQaJZBmq1K1YZejh1A6XOPnzCPIC4spSY4VBQ/edit?usp=sharing" TargetMode="External"/><Relationship Id="rId114" Type="http://schemas.openxmlformats.org/officeDocument/2006/relationships/hyperlink" Target="https://docs.google.com/spreadsheets/d/1xTyZ_EuO4wCmQDIElqjs83zQb_P8JDnqyZE9tLHQwSg/edit?usp=sharing" TargetMode="External"/><Relationship Id="rId275" Type="http://schemas.openxmlformats.org/officeDocument/2006/relationships/hyperlink" Target="https://docs.google.com/spreadsheets/d/1x0KHXidlzo7_dOddeHTskEFX86GjUa1UWLXgWCbR74Y/edit?usp=sharing" TargetMode="External"/><Relationship Id="rId296" Type="http://schemas.openxmlformats.org/officeDocument/2006/relationships/hyperlink" Target="https://docs.google.com/spreadsheets/d/1XeG17Ew8rrA5JH26dp7OMSBkt8KKOfvh2VXBkV31MA4/edit?usp=sharing" TargetMode="External"/><Relationship Id="rId60" Type="http://schemas.openxmlformats.org/officeDocument/2006/relationships/hyperlink" Target="https://docs.google.com/spreadsheets/d/1KVbggztv4LNLhFbL8wp3fIXlb-J0P97f1WYNNnqaioY/edit?usp=sharing" TargetMode="External"/><Relationship Id="rId81" Type="http://schemas.openxmlformats.org/officeDocument/2006/relationships/hyperlink" Target="https://docs.google.com/spreadsheets/d/1xK_mqVJFTDuZF9wPthbm0Ft68MTrBagnrfa170hWFNU/edit?usp=sharing" TargetMode="External"/><Relationship Id="rId135" Type="http://schemas.openxmlformats.org/officeDocument/2006/relationships/hyperlink" Target="https://docs.google.com/spreadsheets/d/1a84P6l5BZndg64qj0aX0OEKzcBxHqxHb172ZQhsk_1s/edit?usp=sharing" TargetMode="External"/><Relationship Id="rId156" Type="http://schemas.openxmlformats.org/officeDocument/2006/relationships/hyperlink" Target="https://docs.google.com/spreadsheets/d/1LZQgGsV3Vk7Pd-ulJ1Z8mOq4lkWeJY6ZgGS8dUaupI4/edit?usp=sharing" TargetMode="External"/><Relationship Id="rId177" Type="http://schemas.openxmlformats.org/officeDocument/2006/relationships/hyperlink" Target="https://docs.google.com/spreadsheets/d/1QBz3SVkU_95DsLgimiFsUesDRuQ2lRMi6YtJvBJCXtU/edit?usp=sharing" TargetMode="External"/><Relationship Id="rId198" Type="http://schemas.openxmlformats.org/officeDocument/2006/relationships/hyperlink" Target="https://docs.google.com/spreadsheets/d/1Lni-1DyKeRJdz3MIWWHdXQGW7I4B60J9azD6ld4HFX4/edit?usp=sharing" TargetMode="External"/><Relationship Id="rId202" Type="http://schemas.openxmlformats.org/officeDocument/2006/relationships/hyperlink" Target="https://docs.google.com/spreadsheets/d/1oIVBtGokCDNO_o89XfnmXbHusfn4vwz7BUzT9QN-qrU/edit?usp=sharing" TargetMode="External"/><Relationship Id="rId223" Type="http://schemas.openxmlformats.org/officeDocument/2006/relationships/hyperlink" Target="https://docs.google.com/spreadsheets/d/1FootlmkwnArQGHJ_fo2ctMTHFxt6eWHt6yxZhicFv0U/edit?usp=sharing" TargetMode="External"/><Relationship Id="rId244" Type="http://schemas.openxmlformats.org/officeDocument/2006/relationships/hyperlink" Target="https://docs.google.com/spreadsheets/d/1rShBYiWcWKG0qhSMBT-xT6NbL038ygGh37KtKnNq2DQ/edit?usp=sharing" TargetMode="External"/><Relationship Id="rId18" Type="http://schemas.openxmlformats.org/officeDocument/2006/relationships/hyperlink" Target="https://docs.google.com/spreadsheets/d/1XhHXWq8t9Tk_JCyzfDQBg1IMoVRVLvl7GFWJo4StyoI/edit?usp=share_link" TargetMode="External"/><Relationship Id="rId39" Type="http://schemas.openxmlformats.org/officeDocument/2006/relationships/hyperlink" Target="https://docs.google.com/spreadsheets/d/1J125H3N6P0MaAKCx8T3BGpl9O9HFsfBZzyvtaY5K32k/edit?usp=sharing" TargetMode="External"/><Relationship Id="rId265" Type="http://schemas.openxmlformats.org/officeDocument/2006/relationships/hyperlink" Target="https://docs.google.com/spreadsheets/d/1b2ZXIjwScw4-RPcij-kfYSQ-QRSwWYEOIB-_w8mMC_s/edit?usp=sharing" TargetMode="External"/><Relationship Id="rId286" Type="http://schemas.openxmlformats.org/officeDocument/2006/relationships/hyperlink" Target="https://docs.google.com/spreadsheets/d/1jQ9QeQIr-i95qYvUicxbRFLewIN-bkLFTaZ44wR-sOo/edit?usp=sharing" TargetMode="External"/><Relationship Id="rId50" Type="http://schemas.openxmlformats.org/officeDocument/2006/relationships/hyperlink" Target="https://docs.google.com/spreadsheets/d/18Mn-EHrUn8ER7q6MfPr67b_jj7e8wGJBz9ig2i8EL5E/edit?usp=sharing" TargetMode="External"/><Relationship Id="rId104" Type="http://schemas.openxmlformats.org/officeDocument/2006/relationships/hyperlink" Target="https://docs.google.com/spreadsheets/d/1sAeiFhaUong4rILvxoapw-08jNSJ49fvYcSwsuTaeYI/edit?usp=sharing" TargetMode="External"/><Relationship Id="rId125" Type="http://schemas.openxmlformats.org/officeDocument/2006/relationships/hyperlink" Target="https://docs.google.com/spreadsheets/d/1CXh_95TA0-6u3R8kML_l_Da_kwaQX7-1XPatEM5mSgg/edit?usp=sharing" TargetMode="External"/><Relationship Id="rId146" Type="http://schemas.openxmlformats.org/officeDocument/2006/relationships/hyperlink" Target="https://docs.google.com/spreadsheets/d/1TuOCi9D1lmWA4vghLcMOtJbUOP76PSYZ69M-GBCNygA/edit?usp=sharing" TargetMode="External"/><Relationship Id="rId167" Type="http://schemas.openxmlformats.org/officeDocument/2006/relationships/hyperlink" Target="https://docs.google.com/spreadsheets/d/1_LGJCXSvIytzEB-UXa8wjwmOCzSQpvNe60O2lP-PCgM/edit?usp=sharing" TargetMode="External"/><Relationship Id="rId188" Type="http://schemas.openxmlformats.org/officeDocument/2006/relationships/hyperlink" Target="https://docs.google.com/spreadsheets/d/13lzKgxszx9yNFiWlgSra9sRfI1D1DDH9AQ-HaC6El2E/edit?usp=sharing" TargetMode="External"/><Relationship Id="rId71" Type="http://schemas.openxmlformats.org/officeDocument/2006/relationships/hyperlink" Target="https://docs.google.com/spreadsheets/d/1z461ONH7yNMK_2Op3EGeeC6umxRjydGyGUFyOeNh5dE/edit?usp=sharing" TargetMode="External"/><Relationship Id="rId92" Type="http://schemas.openxmlformats.org/officeDocument/2006/relationships/hyperlink" Target="https://docs.google.com/spreadsheets/d/1iEE9ltLif0qe2_jbNPqmuPZo_x-9w5t6YgoIYoZPd3U/edit?usp=sharing" TargetMode="External"/><Relationship Id="rId213" Type="http://schemas.openxmlformats.org/officeDocument/2006/relationships/hyperlink" Target="https://docs.google.com/spreadsheets/d/1TnNRaQK1ImPXlIxISn3aZsnu_oHj4DlT-IsUMAmA4rY/edit?usp=sharing" TargetMode="External"/><Relationship Id="rId234" Type="http://schemas.openxmlformats.org/officeDocument/2006/relationships/hyperlink" Target="https://docs.google.com/spreadsheets/d/1N9gMlezCJRNIXGiOi4uo72haokCVFCOTo0Rfk-2uWok/edit?usp=sharing" TargetMode="External"/><Relationship Id="rId2" Type="http://schemas.openxmlformats.org/officeDocument/2006/relationships/hyperlink" Target="https://docs.google.com/spreadsheets/d/1skXIJKBSD6M37oJoD_w57nDX1hHDFdM87t17edNB0-Y/edit?usp=sharing" TargetMode="External"/><Relationship Id="rId29" Type="http://schemas.openxmlformats.org/officeDocument/2006/relationships/hyperlink" Target="https://docs.google.com/spreadsheets/d/1e6wM-OjRDIlbScEA3z6QNhRKcsBLxGS-kkg6KjycEC4/edit?usp=sharing" TargetMode="External"/><Relationship Id="rId255" Type="http://schemas.openxmlformats.org/officeDocument/2006/relationships/hyperlink" Target="https://docs.google.com/spreadsheets/d/1lNtZpGBK1MiKHm-haKxuNN-LktIglrtb0iLTaSxkFrM/edit?usp=sharing" TargetMode="External"/><Relationship Id="rId276" Type="http://schemas.openxmlformats.org/officeDocument/2006/relationships/hyperlink" Target="https://docs.google.com/spreadsheets/d/1DLLBiBsgzsm5tTGxYGO8wnHjM81DyxWZINeT6DzbeEw/edit?usp=sharing" TargetMode="External"/><Relationship Id="rId297" Type="http://schemas.openxmlformats.org/officeDocument/2006/relationships/hyperlink" Target="https://docs.google.com/spreadsheets/d/12VjoOsTD-1CHUurc-m7EQcrtGrSId4qRjgU2sUjLcFU/edit?usp=sharing" TargetMode="External"/><Relationship Id="rId40" Type="http://schemas.openxmlformats.org/officeDocument/2006/relationships/hyperlink" Target="https://docs.google.com/spreadsheets/d/1NwObz3kEuxxprTi_AWW-8pzXywv_Me0UiPCraLr3dR4/edit?usp=sharing" TargetMode="External"/><Relationship Id="rId115" Type="http://schemas.openxmlformats.org/officeDocument/2006/relationships/hyperlink" Target="https://docs.google.com/spreadsheets/d/1v22wTr6mtxdVCkUVE8yPM4_fL1MBR_rs95nVDLqBC3c/edit?usp=sharing" TargetMode="External"/><Relationship Id="rId136" Type="http://schemas.openxmlformats.org/officeDocument/2006/relationships/hyperlink" Target="https://docs.google.com/spreadsheets/d/1DtTybF5X7P5MgKIGofnYshbM_nYu0T3ZHWiCpPq4Gvo/edit?usp=sharing" TargetMode="External"/><Relationship Id="rId157" Type="http://schemas.openxmlformats.org/officeDocument/2006/relationships/hyperlink" Target="https://docs.google.com/spreadsheets/d/1N_NZC78sAGLzjlGQIFb_V8EluCxKFkl-g3D7Mb8p3ek/edit?usp=sharing" TargetMode="External"/><Relationship Id="rId178" Type="http://schemas.openxmlformats.org/officeDocument/2006/relationships/hyperlink" Target="https://docs.google.com/spreadsheets/d/14TfQT_UAZouOgHuedYMtfBtfLqF8joaOZ28og1Ux26U/edit?usp=sharing" TargetMode="External"/><Relationship Id="rId61" Type="http://schemas.openxmlformats.org/officeDocument/2006/relationships/hyperlink" Target="https://docs.google.com/spreadsheets/d/12mpF8gB6k2tLRAsVIb9c139EmwB4udmLABMDRigSMv4/edit?usp=sharing" TargetMode="External"/><Relationship Id="rId82" Type="http://schemas.openxmlformats.org/officeDocument/2006/relationships/hyperlink" Target="https://docs.google.com/spreadsheets/d/1z-TIS8hHX_IueKEKcVcqVGXZzJ6jMgh291KrFy4XpdM/edit?usp=sharing" TargetMode="External"/><Relationship Id="rId199" Type="http://schemas.openxmlformats.org/officeDocument/2006/relationships/hyperlink" Target="https://docs.google.com/spreadsheets/d/10mmPg9ahII3GCYh7C2R3g-PzbE10VxrdC8fjqtvQY8A/edit?usp=sharing" TargetMode="External"/><Relationship Id="rId203" Type="http://schemas.openxmlformats.org/officeDocument/2006/relationships/hyperlink" Target="https://docs.google.com/spreadsheets/d/1RaNr0T8r7J__if12ffcWkdkKc9FMalHoEHsZ7uCqZI8/edit?usp=sharing" TargetMode="External"/><Relationship Id="rId19" Type="http://schemas.openxmlformats.org/officeDocument/2006/relationships/hyperlink" Target="https://docs.google.com/spreadsheets/d/1TLip1N0zYuiK-YNGMm52p_aX1uHI601dAvux6AvflU0/edit?usp=sharing" TargetMode="External"/><Relationship Id="rId224" Type="http://schemas.openxmlformats.org/officeDocument/2006/relationships/hyperlink" Target="https://docs.google.com/spreadsheets/d/1pnd4RdAiOxFA3tm7VDoq515Hw3ALnxNv4BNx8UNq8UA/edit?usp=sharing" TargetMode="External"/><Relationship Id="rId245" Type="http://schemas.openxmlformats.org/officeDocument/2006/relationships/hyperlink" Target="https://docs.google.com/spreadsheets/d/1gXH1I95lu9mAJxAhJFJGGMAB4cEvAexiA6fLCpZyS50/edit?usp=sharing" TargetMode="External"/><Relationship Id="rId266" Type="http://schemas.openxmlformats.org/officeDocument/2006/relationships/hyperlink" Target="https://docs.google.com/spreadsheets/d/1O8kn5Tq_6vv2IrZu8wreZGmu1k-fU5DWulCFoRFnJq0/edit?usp=sharing" TargetMode="External"/><Relationship Id="rId287" Type="http://schemas.openxmlformats.org/officeDocument/2006/relationships/hyperlink" Target="https://docs.google.com/spreadsheets/d/1wx8DsLdkGTmw36pAk1SLqfAAYnQX3uUZul5fEtS0-60/edit?usp=sharing" TargetMode="External"/><Relationship Id="rId30" Type="http://schemas.openxmlformats.org/officeDocument/2006/relationships/hyperlink" Target="https://docs.google.com/spreadsheets/d/1LYzOrX_RWyp3iJLehXDmGg-49B9M2UpgPIbkdaeAdVc/edit?usp=sharing" TargetMode="External"/><Relationship Id="rId105" Type="http://schemas.openxmlformats.org/officeDocument/2006/relationships/hyperlink" Target="https://docs.google.com/spreadsheets/d/1m6vLPkwY4e5JqE4hrlX5JJXXnKLRfZZ9XFNtbgx-4rc/edit?usp=sharing" TargetMode="External"/><Relationship Id="rId126" Type="http://schemas.openxmlformats.org/officeDocument/2006/relationships/hyperlink" Target="https://docs.google.com/spreadsheets/d/1uPjCTiLoNwfuKPYMZJEqEpU0c6UHsyBQKcW1KX9tj2A/edit?usp=sharing" TargetMode="External"/><Relationship Id="rId147" Type="http://schemas.openxmlformats.org/officeDocument/2006/relationships/hyperlink" Target="https://docs.google.com/spreadsheets/d/19uJGbuZ6VKsb5yTCwQtZYQczqZeLv1JixT0Sq7n-EN8/edit?usp=sharing" TargetMode="External"/><Relationship Id="rId168" Type="http://schemas.openxmlformats.org/officeDocument/2006/relationships/hyperlink" Target="https://docs.google.com/spreadsheets/d/1sqL45LbldIzSExzJXdWnfa-6xnrBJbh6LNwGhQmHJU8/edit?usp=sharing" TargetMode="External"/><Relationship Id="rId51" Type="http://schemas.openxmlformats.org/officeDocument/2006/relationships/hyperlink" Target="https://docs.google.com/spreadsheets/d/1JEUumnR193Pmkw9sEyAcrIrcvMfSdK24d_MB09nO048/edit?usp=share_link" TargetMode="External"/><Relationship Id="rId72" Type="http://schemas.openxmlformats.org/officeDocument/2006/relationships/hyperlink" Target="https://docs.google.com/spreadsheets/d/1LBBNdzPzD8xhDOqGBO5AZMQ2bqqpo_IbkNn8XNC7pWQ/edit?usp=sharing" TargetMode="External"/><Relationship Id="rId93" Type="http://schemas.openxmlformats.org/officeDocument/2006/relationships/hyperlink" Target="https://docs.google.com/spreadsheets/d/1mhyDmGWajSSS8BYfOmafhTqkSwz_hEG76zqffOf1LpQ/edit?usp=sharing" TargetMode="External"/><Relationship Id="rId189" Type="http://schemas.openxmlformats.org/officeDocument/2006/relationships/hyperlink" Target="https://docs.google.com/spreadsheets/d/1mhAFGbNR9k39VddiOCI43leM71ZX_LuxdHsGknB2L30/edit?usp=sharing" TargetMode="External"/><Relationship Id="rId3" Type="http://schemas.openxmlformats.org/officeDocument/2006/relationships/hyperlink" Target="https://docs.google.com/spreadsheets/d/1SXmrpn672ns0APszlnz64-IefsP2e3Vr7gSLLPRFwN4/edit?usp=drive_link" TargetMode="External"/><Relationship Id="rId214" Type="http://schemas.openxmlformats.org/officeDocument/2006/relationships/hyperlink" Target="https://docs.google.com/spreadsheets/d/1miaYNPdQBMmc0RHlhW9Pwp5eJmybDKyDdpU85k0GdmY/edit?usp=sharing" TargetMode="External"/><Relationship Id="rId235" Type="http://schemas.openxmlformats.org/officeDocument/2006/relationships/hyperlink" Target="https://docs.google.com/spreadsheets/d/1bTQcjgxq9rkeXepnuagKDZFiogWMmcBjVfIR9QtW2nY/edit?usp=sharing" TargetMode="External"/><Relationship Id="rId256" Type="http://schemas.openxmlformats.org/officeDocument/2006/relationships/hyperlink" Target="https://docs.google.com/spreadsheets/d/1fo0pEBaNI1rfdosByKOKvy_80bTyWP5W24nLfaErvd4/edit?usp=sharing" TargetMode="External"/><Relationship Id="rId277" Type="http://schemas.openxmlformats.org/officeDocument/2006/relationships/hyperlink" Target="https://docs.google.com/spreadsheets/d/1vkvy5b3aMae-jkP9SknZQs4RZCrIbH468MhWRLcww1E/edit?usp=sharing" TargetMode="External"/><Relationship Id="rId298" Type="http://schemas.openxmlformats.org/officeDocument/2006/relationships/hyperlink" Target="https://docs.google.com/spreadsheets/d/1WbLXIQbeGtiX9WBPPgmHL87fTNPJ3sRbwr2cHgunKmA/edit?usp=sharing" TargetMode="External"/><Relationship Id="rId116" Type="http://schemas.openxmlformats.org/officeDocument/2006/relationships/hyperlink" Target="https://docs.google.com/spreadsheets/d/1rIWrh45yo1PIxA5k__B1aafmgFQkXGNrk1pepdIoBKU/edit?usp=sharing" TargetMode="External"/><Relationship Id="rId137" Type="http://schemas.openxmlformats.org/officeDocument/2006/relationships/hyperlink" Target="https://docs.google.com/spreadsheets/d/1b-TB6py29oGkCH0ndmmTIh1_Pj0VaY0XYOViMjzbozA/edit?usp=sharing" TargetMode="External"/><Relationship Id="rId158" Type="http://schemas.openxmlformats.org/officeDocument/2006/relationships/hyperlink" Target="https://docs.google.com/spreadsheets/d/1-XaG88SxSfLCLIxNHT9IB__qpTSUd56myeJYl9hmors/edit?usp=sharing" TargetMode="External"/><Relationship Id="rId20" Type="http://schemas.openxmlformats.org/officeDocument/2006/relationships/hyperlink" Target="https://docs.google.com/spreadsheets/d/10q_4-fU8v1GYFtjJrdOmwWMh3jbVBG90gsFGlNGE44o/edit?usp=sharing" TargetMode="External"/><Relationship Id="rId41" Type="http://schemas.openxmlformats.org/officeDocument/2006/relationships/hyperlink" Target="https://docs.google.com/spreadsheets/d/16spUZHIyrQ8H8YvCWsoZkMUpzb38S9u_NhztdoIyAqU/edit?usp=sharing" TargetMode="External"/><Relationship Id="rId62" Type="http://schemas.openxmlformats.org/officeDocument/2006/relationships/hyperlink" Target="https://docs.google.com/spreadsheets/d/17JKthmCnsj0XrOrgFst6fYjmSySQewkqiu66jlipLq0/edit?usp=sharing" TargetMode="External"/><Relationship Id="rId83" Type="http://schemas.openxmlformats.org/officeDocument/2006/relationships/hyperlink" Target="https://docs.google.com/spreadsheets/d/1FKbSvStdw4qoqyYVlncpoUvMpXBDGC-8O9qY3vVceNM/edit?usp=sharing" TargetMode="External"/><Relationship Id="rId179" Type="http://schemas.openxmlformats.org/officeDocument/2006/relationships/hyperlink" Target="https://docs.google.com/spreadsheets/d/1z5E4YmnHpvZmp7g1A-utdMefFgjI7l1sVVM6a7aSp10/edit?usp=sharing" TargetMode="External"/><Relationship Id="rId190" Type="http://schemas.openxmlformats.org/officeDocument/2006/relationships/hyperlink" Target="https://docs.google.com/spreadsheets/d/1ix_aym-4kC0_rnAs8o16XdD1bY1oSwd9ztEo4DQprgU/edit?usp=sharing" TargetMode="External"/><Relationship Id="rId204" Type="http://schemas.openxmlformats.org/officeDocument/2006/relationships/hyperlink" Target="https://docs.google.com/spreadsheets/d/104mJin0ttr_JLzh6MJwCNb5_1wO161QP8E2gpRM6Krw/edit?usp=sharing" TargetMode="External"/><Relationship Id="rId225" Type="http://schemas.openxmlformats.org/officeDocument/2006/relationships/hyperlink" Target="https://docs.google.com/spreadsheets/d/18O3fYzaSOjjGWoTZaaazJr-KxFmJ1K3n8tMvQwYct10/edit?usp=sharing" TargetMode="External"/><Relationship Id="rId246" Type="http://schemas.openxmlformats.org/officeDocument/2006/relationships/hyperlink" Target="https://docs.google.com/spreadsheets/d/1yMOuNVIEl9mOwodMEbxT7cgre_gTqQySDpNuzcCC3kc/edit?usp=sharing" TargetMode="External"/><Relationship Id="rId267" Type="http://schemas.openxmlformats.org/officeDocument/2006/relationships/hyperlink" Target="https://docs.google.com/spreadsheets/d/1qPvuq7R0krx3t3JD0Fzf2ADPiUWRXXlQUy7rkrfoIv8/edit?usp=sharing" TargetMode="External"/><Relationship Id="rId288" Type="http://schemas.openxmlformats.org/officeDocument/2006/relationships/hyperlink" Target="https://docs.google.com/spreadsheets/d/1OB8lDOKVT0OUogp5joXB9rnlRDLWsfQmSpUw6RLjFrM/edit?usp=sharing" TargetMode="External"/><Relationship Id="rId106" Type="http://schemas.openxmlformats.org/officeDocument/2006/relationships/hyperlink" Target="https://docs.google.com/spreadsheets/d/1Kf2ozxcF5BlzjfCvXmSEkFiBgom4Mtikg-x-Eh4K6nM/edit?usp=sharing" TargetMode="External"/><Relationship Id="rId127" Type="http://schemas.openxmlformats.org/officeDocument/2006/relationships/hyperlink" Target="https://docs.google.com/spreadsheets/d/1ZXxVStfYk06cxWGTiuqkFWzgd_tOXy0aaBBF2wQNZI8/edit?usp=sharing" TargetMode="External"/><Relationship Id="rId10" Type="http://schemas.openxmlformats.org/officeDocument/2006/relationships/hyperlink" Target="https://docs.google.com/spreadsheets/d/1qkkrdszDfqSHzhlguNruf9rwWlxesOlBcXDUDPqoXa0/edit?usp=sharing" TargetMode="External"/><Relationship Id="rId31" Type="http://schemas.openxmlformats.org/officeDocument/2006/relationships/hyperlink" Target="https://docs.google.com/spreadsheets/d/1eH9XNTEqR4UXtyJm_PLyf4OKwi4nrn_c9VZ3Vdkizts/edit?usp=sharing" TargetMode="External"/><Relationship Id="rId52" Type="http://schemas.openxmlformats.org/officeDocument/2006/relationships/hyperlink" Target="https://docs.google.com/spreadsheets/d/1KhUqItaJoizHFNIXdYWZZeBM6-kz-wcWb4HHOL2KH8Q/edit?usp=sharing" TargetMode="External"/><Relationship Id="rId73" Type="http://schemas.openxmlformats.org/officeDocument/2006/relationships/hyperlink" Target="https://docs.google.com/spreadsheets/d/1srE4n9YotYw7qp0zqfdrmW6XnDWlRC30edho1t7FtmI/edit?usp=sharing" TargetMode="External"/><Relationship Id="rId94" Type="http://schemas.openxmlformats.org/officeDocument/2006/relationships/hyperlink" Target="https://docs.google.com/spreadsheets/d/1Z2UliZLYmR8VdLGWwidfGV2r3Gjd2cfCSyOg5sauP6c/edit?usp=sharing" TargetMode="External"/><Relationship Id="rId148" Type="http://schemas.openxmlformats.org/officeDocument/2006/relationships/hyperlink" Target="https://docs.google.com/spreadsheets/d/1OwfjCu5Mf8p5a5dKxk4yzsG5wB4LGaJEdezdsncWD-Q/edit?usp=sharing" TargetMode="External"/><Relationship Id="rId169" Type="http://schemas.openxmlformats.org/officeDocument/2006/relationships/hyperlink" Target="https://docs.google.com/spreadsheets/d/1Ef1PJ-75fhFKuMzjwzKMlat56wfcVW7iANXidKY4-1k/edit?usp=sharing" TargetMode="External"/><Relationship Id="rId4" Type="http://schemas.openxmlformats.org/officeDocument/2006/relationships/hyperlink" Target="https://docs.google.com/spreadsheets/d/1n9MhjZBkkzuP9_ANqWVPZORuToGN4sgIPsnTArfCwPc/edit?usp=drive_link" TargetMode="External"/><Relationship Id="rId180" Type="http://schemas.openxmlformats.org/officeDocument/2006/relationships/hyperlink" Target="https://docs.google.com/spreadsheets/d/1NrAx-AjzYuWISWRnb6VetZJ3ZnNwJCZCm-ADRff1AT4/edit?usp=sharing" TargetMode="External"/><Relationship Id="rId215" Type="http://schemas.openxmlformats.org/officeDocument/2006/relationships/hyperlink" Target="https://docs.google.com/spreadsheets/d/1Y22MKCnRngskMV1ROzMmY-rLZcH_Rm0X0bYzBdYeiKk/edit?usp=sharing" TargetMode="External"/><Relationship Id="rId236" Type="http://schemas.openxmlformats.org/officeDocument/2006/relationships/hyperlink" Target="https://docs.google.com/spreadsheets/d/1Kjoa7LrN6yUS243KZBCKUPshBgPgeu3LT8fs9KkZs_Q/edit?usp=sharing" TargetMode="External"/><Relationship Id="rId257" Type="http://schemas.openxmlformats.org/officeDocument/2006/relationships/hyperlink" Target="https://docs.google.com/spreadsheets/d/1D7IdAkcSULfP4btKdneBWaNUv-G-KnT7yW-25bQJhbQ/edit?usp=sharing" TargetMode="External"/><Relationship Id="rId278" Type="http://schemas.openxmlformats.org/officeDocument/2006/relationships/hyperlink" Target="https://docs.google.com/spreadsheets/d/1exuTmI3OinFqAxRcLj_I3DqsZz5bkXvfH8kXEoU3dUI/edit?usp=sharing" TargetMode="External"/><Relationship Id="rId42" Type="http://schemas.openxmlformats.org/officeDocument/2006/relationships/hyperlink" Target="https://docs.google.com/spreadsheets/d/1UBQVxRDVDpwEDxIz6ISB8WiMHcTHkEyZTa5e1B3YQwE/edit?usp=sharing" TargetMode="External"/><Relationship Id="rId84" Type="http://schemas.openxmlformats.org/officeDocument/2006/relationships/hyperlink" Target="https://docs.google.com/spreadsheets/d/1aEpaPxXdsOepHaL9LNqoSfKhuKqcuEjbgECx8aNefFI/edit?usp=sharing" TargetMode="External"/><Relationship Id="rId138" Type="http://schemas.openxmlformats.org/officeDocument/2006/relationships/hyperlink" Target="https://docs.google.com/spreadsheets/d/1uWMBJmwjGVLIc-f2k0fqdNDF3lmHHbbhR-yZz1v3Mlw/edit?usp=sharing" TargetMode="External"/><Relationship Id="rId191" Type="http://schemas.openxmlformats.org/officeDocument/2006/relationships/hyperlink" Target="https://docs.google.com/spreadsheets/d/1eW6aJ4WUBmOU0sj1fdBWmbdFPIw6deQC-0q3rgqx2-0/edit?usp=sharing" TargetMode="External"/><Relationship Id="rId205" Type="http://schemas.openxmlformats.org/officeDocument/2006/relationships/hyperlink" Target="https://docs.google.com/spreadsheets/d/1iR7-m6azVB6O4IXpDPdEFJR2AoLQwjJ41WPv3TkMk-w/edit?usp=sharing" TargetMode="External"/><Relationship Id="rId247" Type="http://schemas.openxmlformats.org/officeDocument/2006/relationships/hyperlink" Target="https://docs.google.com/spreadsheets/d/1FvblZ-KyJGFRa49Dasd_F2x78c8012EBY45-gCiw20U/edit?usp=sharing" TargetMode="External"/><Relationship Id="rId107" Type="http://schemas.openxmlformats.org/officeDocument/2006/relationships/hyperlink" Target="https://docs.google.com/spreadsheets/d/14LcxUU-jXWSlaJutpejjFK3yx6YN8OQr2spwwFuUNcg/edit?usp=sharing" TargetMode="External"/><Relationship Id="rId289" Type="http://schemas.openxmlformats.org/officeDocument/2006/relationships/hyperlink" Target="https://docs.google.com/spreadsheets/d/1QsmNIO-jyyu6Vk4m_j4Kc2J5sT_t6igkz5i52Ongqr0/edit?usp=sharing" TargetMode="External"/><Relationship Id="rId11" Type="http://schemas.openxmlformats.org/officeDocument/2006/relationships/hyperlink" Target="https://docs.google.com/spreadsheets/d/1bIVJ_e22-J0X2bqo1Cnztn-nRIAs97tZ9B9eBfZH-lk/edit?usp=sharing" TargetMode="External"/><Relationship Id="rId53" Type="http://schemas.openxmlformats.org/officeDocument/2006/relationships/hyperlink" Target="https://docs.google.com/spreadsheets/d/1D_pNDhMRf_VWqc1wDymJ-ybtJl3dKlqijS_Wk-II9rg/edit?usp=sharing" TargetMode="External"/><Relationship Id="rId149" Type="http://schemas.openxmlformats.org/officeDocument/2006/relationships/hyperlink" Target="https://docs.google.com/spreadsheets/d/1bYj8LLHhoebSxL6719K1OFRnZSmGJNPUyPxpzpYqsFI/edit?usp=sharing" TargetMode="External"/><Relationship Id="rId95" Type="http://schemas.openxmlformats.org/officeDocument/2006/relationships/hyperlink" Target="https://docs.google.com/spreadsheets/d/1_vhGWpb6ArlP8EKxHIoSHxsZRxEsqwvNvIlibSOkOBA/edit?usp=sharing" TargetMode="External"/><Relationship Id="rId160" Type="http://schemas.openxmlformats.org/officeDocument/2006/relationships/hyperlink" Target="https://docs.google.com/spreadsheets/d/1K4V8f5GPRjvNzh5arwpMFtNXj-KlP7WDUWNRldr-CMw/edit?usp=sharing" TargetMode="External"/><Relationship Id="rId216" Type="http://schemas.openxmlformats.org/officeDocument/2006/relationships/hyperlink" Target="https://docs.google.com/spreadsheets/d/1lJI3QSdAzjd3JjH-S0Wbd_G4xQQqa_JI4jZptPYhFGU/edit?usp=sharing" TargetMode="External"/><Relationship Id="rId258" Type="http://schemas.openxmlformats.org/officeDocument/2006/relationships/hyperlink" Target="https://docs.google.com/spreadsheets/d/1Cf04wHycFKPMVUuqvVriQ0_F1Nr9Dbih3ytIbrB_LFw/edit?usp=sharing" TargetMode="External"/><Relationship Id="rId22" Type="http://schemas.openxmlformats.org/officeDocument/2006/relationships/hyperlink" Target="https://docs.google.com/spreadsheets/d/1xkutK_6Q3tK6-ZifvAfDLuYKUQdcR3kXkvNxXAIFNMk/edit?usp=sharing" TargetMode="External"/><Relationship Id="rId64" Type="http://schemas.openxmlformats.org/officeDocument/2006/relationships/hyperlink" Target="https://docs.google.com/spreadsheets/d/1zpapEEvkbFN0mUO9n3pb7qVi3zECF8ubVhvMRvTQTs4/edit?usp=sharing" TargetMode="External"/><Relationship Id="rId118" Type="http://schemas.openxmlformats.org/officeDocument/2006/relationships/hyperlink" Target="https://docs.google.com/spreadsheets/d/1PXvgkmIr8GvJ21hl7eobtUseVS6RR_MjsgEOLnqsV08/edit?usp=sharing" TargetMode="External"/><Relationship Id="rId171" Type="http://schemas.openxmlformats.org/officeDocument/2006/relationships/hyperlink" Target="https://docs.google.com/spreadsheets/d/1rFL4JV5b0oCX1Wqc6zvYCURD4-GrYMyd0OTvfHPw4lk/edit?usp=sharing" TargetMode="External"/><Relationship Id="rId227" Type="http://schemas.openxmlformats.org/officeDocument/2006/relationships/hyperlink" Target="https://docs.google.com/spreadsheets/d/158ITztx08lv_KykzT3EuWIucCYhOK3rQGlQD4Y3vQIM/edit?usp=sharing" TargetMode="External"/><Relationship Id="rId269" Type="http://schemas.openxmlformats.org/officeDocument/2006/relationships/hyperlink" Target="https://docs.google.com/spreadsheets/d/1Vyj-hzSLnC0o1aj6KqhTZIKGXwPzBRTPLPNIkTOPBvw/edit?usp=sharing" TargetMode="External"/><Relationship Id="rId33" Type="http://schemas.openxmlformats.org/officeDocument/2006/relationships/hyperlink" Target="https://docs.google.com/spreadsheets/d/1UrALhDWjmCxfZwRKgT6CZo4sblW_6WEIIddyOod8ohQ/edit?usp=share_link" TargetMode="External"/><Relationship Id="rId129" Type="http://schemas.openxmlformats.org/officeDocument/2006/relationships/hyperlink" Target="https://docs.google.com/spreadsheets/d/1bc71GhkUpjTXX2DcEY0NyLUBMYFGEvLNEie52vgI0W8/edit?usp=sharing" TargetMode="External"/><Relationship Id="rId280" Type="http://schemas.openxmlformats.org/officeDocument/2006/relationships/hyperlink" Target="https://docs.google.com/spreadsheets/d/1tWs18XsbF8eSgDMEWrg8MLZ5AOR8gy0-jqvCa5lDNdM/edit?usp=sharing"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docs.google.com/spreadsheets/d/1s_Cw8EbduucyaZzB4eIOKV_4yykRLMmhUqZkhqiSRhM/edit?usp=sharing" TargetMode="External"/><Relationship Id="rId21" Type="http://schemas.openxmlformats.org/officeDocument/2006/relationships/hyperlink" Target="https://docs.google.com/spreadsheets/d/1hTvKc3wryP6eeewzcdVSf83v8CE2vf2cKpAeoyNXqkM/edit?usp=sharing" TargetMode="External"/><Relationship Id="rId42" Type="http://schemas.openxmlformats.org/officeDocument/2006/relationships/hyperlink" Target="https://docs.google.com/spreadsheets/d/154OlDeXVSfvILlZ45VycxerZO5yQixmf8zzoTDikQ5E/edit?usp=sharing" TargetMode="External"/><Relationship Id="rId47" Type="http://schemas.openxmlformats.org/officeDocument/2006/relationships/hyperlink" Target="https://docs.google.com/spreadsheets/d/13i_oWZnktzR9bFgtLnmIqia5evVMMw4MXEQ2sgn3ih4/edit?usp=sharing" TargetMode="External"/><Relationship Id="rId63" Type="http://schemas.openxmlformats.org/officeDocument/2006/relationships/hyperlink" Target="https://docs.google.com/spreadsheets/d/13isFX8S0HHbuaA2L_6FsMKGcmA4ZTsU2CZyHxXbmSkY/edit?usp=share_link" TargetMode="External"/><Relationship Id="rId68" Type="http://schemas.openxmlformats.org/officeDocument/2006/relationships/hyperlink" Target="https://docs.google.com/spreadsheets/d/15Ka8p1RjmWAa2niINNBKN3q4r5V0krc6bVnktxZb99Y/edit?usp=sharing" TargetMode="External"/><Relationship Id="rId84" Type="http://schemas.openxmlformats.org/officeDocument/2006/relationships/hyperlink" Target="https://docs.google.com/spreadsheets/d/1zR5drsGbpsY4-3FXU7h6lMLuQEFu80qnF1hnSAImClU/edit?usp=sharing" TargetMode="External"/><Relationship Id="rId16" Type="http://schemas.openxmlformats.org/officeDocument/2006/relationships/hyperlink" Target="https://docs.google.com/spreadsheets/d/1zZVFTaqfEXSsCVZ_M6Lszq0M3o1HjcmLxwpwb1NQUrk/edit?usp=sharing" TargetMode="External"/><Relationship Id="rId11" Type="http://schemas.openxmlformats.org/officeDocument/2006/relationships/hyperlink" Target="https://docs.google.com/spreadsheets/d/145-ZUBWBK9eaiQtuiw5MxtxzVDokXLEpxxliuXBesA4/edit?usp=sharing" TargetMode="External"/><Relationship Id="rId32" Type="http://schemas.openxmlformats.org/officeDocument/2006/relationships/hyperlink" Target="https://docs.google.com/spreadsheets/d/1i7IFMfVNmmPSthT-tlFwRuzWl0Q1d8O5xONVkZJna8s/edit?usp=sharing" TargetMode="External"/><Relationship Id="rId37" Type="http://schemas.openxmlformats.org/officeDocument/2006/relationships/hyperlink" Target="https://docs.google.com/spreadsheets/d/1Nrs5HtpZ6C8_WLmlphsJs6G60uGEMRgDNii3PA5Z3M8/edit?usp=sharing" TargetMode="External"/><Relationship Id="rId53" Type="http://schemas.openxmlformats.org/officeDocument/2006/relationships/hyperlink" Target="https://docs.google.com/spreadsheets/d/1ng-nPG-p4iTWurnMtVbU-RYByp99bkmXW438MVMHbTM/edit?usp=sharing" TargetMode="External"/><Relationship Id="rId58" Type="http://schemas.openxmlformats.org/officeDocument/2006/relationships/hyperlink" Target="https://docs.google.com/spreadsheets/d/1Hq52bQUw_BgROpBau3gXV8bYptAe7A1MIjKBGYc8fGE/edit?usp=sharing" TargetMode="External"/><Relationship Id="rId74" Type="http://schemas.openxmlformats.org/officeDocument/2006/relationships/hyperlink" Target="https://docs.google.com/spreadsheets/d/1TuOCi9D1lmWA4vghLcMOtJbUOP76PSYZ69M-GBCNygA/edit?usp=sharing" TargetMode="External"/><Relationship Id="rId79" Type="http://schemas.openxmlformats.org/officeDocument/2006/relationships/hyperlink" Target="https://docs.google.com/spreadsheets/d/15kypnd8Ci3wPGzWtuYmc1Tht6E5dj_8H3L4YyHScx0Y/edit?usp=sharing" TargetMode="External"/><Relationship Id="rId5" Type="http://schemas.openxmlformats.org/officeDocument/2006/relationships/hyperlink" Target="https://docs.google.com/spreadsheets/d/1TkWCLivRf-MIkyYfcm-4GaGdiSazAijcZ2dyTKyg5nU/edit?usp=sharing" TargetMode="External"/><Relationship Id="rId61" Type="http://schemas.openxmlformats.org/officeDocument/2006/relationships/hyperlink" Target="https://docs.google.com/spreadsheets/d/1AHPNRXviNegHYYNE3PYodwQvmP96CSzE-ctRYvwK8Xw/edit?usp=sharing" TargetMode="External"/><Relationship Id="rId82" Type="http://schemas.openxmlformats.org/officeDocument/2006/relationships/hyperlink" Target="https://docs.google.com/spreadsheets/d/1tWs18XsbF8eSgDMEWrg8MLZ5AOR8gy0-jqvCa5lDNdM/edit?usp=sharing" TargetMode="External"/><Relationship Id="rId19" Type="http://schemas.openxmlformats.org/officeDocument/2006/relationships/hyperlink" Target="https://docs.google.com/spreadsheets/d/1GW4EZgGpRwtla-J-2ki2ffqA6dUrc9hYFrLoYsWswu0/edit?usp=sharing" TargetMode="External"/><Relationship Id="rId14" Type="http://schemas.openxmlformats.org/officeDocument/2006/relationships/hyperlink" Target="https://docs.google.com/spreadsheets/d/1WMWbsRLQYwzUW75wsgS_xhsa9FlvOsuPPmHMTXQJDSo/edit?usp=sharing" TargetMode="External"/><Relationship Id="rId22" Type="http://schemas.openxmlformats.org/officeDocument/2006/relationships/hyperlink" Target="https://docs.google.com/spreadsheets/d/1bnS0v-mDAZsGWawSx4QwvqlmyEqCCpXIagiqkVS9wDs/edit?usp=sharing" TargetMode="External"/><Relationship Id="rId27" Type="http://schemas.openxmlformats.org/officeDocument/2006/relationships/hyperlink" Target="https://docs.google.com/spreadsheets/d/10jkVu9yGgPIsBbitcTRk09zXWfWv0qzLAlrF0KGmuGA/edit?usp=sharing" TargetMode="External"/><Relationship Id="rId30" Type="http://schemas.openxmlformats.org/officeDocument/2006/relationships/hyperlink" Target="https://docs.google.com/spreadsheets/d/1CZrJnr8vFq2ht6UQJyD31CC14Eb2mTMsmlxBMNQY5oE/edit?usp=sharing" TargetMode="External"/><Relationship Id="rId35" Type="http://schemas.openxmlformats.org/officeDocument/2006/relationships/hyperlink" Target="https://docs.google.com/spreadsheets/d/1cHGTS0HkEyV8vYKl35-3e_o-hkJ5C_21KQs-h-pApa4/edit?usp=sharing" TargetMode="External"/><Relationship Id="rId43" Type="http://schemas.openxmlformats.org/officeDocument/2006/relationships/hyperlink" Target="https://docs.google.com/spreadsheets/d/1Wa_PVpJv_U8IuX7AEOrv-lxxCpmi8mvivPXCQqgndXk/edit?usp=sharing" TargetMode="External"/><Relationship Id="rId48" Type="http://schemas.openxmlformats.org/officeDocument/2006/relationships/hyperlink" Target="https://docs.google.com/spreadsheets/d/193r8kCrIdukleBJzMDH-e6q2Ozhl_TJy2VjoGelYCRE/edit?usp=sharing" TargetMode="External"/><Relationship Id="rId56" Type="http://schemas.openxmlformats.org/officeDocument/2006/relationships/hyperlink" Target="https://docs.google.com/spreadsheets/d/11z4buXAAhRrRLceauKmds_J0VHaqxcmUMLG985ajLXg/edit?usp=sharing" TargetMode="External"/><Relationship Id="rId64" Type="http://schemas.openxmlformats.org/officeDocument/2006/relationships/hyperlink" Target="https://docs.google.com/spreadsheets/d/1fhflLms6F9E376K7xXYcNbXEmZQ-RR9okvZVby6IHOs/edit?usp=share_link" TargetMode="External"/><Relationship Id="rId69" Type="http://schemas.openxmlformats.org/officeDocument/2006/relationships/hyperlink" Target="https://docs.google.com/spreadsheets/d/1qaXdOAfwEhHzRCarrqPg5Ex7oGBVtzTte9813L1yGxI/edit?usp=sharing" TargetMode="External"/><Relationship Id="rId77" Type="http://schemas.openxmlformats.org/officeDocument/2006/relationships/hyperlink" Target="https://docs.google.com/spreadsheets/d/1BSvOGgWUpEg5hxm_FvbmZlZXByDkJ6zzaJMGPGek3ck/edit?usp=sharing" TargetMode="External"/><Relationship Id="rId8" Type="http://schemas.openxmlformats.org/officeDocument/2006/relationships/hyperlink" Target="https://docs.google.com/spreadsheets/d/1eNBaXUiAiAU0c1rDnaYvyDt-SYmfrQshhIPfjDwpTyY/edit?usp=sharing" TargetMode="External"/><Relationship Id="rId51" Type="http://schemas.openxmlformats.org/officeDocument/2006/relationships/hyperlink" Target="https://docs.google.com/spreadsheets/d/1DDRWsc30xJ2sY0SztegYDw3CcNS8xRBWyh77nCoEk9w/edit?usp=sharing" TargetMode="External"/><Relationship Id="rId72" Type="http://schemas.openxmlformats.org/officeDocument/2006/relationships/hyperlink" Target="https://docs.google.com/spreadsheets/d/1XNWI_R9m0PjaHBalFd7NhCrWml2qAVEPkxJGc85xXhk/edit?usp=sharing" TargetMode="External"/><Relationship Id="rId80" Type="http://schemas.openxmlformats.org/officeDocument/2006/relationships/hyperlink" Target="https://docs.google.com/spreadsheets/d/1J-c25LQ5XbJf5VD_gSC7d3oO8u_BI0953XrfWlu808M/edit?usp=sharing" TargetMode="External"/><Relationship Id="rId3" Type="http://schemas.openxmlformats.org/officeDocument/2006/relationships/hyperlink" Target="https://docs.google.com/spreadsheets/d/1kPUxarAFqeKz4iFeATryG3QEyU7UO4fts9dUE-pUbFY/edit?usp=sharing" TargetMode="External"/><Relationship Id="rId12" Type="http://schemas.openxmlformats.org/officeDocument/2006/relationships/hyperlink" Target="https://docs.google.com/spreadsheets/d/1wHRLFeIThKudXlFn2UWcOqSwMm0WDGI1LyxWz7WC1No/edit?usp=sharing" TargetMode="External"/><Relationship Id="rId17" Type="http://schemas.openxmlformats.org/officeDocument/2006/relationships/hyperlink" Target="https://docs.google.com/spreadsheets/d/1FWbZDOd3BWvX1RQgzHyzmqOnj5XZ669tYa9eFudtBgc/edit?usp=sharing" TargetMode="External"/><Relationship Id="rId25" Type="http://schemas.openxmlformats.org/officeDocument/2006/relationships/hyperlink" Target="https://docs.google.com/spreadsheets/d/1ZSM5MWq4A2_EX21MzXReWys5jqp_d63FfBxa-fhMaQY/edit?usp=sharing" TargetMode="External"/><Relationship Id="rId33" Type="http://schemas.openxmlformats.org/officeDocument/2006/relationships/hyperlink" Target="https://docs.google.com/spreadsheets/d/1JCVajSnHlVNNt9XmffeXLe0N2OzyswA-qUb5aA48eWc/edit?usp=sharing" TargetMode="External"/><Relationship Id="rId38" Type="http://schemas.openxmlformats.org/officeDocument/2006/relationships/hyperlink" Target="https://docs.google.com/spreadsheets/d/1mSNwjGik1fR0l-ae1jDzVBTTwsWqORUkG-F7iiKXH4Y/edit?usp=sharing" TargetMode="External"/><Relationship Id="rId46" Type="http://schemas.openxmlformats.org/officeDocument/2006/relationships/hyperlink" Target="https://docs.google.com/spreadsheets/d/1mCrupkCgjUBCP4-4DqsG5EubXPqd3nJuQgo1v7TVyEM/edit?usp=sharing" TargetMode="External"/><Relationship Id="rId59" Type="http://schemas.openxmlformats.org/officeDocument/2006/relationships/hyperlink" Target="https://docs.google.com/spreadsheets/d/1wzBiI2j3XuT2a-QISGP9jgWhmfUaNDHSfScmTrs3zPU/edit?usp=sharing" TargetMode="External"/><Relationship Id="rId67" Type="http://schemas.openxmlformats.org/officeDocument/2006/relationships/hyperlink" Target="https://docs.google.com/spreadsheets/d/18P0WZuK4dJiDmfTfDW1u6rGgUTzPr6ohihbmsW0eqLs/edit?usp=sharing" TargetMode="External"/><Relationship Id="rId20" Type="http://schemas.openxmlformats.org/officeDocument/2006/relationships/hyperlink" Target="https://docs.google.com/spreadsheets/d/1yZy7r9Ag0Zi_PJ2lfsVD_mbMAE_3JxmxLED0cKJ-WxA/edit?usp=sharing" TargetMode="External"/><Relationship Id="rId41" Type="http://schemas.openxmlformats.org/officeDocument/2006/relationships/hyperlink" Target="https://docs.google.com/spreadsheets/d/1WlXiK8hMelNwJ9q4twEj8cejta7Pgg_eV9xUDEPN0jc/edit?usp=sharing" TargetMode="External"/><Relationship Id="rId54" Type="http://schemas.openxmlformats.org/officeDocument/2006/relationships/hyperlink" Target="https://docs.google.com/spreadsheets/d/1eZaZAimshwj-b8OnKrUKoci3CBf_xJlm0tcQEVp_UmA/edit?usp=sharing" TargetMode="External"/><Relationship Id="rId62" Type="http://schemas.openxmlformats.org/officeDocument/2006/relationships/hyperlink" Target="https://docs.google.com/spreadsheets/d/1fVh5rsOJf-mzL4gPnzzyZa1II565xgEw2IHR-aJZc6U/edit?usp=sharing" TargetMode="External"/><Relationship Id="rId70" Type="http://schemas.openxmlformats.org/officeDocument/2006/relationships/hyperlink" Target="https://docs.google.com/spreadsheets/d/1KVbggztv4LNLhFbL8wp3fIXlb-J0P97f1WYNNnqaioY/edit?usp=sharing" TargetMode="External"/><Relationship Id="rId75" Type="http://schemas.openxmlformats.org/officeDocument/2006/relationships/hyperlink" Target="https://docs.google.com/spreadsheets/d/17UKpkr10zB2BvhixhWqAOr509blYqt-1u7KY5bn2erE/edit?usp=sharing" TargetMode="External"/><Relationship Id="rId83" Type="http://schemas.openxmlformats.org/officeDocument/2006/relationships/hyperlink" Target="https://docs.google.com/spreadsheets/d/1a5lh7zA3Z5iQ-MxDHGxOXabYs-4d0RnqC6fiuIcpUwA/edit?usp=sharing" TargetMode="External"/><Relationship Id="rId1" Type="http://schemas.openxmlformats.org/officeDocument/2006/relationships/hyperlink" Target="https://docs.google.com/spreadsheets/d/1UsRY_w7LMpPL5LFHxfK6Wmc3F5LDg1Do1ViAooxs3qE/edit?usp=sharing" TargetMode="External"/><Relationship Id="rId6" Type="http://schemas.openxmlformats.org/officeDocument/2006/relationships/hyperlink" Target="https://docs.google.com/spreadsheets/d/1PrdCJEhfxMxu5onL8GSolOw_MnKQrXphP94o-9jtZL8/edit?usp=sharing" TargetMode="External"/><Relationship Id="rId15" Type="http://schemas.openxmlformats.org/officeDocument/2006/relationships/hyperlink" Target="https://docs.google.com/spreadsheets/d/1raaeyPvOzq-jZ-INVaKApM-BhzGndM6cNxcggE4t9M4/edit?usp=sharing" TargetMode="External"/><Relationship Id="rId23" Type="http://schemas.openxmlformats.org/officeDocument/2006/relationships/hyperlink" Target="https://docs.google.com/spreadsheets/d/1Mu-RnGii_V3v40uBUGPKh4J4XnN9q3fvuu70LSoqAFc/edit?usp=sharing" TargetMode="External"/><Relationship Id="rId28" Type="http://schemas.openxmlformats.org/officeDocument/2006/relationships/hyperlink" Target="https://docs.google.com/spreadsheets/d/1mCunsP6eSNbsniGFgxtKBXnGcdC9-kHLlTmn4WxJSGI/edit?usp=sharing" TargetMode="External"/><Relationship Id="rId36" Type="http://schemas.openxmlformats.org/officeDocument/2006/relationships/hyperlink" Target="https://docs.google.com/spreadsheets/d/1L6_cxnjlXwP1Jcgh-vrz6cGXvWtzszVeksrc7ZEpZyk/edit?usp=sharing" TargetMode="External"/><Relationship Id="rId49" Type="http://schemas.openxmlformats.org/officeDocument/2006/relationships/hyperlink" Target="https://docs.google.com/spreadsheets/d/1HQqZ21RZIyM34-AohtaBUNHaIS7_JORiQ9kWdfBwvmQ/edit?usp=sharing" TargetMode="External"/><Relationship Id="rId57" Type="http://schemas.openxmlformats.org/officeDocument/2006/relationships/hyperlink" Target="https://docs.google.com/spreadsheets/d/1VM2bC0VL6R6I6HgQOsQEOYp7hkSiH4G_RZNZ2tjynWY/edit?usp=sharing" TargetMode="External"/><Relationship Id="rId10" Type="http://schemas.openxmlformats.org/officeDocument/2006/relationships/hyperlink" Target="https://docs.google.com/spreadsheets/d/1hRvVR5FjgrMprKa2HkMel5OjjpWpYiDYRB18rZSXmVc/edit?usp=sharing" TargetMode="External"/><Relationship Id="rId31" Type="http://schemas.openxmlformats.org/officeDocument/2006/relationships/hyperlink" Target="https://docs.google.com/spreadsheets/d/1FLbf9cZVqWgEKDiI7X4pPrl8mMjXTZmzKIHy06zWmk4/edit?usp=sharing" TargetMode="External"/><Relationship Id="rId44" Type="http://schemas.openxmlformats.org/officeDocument/2006/relationships/hyperlink" Target="https://docs.google.com/spreadsheets/d/1tGdXOSqhxHlV9X1tQW7n9bnArSQ2F-LmiDZdxoBpcFA/edit?usp=sharing" TargetMode="External"/><Relationship Id="rId52" Type="http://schemas.openxmlformats.org/officeDocument/2006/relationships/hyperlink" Target="https://docs.google.com/spreadsheets/d/1hU8iuNMVMzcjxgr5vzITUbdUHsDOT7TjYIrnaPTVmso/edit?usp=sharing" TargetMode="External"/><Relationship Id="rId60" Type="http://schemas.openxmlformats.org/officeDocument/2006/relationships/hyperlink" Target="https://docs.google.com/spreadsheets/d/1DSr489ZrXRg1XbqV7VXQ1oJZ512VNi0Sxq9fsRHwhNk/edit?usp=sharing" TargetMode="External"/><Relationship Id="rId65" Type="http://schemas.openxmlformats.org/officeDocument/2006/relationships/hyperlink" Target="https://docs.google.com/spreadsheets/d/1-rOSMP9BsjlhluBHmNat0D4nSFtf78xRTRyf4Z-ZaYI/edit?usp=sharing" TargetMode="External"/><Relationship Id="rId73" Type="http://schemas.openxmlformats.org/officeDocument/2006/relationships/hyperlink" Target="https://docs.google.com/spreadsheets/d/1YtICJtRMaYSAHahWWO27gFwPQ_kEl4QcVT8qHwqXLqk/edit?usp=sharing" TargetMode="External"/><Relationship Id="rId78" Type="http://schemas.openxmlformats.org/officeDocument/2006/relationships/hyperlink" Target="https://docs.google.com/spreadsheets/d/13Ywp559uUt69lNzGrT2SNYkxhH0MoGzx3tUUW9UEn0Q/edit?usp=sharing" TargetMode="External"/><Relationship Id="rId81" Type="http://schemas.openxmlformats.org/officeDocument/2006/relationships/hyperlink" Target="https://docs.google.com/spreadsheets/d/15uKTB3FZAG--gCBmJiFVVxf1sVEnoQl3AF6m3CdeBEA/edit?usp=sharing" TargetMode="External"/><Relationship Id="rId4" Type="http://schemas.openxmlformats.org/officeDocument/2006/relationships/hyperlink" Target="https://docs.google.com/spreadsheets/d/1FJzjqpJaMgkRFHl7596Y5DXHHB_kXl7drOzEvYIKgis/edit?usp=sharing" TargetMode="External"/><Relationship Id="rId9" Type="http://schemas.openxmlformats.org/officeDocument/2006/relationships/hyperlink" Target="https://docs.google.com/spreadsheets/d/1HGpWkBkX_6Nu5ENEI3oWmSihtAS4NKpBeqGSHw5xT9g/edit?usp=sharing" TargetMode="External"/><Relationship Id="rId13" Type="http://schemas.openxmlformats.org/officeDocument/2006/relationships/hyperlink" Target="https://docs.google.com/spreadsheets/d/1kEFm461HYWSRvdyufwDKFGSmwK4IfKZtUSAqfb7t0uY/edit?usp=sharing" TargetMode="External"/><Relationship Id="rId18" Type="http://schemas.openxmlformats.org/officeDocument/2006/relationships/hyperlink" Target="https://docs.google.com/spreadsheets/d/1bOOhayUl2SM8vaPfnBeWLUGH8jAvLEuAzzmtaZd4MS8/edit?usp=sharing" TargetMode="External"/><Relationship Id="rId39" Type="http://schemas.openxmlformats.org/officeDocument/2006/relationships/hyperlink" Target="https://docs.google.com/spreadsheets/d/193ljj5zgM9ALQnAHrLpVBR1h99nWQjhEMxzwGViEwzc/edit?usp=sharing" TargetMode="External"/><Relationship Id="rId34" Type="http://schemas.openxmlformats.org/officeDocument/2006/relationships/hyperlink" Target="https://docs.google.com/spreadsheets/d/1wpT4zgp-YuwZb5MqBWCV2NCCoUdoEw3rAZIPLUR4Qro/edit?usp=sharing" TargetMode="External"/><Relationship Id="rId50" Type="http://schemas.openxmlformats.org/officeDocument/2006/relationships/hyperlink" Target="https://docs.google.com/spreadsheets/d/1KcYOV65mB9RF0u-gZSW5SXd-XGi9A6pllAczd3LFQ_s/edit?usp=sharing" TargetMode="External"/><Relationship Id="rId55" Type="http://schemas.openxmlformats.org/officeDocument/2006/relationships/hyperlink" Target="https://docs.google.com/spreadsheets/d/1PIEJWQsjbrXts3AJluyJMmESZkOS_Mzg1MIdDzU9qRM/edit?usp=sharing" TargetMode="External"/><Relationship Id="rId76" Type="http://schemas.openxmlformats.org/officeDocument/2006/relationships/hyperlink" Target="https://docs.google.com/spreadsheets/d/13lzKgxszx9yNFiWlgSra9sRfI1D1DDH9AQ-HaC6El2E/edit?usp=sharing" TargetMode="External"/><Relationship Id="rId7" Type="http://schemas.openxmlformats.org/officeDocument/2006/relationships/hyperlink" Target="https://docs.google.com/spreadsheets/d/1am-kTrgeFFm5qA5HSQIv-D3K9VERzC7uUOH68osAeKw/edit?usp=sharing" TargetMode="External"/><Relationship Id="rId71" Type="http://schemas.openxmlformats.org/officeDocument/2006/relationships/hyperlink" Target="https://docs.google.com/spreadsheets/d/1ZXxVStfYk06cxWGTiuqkFWzgd_tOXy0aaBBF2wQNZI8/edit?usp=sharing" TargetMode="External"/><Relationship Id="rId2" Type="http://schemas.openxmlformats.org/officeDocument/2006/relationships/hyperlink" Target="https://docs.google.com/spreadsheets/d/1YZfNj-uOgCATy_IxCB7rYm5vNOeeAlq0sJuyqr3AhpQ/edit?usp=sharing" TargetMode="External"/><Relationship Id="rId29" Type="http://schemas.openxmlformats.org/officeDocument/2006/relationships/hyperlink" Target="https://docs.google.com/spreadsheets/d/13EK_R1zaUtZ42hocP5mv6WcjPRMyyqG5Gk-_K9YNuBo/edit?usp=sharing" TargetMode="External"/><Relationship Id="rId24" Type="http://schemas.openxmlformats.org/officeDocument/2006/relationships/hyperlink" Target="https://docs.google.com/spreadsheets/d/19aDWoYdfoCU4GlRHQ5O7xsApWEuUkR4Q80-Bm8m1Kgc/edit?usp=sharing" TargetMode="External"/><Relationship Id="rId40" Type="http://schemas.openxmlformats.org/officeDocument/2006/relationships/hyperlink" Target="https://docs.google.com/spreadsheets/d/13E3dGKp_wBfcLLDLNfGgap9EFshmsE7Hw6Q3DlKBu3I/edit?usp=sharing" TargetMode="External"/><Relationship Id="rId45" Type="http://schemas.openxmlformats.org/officeDocument/2006/relationships/hyperlink" Target="https://docs.google.com/spreadsheets/d/1DA3ZbBJPTLigl-7OmDjVp7RU9qM3XB9xmxDAslgoDMk/edit?usp=sharing" TargetMode="External"/><Relationship Id="rId66" Type="http://schemas.openxmlformats.org/officeDocument/2006/relationships/hyperlink" Target="https://docs.google.com/spreadsheets/d/19ftFg1Irav4E-gL9iRbOqNd17HJPmA99yfHRSGMb8OU/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3C47D"/>
  </sheetPr>
  <dimension ref="A1:R137"/>
  <sheetViews>
    <sheetView workbookViewId="0">
      <pane ySplit="1" topLeftCell="A2" activePane="bottomLeft" state="frozen"/>
      <selection pane="bottomLeft" activeCell="B3" sqref="B3"/>
    </sheetView>
  </sheetViews>
  <sheetFormatPr baseColWidth="10" defaultColWidth="14.44140625" defaultRowHeight="15" customHeight="1"/>
  <cols>
    <col min="1" max="1" width="5" customWidth="1"/>
    <col min="2" max="2" width="25.88671875" customWidth="1"/>
    <col min="3" max="3" width="19.5546875" customWidth="1"/>
    <col min="4" max="4" width="9.5546875" customWidth="1"/>
    <col min="5" max="5" width="10" customWidth="1"/>
    <col min="6" max="6" width="12.109375" customWidth="1"/>
    <col min="7" max="7" width="14.88671875" customWidth="1"/>
    <col min="8" max="8" width="22.109375" customWidth="1"/>
    <col min="9" max="9" width="67.33203125" customWidth="1"/>
    <col min="10" max="10" width="27.88671875" customWidth="1"/>
    <col min="11" max="11" width="8" customWidth="1"/>
    <col min="12" max="12" width="20.5546875" customWidth="1"/>
    <col min="13" max="15" width="13.109375" customWidth="1"/>
    <col min="16" max="16" width="14.109375" customWidth="1"/>
    <col min="17" max="18" width="25.109375" customWidth="1"/>
  </cols>
  <sheetData>
    <row r="1" spans="1:18" ht="23.25" customHeight="1">
      <c r="A1" s="1"/>
      <c r="B1" s="2" t="s">
        <v>0</v>
      </c>
      <c r="C1" s="3" t="s">
        <v>1</v>
      </c>
      <c r="D1" s="4" t="s">
        <v>2</v>
      </c>
      <c r="E1" s="5" t="s">
        <v>3</v>
      </c>
      <c r="F1" s="4" t="s">
        <v>4</v>
      </c>
      <c r="G1" s="6" t="s">
        <v>5</v>
      </c>
      <c r="H1" s="1" t="s">
        <v>6</v>
      </c>
      <c r="I1" s="7" t="s">
        <v>7</v>
      </c>
      <c r="J1" s="1" t="s">
        <v>8</v>
      </c>
      <c r="K1" s="8" t="s">
        <v>9</v>
      </c>
      <c r="L1" s="8" t="s">
        <v>10</v>
      </c>
      <c r="M1" s="8" t="s">
        <v>11</v>
      </c>
      <c r="N1" s="9" t="s">
        <v>12</v>
      </c>
      <c r="O1" s="9" t="s">
        <v>13</v>
      </c>
      <c r="P1" s="10" t="s">
        <v>14</v>
      </c>
      <c r="Q1" s="9" t="s">
        <v>15</v>
      </c>
      <c r="R1" s="11" t="s">
        <v>16</v>
      </c>
    </row>
    <row r="2" spans="1:18" ht="23.25" customHeight="1">
      <c r="A2" s="12">
        <v>3</v>
      </c>
      <c r="B2" s="13" t="s">
        <v>17</v>
      </c>
      <c r="C2" s="14" t="s">
        <v>18</v>
      </c>
      <c r="D2" s="14" t="s">
        <v>19</v>
      </c>
      <c r="E2" s="14">
        <v>9</v>
      </c>
      <c r="F2" s="14">
        <v>105</v>
      </c>
      <c r="G2" s="15" t="s">
        <v>20</v>
      </c>
      <c r="H2" s="16" t="s">
        <v>21</v>
      </c>
      <c r="I2" s="17" t="s">
        <v>22</v>
      </c>
      <c r="J2" s="18"/>
      <c r="K2" s="19" t="str">
        <f t="shared" ref="K2:K130" si="0">"R - "&amp;A2</f>
        <v>R - 3</v>
      </c>
      <c r="L2" s="20" t="s">
        <v>23</v>
      </c>
      <c r="M2" s="20" t="s">
        <v>24</v>
      </c>
      <c r="N2" s="21"/>
      <c r="O2" s="21"/>
      <c r="P2" s="22"/>
      <c r="Q2" s="23" t="str">
        <f t="shared" ref="Q2:Q130" ca="1" si="1">IF(P2="","-", IF(DATEDIF(P2,TODAY(),"Y")=0,"",IF(DATEDIF(P2,TODAY(),"Y")=1,DATEDIF(P2,TODAY(),"Y")&amp;" año con ",DATEDIF(P2,TODAY(),"Y")&amp;" años con "))&amp;IF(DATEDIF(P2,TODAY(),"YM")=0,"",IF(DATEDIF(P2,TODAY(),"YM")=1,DATEDIF(P2,TODAY(),"YM")&amp;" mes y ",DATEDIF(P2,TODAY(),"YM")&amp;" meses y "))&amp;IF(DATEDIF(P2,TODAY(),"MD")=0,"",IF(DATEDIF(P2,TODAY(),"MD")=1,DATEDIF(P2,TODAY(),"MD")&amp;" día",DATEDIF(P2,TODAY(),"MD")&amp;" días")))</f>
        <v>-</v>
      </c>
      <c r="R2" s="23"/>
    </row>
    <row r="3" spans="1:18" ht="23.25" customHeight="1">
      <c r="A3" s="24">
        <v>4</v>
      </c>
      <c r="B3" s="13" t="s">
        <v>25</v>
      </c>
      <c r="C3" s="14" t="s">
        <v>18</v>
      </c>
      <c r="D3" s="14" t="s">
        <v>26</v>
      </c>
      <c r="E3" s="14">
        <v>96.9</v>
      </c>
      <c r="F3" s="14">
        <v>153</v>
      </c>
      <c r="G3" s="15" t="s">
        <v>20</v>
      </c>
      <c r="H3" s="16" t="s">
        <v>27</v>
      </c>
      <c r="I3" s="17" t="s">
        <v>28</v>
      </c>
      <c r="J3" s="18"/>
      <c r="K3" s="19" t="str">
        <f t="shared" si="0"/>
        <v>R - 4</v>
      </c>
      <c r="L3" s="20" t="s">
        <v>23</v>
      </c>
      <c r="M3" s="20" t="s">
        <v>24</v>
      </c>
      <c r="N3" s="21"/>
      <c r="O3" s="21"/>
      <c r="P3" s="22"/>
      <c r="Q3" s="23" t="str">
        <f t="shared" ca="1" si="1"/>
        <v>-</v>
      </c>
      <c r="R3" s="23"/>
    </row>
    <row r="4" spans="1:18" ht="23.25" customHeight="1">
      <c r="A4" s="24">
        <v>5</v>
      </c>
      <c r="B4" s="13" t="s">
        <v>25</v>
      </c>
      <c r="C4" s="14" t="s">
        <v>18</v>
      </c>
      <c r="D4" s="14" t="s">
        <v>19</v>
      </c>
      <c r="E4" s="14">
        <v>2</v>
      </c>
      <c r="F4" s="14">
        <v>153</v>
      </c>
      <c r="G4" s="15" t="s">
        <v>20</v>
      </c>
      <c r="H4" s="25" t="s">
        <v>27</v>
      </c>
      <c r="I4" s="17" t="s">
        <v>28</v>
      </c>
      <c r="J4" s="18"/>
      <c r="K4" s="19" t="str">
        <f t="shared" si="0"/>
        <v>R - 5</v>
      </c>
      <c r="L4" s="20" t="s">
        <v>23</v>
      </c>
      <c r="M4" s="20" t="s">
        <v>24</v>
      </c>
      <c r="N4" s="26"/>
      <c r="O4" s="26"/>
      <c r="P4" s="27"/>
      <c r="Q4" s="23" t="str">
        <f t="shared" ca="1" si="1"/>
        <v>-</v>
      </c>
      <c r="R4" s="23"/>
    </row>
    <row r="5" spans="1:18" ht="23.25" customHeight="1">
      <c r="A5" s="12">
        <v>7</v>
      </c>
      <c r="B5" s="13" t="s">
        <v>29</v>
      </c>
      <c r="C5" s="14" t="s">
        <v>30</v>
      </c>
      <c r="D5" s="14" t="s">
        <v>31</v>
      </c>
      <c r="E5" s="14">
        <v>19</v>
      </c>
      <c r="F5" s="14">
        <v>77</v>
      </c>
      <c r="G5" s="15" t="s">
        <v>20</v>
      </c>
      <c r="H5" s="28" t="s">
        <v>32</v>
      </c>
      <c r="I5" s="17" t="s">
        <v>33</v>
      </c>
      <c r="J5" s="29"/>
      <c r="K5" s="19" t="str">
        <f t="shared" si="0"/>
        <v>R - 7</v>
      </c>
      <c r="L5" s="19"/>
      <c r="M5" s="19"/>
      <c r="N5" s="21"/>
      <c r="O5" s="21"/>
      <c r="P5" s="22"/>
      <c r="Q5" s="23" t="str">
        <f t="shared" ca="1" si="1"/>
        <v>-</v>
      </c>
      <c r="R5" s="23"/>
    </row>
    <row r="6" spans="1:18" ht="23.25" customHeight="1">
      <c r="A6" s="24">
        <v>6</v>
      </c>
      <c r="B6" s="13" t="s">
        <v>29</v>
      </c>
      <c r="C6" s="14" t="s">
        <v>30</v>
      </c>
      <c r="D6" s="14" t="s">
        <v>26</v>
      </c>
      <c r="E6" s="14">
        <v>93.1</v>
      </c>
      <c r="F6" s="14">
        <v>77</v>
      </c>
      <c r="G6" s="15" t="s">
        <v>20</v>
      </c>
      <c r="H6" s="28" t="s">
        <v>34</v>
      </c>
      <c r="I6" s="17" t="s">
        <v>35</v>
      </c>
      <c r="J6" s="30" t="s">
        <v>36</v>
      </c>
      <c r="K6" s="19" t="str">
        <f t="shared" si="0"/>
        <v>R - 6</v>
      </c>
      <c r="L6" s="20" t="s">
        <v>23</v>
      </c>
      <c r="M6" s="20" t="s">
        <v>24</v>
      </c>
      <c r="N6" s="21"/>
      <c r="O6" s="21"/>
      <c r="P6" s="31"/>
      <c r="Q6" s="23" t="str">
        <f t="shared" ca="1" si="1"/>
        <v>-</v>
      </c>
      <c r="R6" s="23"/>
    </row>
    <row r="7" spans="1:18" ht="23.25" customHeight="1">
      <c r="A7" s="24">
        <v>8</v>
      </c>
      <c r="B7" s="13" t="s">
        <v>37</v>
      </c>
      <c r="C7" s="14" t="s">
        <v>30</v>
      </c>
      <c r="D7" s="14" t="s">
        <v>26</v>
      </c>
      <c r="E7" s="14">
        <v>92.5</v>
      </c>
      <c r="F7" s="14">
        <v>148</v>
      </c>
      <c r="G7" s="15" t="s">
        <v>20</v>
      </c>
      <c r="H7" s="16" t="s">
        <v>38</v>
      </c>
      <c r="I7" s="17" t="s">
        <v>39</v>
      </c>
      <c r="J7" s="18"/>
      <c r="K7" s="19" t="str">
        <f t="shared" si="0"/>
        <v>R - 8</v>
      </c>
      <c r="L7" s="20" t="s">
        <v>23</v>
      </c>
      <c r="M7" s="20" t="s">
        <v>24</v>
      </c>
      <c r="N7" s="21"/>
      <c r="O7" s="21"/>
      <c r="P7" s="22"/>
      <c r="Q7" s="23" t="str">
        <f t="shared" ca="1" si="1"/>
        <v>-</v>
      </c>
      <c r="R7" s="23"/>
    </row>
    <row r="8" spans="1:18" ht="23.25" customHeight="1">
      <c r="A8" s="12">
        <v>9</v>
      </c>
      <c r="B8" s="13" t="s">
        <v>40</v>
      </c>
      <c r="C8" s="14" t="s">
        <v>41</v>
      </c>
      <c r="D8" s="14" t="s">
        <v>26</v>
      </c>
      <c r="E8" s="14">
        <v>89.7</v>
      </c>
      <c r="F8" s="14">
        <v>69</v>
      </c>
      <c r="G8" s="15" t="s">
        <v>20</v>
      </c>
      <c r="H8" s="16" t="s">
        <v>42</v>
      </c>
      <c r="I8" s="17" t="s">
        <v>43</v>
      </c>
      <c r="J8" s="29"/>
      <c r="K8" s="19" t="str">
        <f t="shared" si="0"/>
        <v>R - 9</v>
      </c>
      <c r="L8" s="20" t="s">
        <v>23</v>
      </c>
      <c r="M8" s="20" t="s">
        <v>24</v>
      </c>
      <c r="N8" s="21"/>
      <c r="O8" s="21"/>
      <c r="P8" s="22"/>
      <c r="Q8" s="23" t="str">
        <f t="shared" ca="1" si="1"/>
        <v>-</v>
      </c>
      <c r="R8" s="23"/>
    </row>
    <row r="9" spans="1:18" ht="23.25" customHeight="1">
      <c r="A9" s="24">
        <v>10</v>
      </c>
      <c r="B9" s="13" t="s">
        <v>44</v>
      </c>
      <c r="C9" s="14" t="s">
        <v>45</v>
      </c>
      <c r="D9" s="14" t="s">
        <v>26</v>
      </c>
      <c r="E9" s="14">
        <v>92.9</v>
      </c>
      <c r="F9" s="14">
        <v>53</v>
      </c>
      <c r="G9" s="15" t="s">
        <v>20</v>
      </c>
      <c r="H9" s="28" t="s">
        <v>46</v>
      </c>
      <c r="I9" s="17" t="s">
        <v>47</v>
      </c>
      <c r="J9" s="29"/>
      <c r="K9" s="19" t="str">
        <f t="shared" si="0"/>
        <v>R - 10</v>
      </c>
      <c r="L9" s="20" t="s">
        <v>23</v>
      </c>
      <c r="M9" s="20" t="s">
        <v>24</v>
      </c>
      <c r="N9" s="21"/>
      <c r="O9" s="21"/>
      <c r="P9" s="22"/>
      <c r="Q9" s="23" t="str">
        <f t="shared" ca="1" si="1"/>
        <v>-</v>
      </c>
      <c r="R9" s="23"/>
    </row>
    <row r="10" spans="1:18" ht="23.25" customHeight="1">
      <c r="A10" s="24">
        <v>11</v>
      </c>
      <c r="B10" s="13" t="s">
        <v>44</v>
      </c>
      <c r="C10" s="14" t="s">
        <v>45</v>
      </c>
      <c r="D10" s="14" t="s">
        <v>19</v>
      </c>
      <c r="E10" s="14">
        <v>9</v>
      </c>
      <c r="F10" s="14">
        <v>53</v>
      </c>
      <c r="G10" s="15" t="s">
        <v>20</v>
      </c>
      <c r="H10" s="28" t="s">
        <v>46</v>
      </c>
      <c r="I10" s="17" t="s">
        <v>48</v>
      </c>
      <c r="J10" s="29"/>
      <c r="K10" s="19" t="str">
        <f t="shared" si="0"/>
        <v>R - 11</v>
      </c>
      <c r="L10" s="20" t="s">
        <v>23</v>
      </c>
      <c r="M10" s="20" t="s">
        <v>24</v>
      </c>
      <c r="N10" s="21"/>
      <c r="O10" s="21"/>
      <c r="P10" s="22"/>
      <c r="Q10" s="23" t="str">
        <f t="shared" ca="1" si="1"/>
        <v>-</v>
      </c>
      <c r="R10" s="23"/>
    </row>
    <row r="11" spans="1:18" ht="23.25" customHeight="1">
      <c r="A11" s="12">
        <v>12</v>
      </c>
      <c r="B11" s="13" t="s">
        <v>49</v>
      </c>
      <c r="C11" s="14" t="s">
        <v>49</v>
      </c>
      <c r="D11" s="14" t="s">
        <v>26</v>
      </c>
      <c r="E11" s="14">
        <v>106.5</v>
      </c>
      <c r="F11" s="14">
        <v>26</v>
      </c>
      <c r="G11" s="15" t="s">
        <v>20</v>
      </c>
      <c r="H11" s="28" t="s">
        <v>50</v>
      </c>
      <c r="I11" s="17" t="s">
        <v>51</v>
      </c>
      <c r="J11" s="30"/>
      <c r="K11" s="19" t="str">
        <f t="shared" si="0"/>
        <v>R - 12</v>
      </c>
      <c r="L11" s="20" t="s">
        <v>23</v>
      </c>
      <c r="M11" s="20" t="s">
        <v>24</v>
      </c>
      <c r="N11" s="32"/>
      <c r="O11" s="32"/>
      <c r="P11" s="33"/>
      <c r="Q11" s="23" t="str">
        <f t="shared" ca="1" si="1"/>
        <v>-</v>
      </c>
      <c r="R11" s="23"/>
    </row>
    <row r="12" spans="1:18" ht="23.25" customHeight="1">
      <c r="A12" s="24">
        <v>13</v>
      </c>
      <c r="B12" s="13" t="s">
        <v>41</v>
      </c>
      <c r="C12" s="14" t="s">
        <v>41</v>
      </c>
      <c r="D12" s="14" t="s">
        <v>31</v>
      </c>
      <c r="E12" s="14">
        <v>47</v>
      </c>
      <c r="F12" s="14">
        <v>26</v>
      </c>
      <c r="G12" s="15" t="s">
        <v>20</v>
      </c>
      <c r="H12" s="16" t="s">
        <v>52</v>
      </c>
      <c r="I12" s="17" t="s">
        <v>53</v>
      </c>
      <c r="J12" s="30" t="s">
        <v>54</v>
      </c>
      <c r="K12" s="19" t="str">
        <f t="shared" si="0"/>
        <v>R - 13</v>
      </c>
      <c r="L12" s="20" t="s">
        <v>55</v>
      </c>
      <c r="M12" s="20" t="s">
        <v>24</v>
      </c>
      <c r="N12" s="32"/>
      <c r="O12" s="32"/>
      <c r="P12" s="33"/>
      <c r="Q12" s="23" t="str">
        <f t="shared" ca="1" si="1"/>
        <v>-</v>
      </c>
      <c r="R12" s="23"/>
    </row>
    <row r="13" spans="1:18" ht="23.25" customHeight="1">
      <c r="A13" s="24">
        <v>14</v>
      </c>
      <c r="B13" s="13" t="s">
        <v>41</v>
      </c>
      <c r="C13" s="14" t="s">
        <v>41</v>
      </c>
      <c r="D13" s="14" t="s">
        <v>26</v>
      </c>
      <c r="E13" s="34" t="s">
        <v>56</v>
      </c>
      <c r="F13" s="34">
        <v>26</v>
      </c>
      <c r="G13" s="15" t="s">
        <v>20</v>
      </c>
      <c r="H13" s="28" t="s">
        <v>52</v>
      </c>
      <c r="I13" s="17" t="s">
        <v>57</v>
      </c>
      <c r="J13" s="30" t="s">
        <v>54</v>
      </c>
      <c r="K13" s="19" t="str">
        <f t="shared" si="0"/>
        <v>R - 14</v>
      </c>
      <c r="L13" s="20" t="s">
        <v>23</v>
      </c>
      <c r="M13" s="20" t="s">
        <v>24</v>
      </c>
      <c r="N13" s="21"/>
      <c r="O13" s="21"/>
      <c r="P13" s="22"/>
      <c r="Q13" s="23" t="str">
        <f t="shared" ca="1" si="1"/>
        <v>-</v>
      </c>
      <c r="R13" s="23"/>
    </row>
    <row r="14" spans="1:18" ht="23.25" customHeight="1">
      <c r="A14" s="12">
        <v>15</v>
      </c>
      <c r="B14" s="13" t="s">
        <v>58</v>
      </c>
      <c r="C14" s="14" t="s">
        <v>41</v>
      </c>
      <c r="D14" s="14" t="s">
        <v>26</v>
      </c>
      <c r="E14" s="14" t="s">
        <v>59</v>
      </c>
      <c r="F14" s="14">
        <v>83</v>
      </c>
      <c r="G14" s="15" t="s">
        <v>20</v>
      </c>
      <c r="H14" s="16" t="s">
        <v>60</v>
      </c>
      <c r="I14" s="17" t="s">
        <v>61</v>
      </c>
      <c r="J14" s="18"/>
      <c r="K14" s="19" t="str">
        <f t="shared" si="0"/>
        <v>R - 15</v>
      </c>
      <c r="L14" s="19"/>
      <c r="M14" s="19"/>
      <c r="N14" s="21"/>
      <c r="O14" s="21"/>
      <c r="P14" s="22"/>
      <c r="Q14" s="23" t="str">
        <f t="shared" ca="1" si="1"/>
        <v>-</v>
      </c>
      <c r="R14" s="23"/>
    </row>
    <row r="15" spans="1:18" ht="23.25" customHeight="1">
      <c r="A15" s="24">
        <v>16</v>
      </c>
      <c r="B15" s="13" t="s">
        <v>62</v>
      </c>
      <c r="C15" s="14" t="s">
        <v>63</v>
      </c>
      <c r="D15" s="14" t="s">
        <v>26</v>
      </c>
      <c r="E15" s="14">
        <v>91.7</v>
      </c>
      <c r="F15" s="14">
        <v>78</v>
      </c>
      <c r="G15" s="15" t="s">
        <v>20</v>
      </c>
      <c r="H15" s="28" t="s">
        <v>64</v>
      </c>
      <c r="I15" s="17" t="s">
        <v>65</v>
      </c>
      <c r="J15" s="30" t="s">
        <v>66</v>
      </c>
      <c r="K15" s="19" t="str">
        <f t="shared" si="0"/>
        <v>R - 16</v>
      </c>
      <c r="L15" s="19"/>
      <c r="M15" s="19"/>
      <c r="N15" s="21"/>
      <c r="O15" s="21"/>
      <c r="P15" s="22"/>
      <c r="Q15" s="23" t="str">
        <f t="shared" ca="1" si="1"/>
        <v>-</v>
      </c>
      <c r="R15" s="23"/>
    </row>
    <row r="16" spans="1:18" ht="23.25" customHeight="1">
      <c r="A16" s="24">
        <v>17</v>
      </c>
      <c r="B16" s="13" t="s">
        <v>67</v>
      </c>
      <c r="C16" s="14" t="s">
        <v>45</v>
      </c>
      <c r="D16" s="14" t="s">
        <v>26</v>
      </c>
      <c r="E16" s="14">
        <v>106.1</v>
      </c>
      <c r="F16" s="14">
        <v>144</v>
      </c>
      <c r="G16" s="15" t="s">
        <v>20</v>
      </c>
      <c r="H16" s="28" t="s">
        <v>68</v>
      </c>
      <c r="I16" s="17" t="s">
        <v>69</v>
      </c>
      <c r="J16" s="18"/>
      <c r="K16" s="19" t="str">
        <f t="shared" si="0"/>
        <v>R - 17</v>
      </c>
      <c r="L16" s="19"/>
      <c r="M16" s="19"/>
      <c r="N16" s="21"/>
      <c r="O16" s="21"/>
      <c r="P16" s="22"/>
      <c r="Q16" s="23" t="str">
        <f t="shared" ca="1" si="1"/>
        <v>-</v>
      </c>
      <c r="R16" s="23"/>
    </row>
    <row r="17" spans="1:18" ht="23.25" customHeight="1">
      <c r="A17" s="12">
        <v>18</v>
      </c>
      <c r="B17" s="13" t="s">
        <v>67</v>
      </c>
      <c r="C17" s="14" t="s">
        <v>45</v>
      </c>
      <c r="D17" s="14" t="s">
        <v>19</v>
      </c>
      <c r="E17" s="14">
        <v>12</v>
      </c>
      <c r="F17" s="14">
        <v>144</v>
      </c>
      <c r="G17" s="15" t="s">
        <v>20</v>
      </c>
      <c r="H17" s="28" t="s">
        <v>68</v>
      </c>
      <c r="I17" s="17" t="s">
        <v>69</v>
      </c>
      <c r="J17" s="18"/>
      <c r="K17" s="19" t="str">
        <f t="shared" si="0"/>
        <v>R - 18</v>
      </c>
      <c r="L17" s="19"/>
      <c r="M17" s="19"/>
      <c r="N17" s="21"/>
      <c r="O17" s="21"/>
      <c r="P17" s="22"/>
      <c r="Q17" s="23" t="str">
        <f t="shared" ca="1" si="1"/>
        <v>-</v>
      </c>
      <c r="R17" s="23"/>
    </row>
    <row r="18" spans="1:18" ht="23.25" customHeight="1">
      <c r="A18" s="24">
        <v>19</v>
      </c>
      <c r="B18" s="13" t="s">
        <v>70</v>
      </c>
      <c r="C18" s="14" t="s">
        <v>71</v>
      </c>
      <c r="D18" s="14" t="s">
        <v>26</v>
      </c>
      <c r="E18" s="14">
        <v>90.7</v>
      </c>
      <c r="F18" s="14">
        <v>130</v>
      </c>
      <c r="G18" s="15" t="s">
        <v>20</v>
      </c>
      <c r="H18" s="16" t="s">
        <v>72</v>
      </c>
      <c r="I18" s="17" t="s">
        <v>73</v>
      </c>
      <c r="J18" s="29"/>
      <c r="K18" s="19" t="str">
        <f t="shared" si="0"/>
        <v>R - 19</v>
      </c>
      <c r="L18" s="20" t="s">
        <v>23</v>
      </c>
      <c r="M18" s="20" t="s">
        <v>24</v>
      </c>
      <c r="N18" s="21"/>
      <c r="O18" s="21"/>
      <c r="P18" s="22"/>
      <c r="Q18" s="23" t="str">
        <f t="shared" ca="1" si="1"/>
        <v>-</v>
      </c>
      <c r="R18" s="23"/>
    </row>
    <row r="19" spans="1:18" ht="23.25" customHeight="1">
      <c r="A19" s="24">
        <v>20</v>
      </c>
      <c r="B19" s="13" t="s">
        <v>74</v>
      </c>
      <c r="C19" s="14" t="s">
        <v>45</v>
      </c>
      <c r="D19" s="14" t="s">
        <v>26</v>
      </c>
      <c r="E19" s="14">
        <v>101.7</v>
      </c>
      <c r="F19" s="14">
        <v>95</v>
      </c>
      <c r="G19" s="15" t="s">
        <v>20</v>
      </c>
      <c r="H19" s="28" t="s">
        <v>75</v>
      </c>
      <c r="I19" s="35" t="s">
        <v>76</v>
      </c>
      <c r="J19" s="36" t="s">
        <v>77</v>
      </c>
      <c r="K19" s="19" t="str">
        <f t="shared" si="0"/>
        <v>R - 20</v>
      </c>
      <c r="L19" s="20" t="s">
        <v>23</v>
      </c>
      <c r="M19" s="20" t="s">
        <v>24</v>
      </c>
      <c r="N19" s="21"/>
      <c r="O19" s="21"/>
      <c r="P19" s="22"/>
      <c r="Q19" s="23" t="str">
        <f t="shared" ca="1" si="1"/>
        <v>-</v>
      </c>
      <c r="R19" s="23"/>
    </row>
    <row r="20" spans="1:18" ht="23.25" customHeight="1">
      <c r="A20" s="12">
        <v>21</v>
      </c>
      <c r="B20" s="13" t="s">
        <v>78</v>
      </c>
      <c r="C20" s="14" t="s">
        <v>41</v>
      </c>
      <c r="D20" s="14" t="s">
        <v>19</v>
      </c>
      <c r="E20" s="14">
        <v>4</v>
      </c>
      <c r="F20" s="14">
        <v>26</v>
      </c>
      <c r="G20" s="15" t="s">
        <v>20</v>
      </c>
      <c r="H20" s="28" t="s">
        <v>79</v>
      </c>
      <c r="I20" s="17" t="s">
        <v>80</v>
      </c>
      <c r="J20" s="18"/>
      <c r="K20" s="19" t="str">
        <f t="shared" si="0"/>
        <v>R - 21</v>
      </c>
      <c r="L20" s="19"/>
      <c r="M20" s="19"/>
      <c r="N20" s="21"/>
      <c r="O20" s="21"/>
      <c r="P20" s="22"/>
      <c r="Q20" s="23" t="str">
        <f t="shared" ca="1" si="1"/>
        <v>-</v>
      </c>
      <c r="R20" s="23"/>
    </row>
    <row r="21" spans="1:18" ht="23.25" customHeight="1">
      <c r="A21" s="24">
        <v>22</v>
      </c>
      <c r="B21" s="13" t="s">
        <v>78</v>
      </c>
      <c r="C21" s="14" t="s">
        <v>41</v>
      </c>
      <c r="D21" s="14" t="s">
        <v>26</v>
      </c>
      <c r="E21" s="14">
        <v>94.9</v>
      </c>
      <c r="F21" s="14">
        <v>26</v>
      </c>
      <c r="G21" s="15" t="s">
        <v>20</v>
      </c>
      <c r="H21" s="28" t="s">
        <v>79</v>
      </c>
      <c r="I21" s="17" t="s">
        <v>80</v>
      </c>
      <c r="J21" s="18"/>
      <c r="K21" s="19" t="str">
        <f t="shared" si="0"/>
        <v>R - 22</v>
      </c>
      <c r="L21" s="19"/>
      <c r="M21" s="19"/>
      <c r="N21" s="21"/>
      <c r="O21" s="21"/>
      <c r="P21" s="22"/>
      <c r="Q21" s="23" t="str">
        <f t="shared" ca="1" si="1"/>
        <v>-</v>
      </c>
      <c r="R21" s="23"/>
    </row>
    <row r="22" spans="1:18" ht="23.25" customHeight="1">
      <c r="A22" s="24">
        <v>23</v>
      </c>
      <c r="B22" s="13" t="s">
        <v>81</v>
      </c>
      <c r="C22" s="14" t="s">
        <v>45</v>
      </c>
      <c r="D22" s="14" t="s">
        <v>26</v>
      </c>
      <c r="E22" s="14" t="s">
        <v>82</v>
      </c>
      <c r="F22" s="14">
        <v>152</v>
      </c>
      <c r="G22" s="15" t="s">
        <v>20</v>
      </c>
      <c r="H22" s="16" t="s">
        <v>83</v>
      </c>
      <c r="I22" s="17" t="s">
        <v>84</v>
      </c>
      <c r="J22" s="18"/>
      <c r="K22" s="19" t="str">
        <f t="shared" si="0"/>
        <v>R - 23</v>
      </c>
      <c r="L22" s="20" t="s">
        <v>23</v>
      </c>
      <c r="M22" s="20" t="s">
        <v>24</v>
      </c>
      <c r="N22" s="21"/>
      <c r="O22" s="21"/>
      <c r="P22" s="22"/>
      <c r="Q22" s="23" t="str">
        <f t="shared" ca="1" si="1"/>
        <v>-</v>
      </c>
      <c r="R22" s="23"/>
    </row>
    <row r="23" spans="1:18" ht="23.25" customHeight="1">
      <c r="A23" s="12">
        <v>24</v>
      </c>
      <c r="B23" s="13" t="s">
        <v>85</v>
      </c>
      <c r="C23" s="14" t="s">
        <v>30</v>
      </c>
      <c r="D23" s="14" t="s">
        <v>26</v>
      </c>
      <c r="E23" s="14">
        <v>94.3</v>
      </c>
      <c r="F23" s="14">
        <v>33</v>
      </c>
      <c r="G23" s="15" t="s">
        <v>20</v>
      </c>
      <c r="H23" s="28" t="s">
        <v>86</v>
      </c>
      <c r="I23" s="17" t="s">
        <v>87</v>
      </c>
      <c r="J23" s="18"/>
      <c r="K23" s="19" t="str">
        <f t="shared" si="0"/>
        <v>R - 24</v>
      </c>
      <c r="L23" s="19"/>
      <c r="M23" s="19"/>
      <c r="N23" s="26"/>
      <c r="O23" s="26"/>
      <c r="P23" s="27"/>
      <c r="Q23" s="23" t="str">
        <f t="shared" ca="1" si="1"/>
        <v>-</v>
      </c>
      <c r="R23" s="23"/>
    </row>
    <row r="24" spans="1:18" ht="23.25" customHeight="1">
      <c r="A24" s="24">
        <v>25</v>
      </c>
      <c r="B24" s="13" t="s">
        <v>88</v>
      </c>
      <c r="C24" s="14" t="s">
        <v>18</v>
      </c>
      <c r="D24" s="14" t="s">
        <v>26</v>
      </c>
      <c r="E24" s="14">
        <v>99.9</v>
      </c>
      <c r="F24" s="14">
        <v>142</v>
      </c>
      <c r="G24" s="15" t="s">
        <v>20</v>
      </c>
      <c r="H24" s="28" t="s">
        <v>89</v>
      </c>
      <c r="I24" s="17" t="s">
        <v>90</v>
      </c>
      <c r="J24" s="30"/>
      <c r="K24" s="19" t="str">
        <f t="shared" si="0"/>
        <v>R - 25</v>
      </c>
      <c r="L24" s="37"/>
      <c r="M24" s="37"/>
      <c r="N24" s="21"/>
      <c r="O24" s="21"/>
      <c r="P24" s="22"/>
      <c r="Q24" s="23" t="str">
        <f t="shared" ca="1" si="1"/>
        <v>-</v>
      </c>
      <c r="R24" s="23"/>
    </row>
    <row r="25" spans="1:18" ht="23.25" customHeight="1">
      <c r="A25" s="24">
        <v>28</v>
      </c>
      <c r="B25" s="13" t="s">
        <v>91</v>
      </c>
      <c r="C25" s="14" t="s">
        <v>71</v>
      </c>
      <c r="D25" s="14" t="s">
        <v>26</v>
      </c>
      <c r="E25" s="14">
        <v>90.5</v>
      </c>
      <c r="F25" s="14">
        <v>54</v>
      </c>
      <c r="G25" s="15" t="s">
        <v>20</v>
      </c>
      <c r="H25" s="28" t="s">
        <v>92</v>
      </c>
      <c r="I25" s="17" t="s">
        <v>93</v>
      </c>
      <c r="J25" s="18"/>
      <c r="K25" s="19" t="str">
        <f t="shared" si="0"/>
        <v>R - 28</v>
      </c>
      <c r="L25" s="20" t="s">
        <v>23</v>
      </c>
      <c r="M25" s="20" t="s">
        <v>24</v>
      </c>
      <c r="N25" s="21"/>
      <c r="O25" s="21"/>
      <c r="P25" s="22"/>
      <c r="Q25" s="23" t="str">
        <f t="shared" ca="1" si="1"/>
        <v>-</v>
      </c>
      <c r="R25" s="23"/>
    </row>
    <row r="26" spans="1:18" ht="23.25" customHeight="1">
      <c r="A26" s="12">
        <v>29</v>
      </c>
      <c r="B26" s="38" t="s">
        <v>91</v>
      </c>
      <c r="C26" s="14" t="s">
        <v>71</v>
      </c>
      <c r="D26" s="14" t="s">
        <v>19</v>
      </c>
      <c r="E26" s="14">
        <v>4</v>
      </c>
      <c r="F26" s="14">
        <v>54</v>
      </c>
      <c r="G26" s="15" t="s">
        <v>20</v>
      </c>
      <c r="H26" s="28" t="s">
        <v>94</v>
      </c>
      <c r="I26" s="17" t="s">
        <v>93</v>
      </c>
      <c r="J26" s="18"/>
      <c r="K26" s="19" t="str">
        <f t="shared" si="0"/>
        <v>R - 29</v>
      </c>
      <c r="L26" s="20" t="s">
        <v>23</v>
      </c>
      <c r="M26" s="20" t="s">
        <v>24</v>
      </c>
      <c r="N26" s="21"/>
      <c r="O26" s="21"/>
      <c r="P26" s="22"/>
      <c r="Q26" s="23" t="str">
        <f t="shared" ca="1" si="1"/>
        <v>-</v>
      </c>
      <c r="R26" s="23"/>
    </row>
    <row r="27" spans="1:18" ht="23.25" customHeight="1">
      <c r="A27" s="24">
        <v>30</v>
      </c>
      <c r="B27" s="38" t="s">
        <v>95</v>
      </c>
      <c r="C27" s="14" t="s">
        <v>96</v>
      </c>
      <c r="D27" s="14" t="s">
        <v>31</v>
      </c>
      <c r="E27" s="14">
        <v>43</v>
      </c>
      <c r="F27" s="14">
        <v>4</v>
      </c>
      <c r="G27" s="15" t="s">
        <v>20</v>
      </c>
      <c r="H27" s="28" t="s">
        <v>97</v>
      </c>
      <c r="I27" s="17" t="s">
        <v>98</v>
      </c>
      <c r="J27" s="29"/>
      <c r="K27" s="19" t="str">
        <f t="shared" si="0"/>
        <v>R - 30</v>
      </c>
      <c r="L27" s="20" t="s">
        <v>23</v>
      </c>
      <c r="M27" s="20" t="s">
        <v>24</v>
      </c>
      <c r="N27" s="21"/>
      <c r="O27" s="21"/>
      <c r="P27" s="22"/>
      <c r="Q27" s="23" t="str">
        <f t="shared" ca="1" si="1"/>
        <v>-</v>
      </c>
      <c r="R27" s="23"/>
    </row>
    <row r="28" spans="1:18" ht="23.25" customHeight="1">
      <c r="A28" s="24">
        <v>32</v>
      </c>
      <c r="B28" s="13" t="s">
        <v>99</v>
      </c>
      <c r="C28" s="14" t="s">
        <v>96</v>
      </c>
      <c r="D28" s="14" t="s">
        <v>100</v>
      </c>
      <c r="E28" s="14">
        <v>1280</v>
      </c>
      <c r="F28" s="14">
        <v>4</v>
      </c>
      <c r="G28" s="15" t="s">
        <v>20</v>
      </c>
      <c r="H28" s="28" t="s">
        <v>97</v>
      </c>
      <c r="I28" s="17" t="s">
        <v>98</v>
      </c>
      <c r="J28" s="29"/>
      <c r="K28" s="19" t="str">
        <f t="shared" si="0"/>
        <v>R - 32</v>
      </c>
      <c r="L28" s="20" t="s">
        <v>23</v>
      </c>
      <c r="M28" s="20" t="s">
        <v>24</v>
      </c>
      <c r="N28" s="21"/>
      <c r="O28" s="21"/>
      <c r="P28" s="22"/>
      <c r="Q28" s="23" t="str">
        <f t="shared" ca="1" si="1"/>
        <v>-</v>
      </c>
      <c r="R28" s="23"/>
    </row>
    <row r="29" spans="1:18" ht="23.25" customHeight="1">
      <c r="A29" s="12">
        <v>31</v>
      </c>
      <c r="B29" s="13" t="s">
        <v>101</v>
      </c>
      <c r="C29" s="14" t="s">
        <v>96</v>
      </c>
      <c r="D29" s="14" t="s">
        <v>26</v>
      </c>
      <c r="E29" s="34" t="s">
        <v>102</v>
      </c>
      <c r="F29" s="34">
        <v>4</v>
      </c>
      <c r="G29" s="15" t="s">
        <v>20</v>
      </c>
      <c r="H29" s="28" t="s">
        <v>103</v>
      </c>
      <c r="I29" s="17" t="s">
        <v>98</v>
      </c>
      <c r="J29" s="30"/>
      <c r="K29" s="19" t="str">
        <f t="shared" si="0"/>
        <v>R - 31</v>
      </c>
      <c r="L29" s="20" t="s">
        <v>23</v>
      </c>
      <c r="M29" s="20" t="s">
        <v>24</v>
      </c>
      <c r="N29" s="26"/>
      <c r="O29" s="26"/>
      <c r="P29" s="27"/>
      <c r="Q29" s="23" t="str">
        <f t="shared" ca="1" si="1"/>
        <v>-</v>
      </c>
      <c r="R29" s="23"/>
    </row>
    <row r="30" spans="1:18" ht="23.25" customHeight="1">
      <c r="A30" s="24">
        <v>34</v>
      </c>
      <c r="B30" s="13" t="s">
        <v>104</v>
      </c>
      <c r="C30" s="14" t="s">
        <v>45</v>
      </c>
      <c r="D30" s="14" t="s">
        <v>26</v>
      </c>
      <c r="E30" s="14">
        <v>96.3</v>
      </c>
      <c r="F30" s="14">
        <v>53</v>
      </c>
      <c r="G30" s="15" t="s">
        <v>20</v>
      </c>
      <c r="H30" s="16" t="s">
        <v>105</v>
      </c>
      <c r="I30" s="17" t="s">
        <v>106</v>
      </c>
      <c r="J30" s="30" t="s">
        <v>107</v>
      </c>
      <c r="K30" s="19" t="str">
        <f t="shared" si="0"/>
        <v>R - 34</v>
      </c>
      <c r="L30" s="37"/>
      <c r="M30" s="37"/>
      <c r="N30" s="21"/>
      <c r="O30" s="21"/>
      <c r="P30" s="22"/>
      <c r="Q30" s="23" t="str">
        <f t="shared" ca="1" si="1"/>
        <v>-</v>
      </c>
      <c r="R30" s="23"/>
    </row>
    <row r="31" spans="1:18" ht="23.25" customHeight="1">
      <c r="A31" s="24">
        <v>35</v>
      </c>
      <c r="B31" s="13" t="s">
        <v>108</v>
      </c>
      <c r="C31" s="14" t="s">
        <v>96</v>
      </c>
      <c r="D31" s="14" t="s">
        <v>26</v>
      </c>
      <c r="E31" s="14">
        <v>92.3</v>
      </c>
      <c r="F31" s="14">
        <v>111</v>
      </c>
      <c r="G31" s="15" t="s">
        <v>20</v>
      </c>
      <c r="H31" s="16" t="s">
        <v>109</v>
      </c>
      <c r="I31" s="17" t="s">
        <v>110</v>
      </c>
      <c r="J31" s="30" t="s">
        <v>111</v>
      </c>
      <c r="K31" s="19" t="str">
        <f t="shared" si="0"/>
        <v>R - 35</v>
      </c>
      <c r="L31" s="20" t="s">
        <v>23</v>
      </c>
      <c r="M31" s="20" t="s">
        <v>24</v>
      </c>
      <c r="N31" s="21"/>
      <c r="O31" s="21"/>
      <c r="P31" s="22"/>
      <c r="Q31" s="23" t="str">
        <f t="shared" ca="1" si="1"/>
        <v>-</v>
      </c>
      <c r="R31" s="23"/>
    </row>
    <row r="32" spans="1:18" ht="23.25" customHeight="1">
      <c r="A32" s="12">
        <v>37</v>
      </c>
      <c r="B32" s="13" t="s">
        <v>112</v>
      </c>
      <c r="C32" s="14" t="s">
        <v>18</v>
      </c>
      <c r="D32" s="14" t="s">
        <v>26</v>
      </c>
      <c r="E32" s="14">
        <v>95.3</v>
      </c>
      <c r="F32" s="14">
        <v>62</v>
      </c>
      <c r="G32" s="15" t="s">
        <v>20</v>
      </c>
      <c r="H32" s="28" t="s">
        <v>113</v>
      </c>
      <c r="I32" s="17" t="s">
        <v>114</v>
      </c>
      <c r="J32" s="30" t="s">
        <v>115</v>
      </c>
      <c r="K32" s="19" t="str">
        <f t="shared" si="0"/>
        <v>R - 37</v>
      </c>
      <c r="L32" s="20" t="s">
        <v>23</v>
      </c>
      <c r="M32" s="20" t="s">
        <v>24</v>
      </c>
      <c r="N32" s="21"/>
      <c r="O32" s="21"/>
      <c r="P32" s="22"/>
      <c r="Q32" s="23" t="str">
        <f t="shared" ca="1" si="1"/>
        <v>-</v>
      </c>
      <c r="R32" s="23"/>
    </row>
    <row r="33" spans="1:18" ht="23.25" customHeight="1">
      <c r="A33" s="24">
        <v>38</v>
      </c>
      <c r="B33" s="13" t="s">
        <v>116</v>
      </c>
      <c r="C33" s="14" t="s">
        <v>45</v>
      </c>
      <c r="D33" s="14" t="s">
        <v>19</v>
      </c>
      <c r="E33" s="14">
        <v>10</v>
      </c>
      <c r="F33" s="14">
        <v>53</v>
      </c>
      <c r="G33" s="15" t="s">
        <v>20</v>
      </c>
      <c r="H33" s="39" t="s">
        <v>117</v>
      </c>
      <c r="I33" s="17" t="s">
        <v>118</v>
      </c>
      <c r="J33" s="18"/>
      <c r="K33" s="19" t="str">
        <f t="shared" si="0"/>
        <v>R - 38</v>
      </c>
      <c r="L33" s="20" t="s">
        <v>23</v>
      </c>
      <c r="M33" s="20" t="s">
        <v>24</v>
      </c>
      <c r="N33" s="21"/>
      <c r="O33" s="21"/>
      <c r="P33" s="22"/>
      <c r="Q33" s="23" t="str">
        <f t="shared" ca="1" si="1"/>
        <v>-</v>
      </c>
      <c r="R33" s="23"/>
    </row>
    <row r="34" spans="1:18" ht="23.25" customHeight="1">
      <c r="A34" s="24">
        <v>42</v>
      </c>
      <c r="B34" s="13" t="s">
        <v>119</v>
      </c>
      <c r="C34" s="14" t="s">
        <v>120</v>
      </c>
      <c r="D34" s="14" t="s">
        <v>19</v>
      </c>
      <c r="E34" s="14">
        <v>9</v>
      </c>
      <c r="F34" s="14">
        <v>81</v>
      </c>
      <c r="G34" s="15" t="s">
        <v>20</v>
      </c>
      <c r="H34" s="28" t="s">
        <v>121</v>
      </c>
      <c r="I34" s="17" t="s">
        <v>122</v>
      </c>
      <c r="J34" s="18"/>
      <c r="K34" s="19" t="str">
        <f t="shared" si="0"/>
        <v>R - 42</v>
      </c>
      <c r="L34" s="20" t="s">
        <v>23</v>
      </c>
      <c r="M34" s="20" t="s">
        <v>24</v>
      </c>
      <c r="N34" s="21"/>
      <c r="O34" s="21"/>
      <c r="P34" s="22"/>
      <c r="Q34" s="23" t="str">
        <f t="shared" ca="1" si="1"/>
        <v>-</v>
      </c>
      <c r="R34" s="23"/>
    </row>
    <row r="35" spans="1:18" ht="23.25" customHeight="1">
      <c r="A35" s="12">
        <v>43</v>
      </c>
      <c r="B35" s="13" t="s">
        <v>123</v>
      </c>
      <c r="C35" s="14" t="s">
        <v>71</v>
      </c>
      <c r="D35" s="14" t="s">
        <v>26</v>
      </c>
      <c r="E35" s="14">
        <v>92.5</v>
      </c>
      <c r="F35" s="14">
        <v>55</v>
      </c>
      <c r="G35" s="15" t="s">
        <v>20</v>
      </c>
      <c r="H35" s="28" t="s">
        <v>124</v>
      </c>
      <c r="I35" s="17" t="s">
        <v>125</v>
      </c>
      <c r="J35" s="18"/>
      <c r="K35" s="19" t="str">
        <f t="shared" si="0"/>
        <v>R - 43</v>
      </c>
      <c r="L35" s="20" t="s">
        <v>23</v>
      </c>
      <c r="M35" s="20" t="s">
        <v>24</v>
      </c>
      <c r="N35" s="21"/>
      <c r="O35" s="21"/>
      <c r="P35" s="22"/>
      <c r="Q35" s="23" t="str">
        <f t="shared" ca="1" si="1"/>
        <v>-</v>
      </c>
      <c r="R35" s="23"/>
    </row>
    <row r="36" spans="1:18" ht="23.25" customHeight="1">
      <c r="A36" s="24">
        <v>47</v>
      </c>
      <c r="B36" s="13" t="s">
        <v>126</v>
      </c>
      <c r="C36" s="14" t="s">
        <v>45</v>
      </c>
      <c r="D36" s="14" t="s">
        <v>31</v>
      </c>
      <c r="E36" s="14">
        <v>43</v>
      </c>
      <c r="F36" s="14">
        <v>12</v>
      </c>
      <c r="G36" s="40" t="s">
        <v>20</v>
      </c>
      <c r="H36" s="28" t="s">
        <v>127</v>
      </c>
      <c r="I36" s="35" t="s">
        <v>128</v>
      </c>
      <c r="J36" s="41"/>
      <c r="K36" s="19" t="str">
        <f t="shared" si="0"/>
        <v>R - 47</v>
      </c>
      <c r="L36" s="20" t="s">
        <v>23</v>
      </c>
      <c r="M36" s="20" t="s">
        <v>24</v>
      </c>
      <c r="N36" s="21"/>
      <c r="O36" s="21"/>
      <c r="P36" s="22"/>
      <c r="Q36" s="23" t="str">
        <f t="shared" ca="1" si="1"/>
        <v>-</v>
      </c>
      <c r="R36" s="23"/>
    </row>
    <row r="37" spans="1:18" ht="23.25" customHeight="1">
      <c r="A37" s="24">
        <v>48</v>
      </c>
      <c r="B37" s="13" t="s">
        <v>129</v>
      </c>
      <c r="C37" s="14" t="s">
        <v>45</v>
      </c>
      <c r="D37" s="14" t="s">
        <v>26</v>
      </c>
      <c r="E37" s="14">
        <v>98.1</v>
      </c>
      <c r="F37" s="14">
        <v>12</v>
      </c>
      <c r="G37" s="15" t="s">
        <v>20</v>
      </c>
      <c r="H37" s="28" t="s">
        <v>127</v>
      </c>
      <c r="I37" s="17" t="s">
        <v>130</v>
      </c>
      <c r="J37" s="18"/>
      <c r="K37" s="19" t="str">
        <f t="shared" si="0"/>
        <v>R - 48</v>
      </c>
      <c r="L37" s="20" t="s">
        <v>23</v>
      </c>
      <c r="M37" s="20" t="s">
        <v>24</v>
      </c>
      <c r="N37" s="21"/>
      <c r="O37" s="21"/>
      <c r="P37" s="22"/>
      <c r="Q37" s="23" t="str">
        <f t="shared" ca="1" si="1"/>
        <v>-</v>
      </c>
      <c r="R37" s="23"/>
    </row>
    <row r="38" spans="1:18" ht="23.25" customHeight="1">
      <c r="A38" s="12">
        <v>49</v>
      </c>
      <c r="B38" s="13" t="s">
        <v>131</v>
      </c>
      <c r="C38" s="14" t="s">
        <v>45</v>
      </c>
      <c r="D38" s="14" t="s">
        <v>26</v>
      </c>
      <c r="E38" s="14">
        <v>89.5</v>
      </c>
      <c r="F38" s="14">
        <v>59</v>
      </c>
      <c r="G38" s="15" t="s">
        <v>20</v>
      </c>
      <c r="H38" s="28" t="s">
        <v>132</v>
      </c>
      <c r="I38" s="17" t="s">
        <v>133</v>
      </c>
      <c r="J38" s="18"/>
      <c r="K38" s="19" t="str">
        <f t="shared" si="0"/>
        <v>R - 49</v>
      </c>
      <c r="L38" s="20" t="s">
        <v>23</v>
      </c>
      <c r="M38" s="20" t="s">
        <v>24</v>
      </c>
      <c r="N38" s="21"/>
      <c r="O38" s="21"/>
      <c r="P38" s="22"/>
      <c r="Q38" s="23" t="str">
        <f t="shared" ca="1" si="1"/>
        <v>-</v>
      </c>
      <c r="R38" s="23"/>
    </row>
    <row r="39" spans="1:18" ht="23.25" customHeight="1">
      <c r="A39" s="24">
        <v>50</v>
      </c>
      <c r="B39" s="13" t="s">
        <v>134</v>
      </c>
      <c r="C39" s="14" t="s">
        <v>45</v>
      </c>
      <c r="D39" s="14" t="s">
        <v>19</v>
      </c>
      <c r="E39" s="14">
        <v>9</v>
      </c>
      <c r="F39" s="14">
        <v>95</v>
      </c>
      <c r="G39" s="15" t="s">
        <v>20</v>
      </c>
      <c r="H39" s="16" t="s">
        <v>135</v>
      </c>
      <c r="I39" s="17" t="s">
        <v>136</v>
      </c>
      <c r="J39" s="18"/>
      <c r="K39" s="19" t="str">
        <f t="shared" si="0"/>
        <v>R - 50</v>
      </c>
      <c r="L39" s="19"/>
      <c r="M39" s="19"/>
      <c r="N39" s="21"/>
      <c r="O39" s="21"/>
      <c r="P39" s="22"/>
      <c r="Q39" s="23" t="str">
        <f t="shared" ca="1" si="1"/>
        <v>-</v>
      </c>
      <c r="R39" s="23"/>
    </row>
    <row r="40" spans="1:18" ht="23.25" customHeight="1">
      <c r="A40" s="24">
        <v>51</v>
      </c>
      <c r="B40" s="13" t="s">
        <v>134</v>
      </c>
      <c r="C40" s="14" t="s">
        <v>45</v>
      </c>
      <c r="D40" s="14" t="s">
        <v>26</v>
      </c>
      <c r="E40" s="14">
        <v>96.1</v>
      </c>
      <c r="F40" s="14">
        <v>95</v>
      </c>
      <c r="G40" s="15" t="s">
        <v>20</v>
      </c>
      <c r="H40" s="28" t="s">
        <v>135</v>
      </c>
      <c r="I40" s="17" t="s">
        <v>136</v>
      </c>
      <c r="J40" s="18"/>
      <c r="K40" s="19" t="str">
        <f t="shared" si="0"/>
        <v>R - 51</v>
      </c>
      <c r="L40" s="19"/>
      <c r="M40" s="19"/>
      <c r="N40" s="21"/>
      <c r="O40" s="21"/>
      <c r="P40" s="22"/>
      <c r="Q40" s="23" t="str">
        <f t="shared" ca="1" si="1"/>
        <v>-</v>
      </c>
      <c r="R40" s="23"/>
    </row>
    <row r="41" spans="1:18" ht="23.25" customHeight="1">
      <c r="A41" s="12">
        <v>95</v>
      </c>
      <c r="B41" s="13" t="s">
        <v>137</v>
      </c>
      <c r="C41" s="14" t="s">
        <v>18</v>
      </c>
      <c r="D41" s="14" t="s">
        <v>26</v>
      </c>
      <c r="E41" s="14">
        <v>95.3</v>
      </c>
      <c r="F41" s="14">
        <v>90</v>
      </c>
      <c r="G41" s="15" t="s">
        <v>20</v>
      </c>
      <c r="H41" s="28" t="s">
        <v>138</v>
      </c>
      <c r="I41" s="17" t="s">
        <v>139</v>
      </c>
      <c r="J41" s="18"/>
      <c r="K41" s="19" t="str">
        <f t="shared" si="0"/>
        <v>R - 95</v>
      </c>
      <c r="L41" s="20" t="s">
        <v>23</v>
      </c>
      <c r="M41" s="20" t="s">
        <v>24</v>
      </c>
      <c r="N41" s="21"/>
      <c r="O41" s="21"/>
      <c r="P41" s="22"/>
      <c r="Q41" s="23" t="str">
        <f t="shared" ca="1" si="1"/>
        <v>-</v>
      </c>
      <c r="R41" s="23"/>
    </row>
    <row r="42" spans="1:18" ht="23.25" customHeight="1">
      <c r="A42" s="24">
        <v>53</v>
      </c>
      <c r="B42" s="13" t="s">
        <v>140</v>
      </c>
      <c r="C42" s="14" t="s">
        <v>41</v>
      </c>
      <c r="D42" s="14" t="s">
        <v>26</v>
      </c>
      <c r="E42" s="14">
        <v>100.5</v>
      </c>
      <c r="F42" s="14">
        <v>83</v>
      </c>
      <c r="G42" s="15" t="s">
        <v>20</v>
      </c>
      <c r="H42" s="16" t="s">
        <v>141</v>
      </c>
      <c r="I42" s="17" t="s">
        <v>142</v>
      </c>
      <c r="J42" s="30" t="s">
        <v>143</v>
      </c>
      <c r="K42" s="19" t="str">
        <f t="shared" si="0"/>
        <v>R - 53</v>
      </c>
      <c r="L42" s="20" t="s">
        <v>23</v>
      </c>
      <c r="M42" s="20" t="s">
        <v>24</v>
      </c>
      <c r="N42" s="21"/>
      <c r="O42" s="21"/>
      <c r="P42" s="22"/>
      <c r="Q42" s="23" t="str">
        <f t="shared" ca="1" si="1"/>
        <v>-</v>
      </c>
      <c r="R42" s="23"/>
    </row>
    <row r="43" spans="1:18" ht="23.25" customHeight="1">
      <c r="A43" s="24">
        <v>54</v>
      </c>
      <c r="B43" s="13" t="s">
        <v>144</v>
      </c>
      <c r="C43" s="14" t="s">
        <v>63</v>
      </c>
      <c r="D43" s="14" t="s">
        <v>26</v>
      </c>
      <c r="E43" s="14">
        <v>94.5</v>
      </c>
      <c r="F43" s="14">
        <v>78</v>
      </c>
      <c r="G43" s="15" t="s">
        <v>20</v>
      </c>
      <c r="H43" s="28" t="s">
        <v>145</v>
      </c>
      <c r="I43" s="17" t="s">
        <v>146</v>
      </c>
      <c r="J43" s="18"/>
      <c r="K43" s="19" t="str">
        <f t="shared" si="0"/>
        <v>R - 54</v>
      </c>
      <c r="L43" s="20" t="s">
        <v>23</v>
      </c>
      <c r="M43" s="20" t="s">
        <v>24</v>
      </c>
      <c r="N43" s="21"/>
      <c r="O43" s="21"/>
      <c r="P43" s="22"/>
      <c r="Q43" s="23" t="str">
        <f t="shared" ca="1" si="1"/>
        <v>-</v>
      </c>
      <c r="R43" s="23"/>
    </row>
    <row r="44" spans="1:18" ht="23.25" customHeight="1">
      <c r="A44" s="12">
        <v>55</v>
      </c>
      <c r="B44" s="13" t="s">
        <v>147</v>
      </c>
      <c r="C44" s="14" t="s">
        <v>18</v>
      </c>
      <c r="D44" s="14" t="s">
        <v>26</v>
      </c>
      <c r="E44" s="14">
        <v>106.9</v>
      </c>
      <c r="F44" s="14">
        <v>106</v>
      </c>
      <c r="G44" s="15" t="s">
        <v>20</v>
      </c>
      <c r="H44" s="28" t="s">
        <v>148</v>
      </c>
      <c r="I44" s="17" t="s">
        <v>149</v>
      </c>
      <c r="J44" s="18"/>
      <c r="K44" s="19" t="str">
        <f t="shared" si="0"/>
        <v>R - 55</v>
      </c>
      <c r="L44" s="20" t="s">
        <v>23</v>
      </c>
      <c r="M44" s="20" t="s">
        <v>24</v>
      </c>
      <c r="N44" s="21"/>
      <c r="O44" s="21"/>
      <c r="P44" s="22"/>
      <c r="Q44" s="23" t="str">
        <f t="shared" ca="1" si="1"/>
        <v>-</v>
      </c>
      <c r="R44" s="23"/>
    </row>
    <row r="45" spans="1:18" ht="23.25" customHeight="1">
      <c r="A45" s="24">
        <v>57</v>
      </c>
      <c r="B45" s="13" t="s">
        <v>150</v>
      </c>
      <c r="C45" s="14" t="s">
        <v>30</v>
      </c>
      <c r="D45" s="14" t="s">
        <v>26</v>
      </c>
      <c r="E45" s="14">
        <v>102.7</v>
      </c>
      <c r="F45" s="14">
        <v>33</v>
      </c>
      <c r="G45" s="15" t="s">
        <v>20</v>
      </c>
      <c r="H45" s="16" t="s">
        <v>151</v>
      </c>
      <c r="I45" s="17" t="s">
        <v>152</v>
      </c>
      <c r="J45" s="30" t="s">
        <v>153</v>
      </c>
      <c r="K45" s="19" t="str">
        <f t="shared" si="0"/>
        <v>R - 57</v>
      </c>
      <c r="L45" s="20" t="s">
        <v>23</v>
      </c>
      <c r="M45" s="20" t="s">
        <v>24</v>
      </c>
      <c r="N45" s="21"/>
      <c r="O45" s="21"/>
      <c r="P45" s="22"/>
      <c r="Q45" s="23" t="str">
        <f t="shared" ca="1" si="1"/>
        <v>-</v>
      </c>
      <c r="R45" s="23"/>
    </row>
    <row r="46" spans="1:18" ht="23.25" customHeight="1">
      <c r="A46" s="24">
        <v>58</v>
      </c>
      <c r="B46" s="13" t="s">
        <v>154</v>
      </c>
      <c r="C46" s="14" t="s">
        <v>18</v>
      </c>
      <c r="D46" s="14" t="s">
        <v>26</v>
      </c>
      <c r="E46" s="14">
        <v>101.5</v>
      </c>
      <c r="F46" s="14">
        <v>153</v>
      </c>
      <c r="G46" s="15" t="s">
        <v>20</v>
      </c>
      <c r="H46" s="28" t="s">
        <v>155</v>
      </c>
      <c r="I46" s="17" t="s">
        <v>156</v>
      </c>
      <c r="J46" s="18"/>
      <c r="K46" s="19" t="str">
        <f t="shared" si="0"/>
        <v>R - 58</v>
      </c>
      <c r="L46" s="20" t="s">
        <v>23</v>
      </c>
      <c r="M46" s="20" t="s">
        <v>24</v>
      </c>
      <c r="N46" s="21"/>
      <c r="O46" s="21"/>
      <c r="P46" s="22"/>
      <c r="Q46" s="23" t="str">
        <f t="shared" ca="1" si="1"/>
        <v>-</v>
      </c>
      <c r="R46" s="23"/>
    </row>
    <row r="47" spans="1:18" ht="23.25" customHeight="1">
      <c r="A47" s="12">
        <v>60</v>
      </c>
      <c r="B47" s="13" t="s">
        <v>157</v>
      </c>
      <c r="C47" s="14" t="s">
        <v>30</v>
      </c>
      <c r="D47" s="14" t="s">
        <v>26</v>
      </c>
      <c r="E47" s="14">
        <v>95.9</v>
      </c>
      <c r="F47" s="14">
        <v>33</v>
      </c>
      <c r="G47" s="15" t="s">
        <v>20</v>
      </c>
      <c r="H47" s="16" t="s">
        <v>158</v>
      </c>
      <c r="I47" s="17" t="s">
        <v>159</v>
      </c>
      <c r="J47" s="18"/>
      <c r="K47" s="19" t="str">
        <f t="shared" si="0"/>
        <v>R - 60</v>
      </c>
      <c r="L47" s="20" t="s">
        <v>23</v>
      </c>
      <c r="M47" s="20" t="s">
        <v>24</v>
      </c>
      <c r="N47" s="21"/>
      <c r="O47" s="21"/>
      <c r="P47" s="22"/>
      <c r="Q47" s="23" t="str">
        <f t="shared" ca="1" si="1"/>
        <v>-</v>
      </c>
      <c r="R47" s="23"/>
    </row>
    <row r="48" spans="1:18" ht="23.25" customHeight="1">
      <c r="A48" s="24">
        <v>61</v>
      </c>
      <c r="B48" s="13" t="s">
        <v>160</v>
      </c>
      <c r="C48" s="14" t="s">
        <v>45</v>
      </c>
      <c r="D48" s="14" t="s">
        <v>26</v>
      </c>
      <c r="E48" s="14">
        <v>98.9</v>
      </c>
      <c r="F48" s="14">
        <v>59</v>
      </c>
      <c r="G48" s="15" t="s">
        <v>20</v>
      </c>
      <c r="H48" s="28" t="s">
        <v>161</v>
      </c>
      <c r="I48" s="17" t="s">
        <v>162</v>
      </c>
      <c r="J48" s="30" t="s">
        <v>163</v>
      </c>
      <c r="K48" s="19" t="str">
        <f t="shared" si="0"/>
        <v>R - 61</v>
      </c>
      <c r="L48" s="20" t="s">
        <v>23</v>
      </c>
      <c r="M48" s="20" t="s">
        <v>24</v>
      </c>
      <c r="N48" s="21"/>
      <c r="O48" s="21"/>
      <c r="P48" s="22"/>
      <c r="Q48" s="23" t="str">
        <f t="shared" ca="1" si="1"/>
        <v>-</v>
      </c>
      <c r="R48" s="23"/>
    </row>
    <row r="49" spans="1:18" ht="23.25" customHeight="1">
      <c r="A49" s="24">
        <v>62</v>
      </c>
      <c r="B49" s="13" t="s">
        <v>164</v>
      </c>
      <c r="C49" s="14" t="s">
        <v>30</v>
      </c>
      <c r="D49" s="14" t="s">
        <v>26</v>
      </c>
      <c r="E49" s="14">
        <v>95.7</v>
      </c>
      <c r="F49" s="14">
        <v>148</v>
      </c>
      <c r="G49" s="15" t="s">
        <v>20</v>
      </c>
      <c r="H49" s="28" t="s">
        <v>165</v>
      </c>
      <c r="I49" s="17" t="s">
        <v>166</v>
      </c>
      <c r="J49" s="18"/>
      <c r="K49" s="19" t="str">
        <f t="shared" si="0"/>
        <v>R - 62</v>
      </c>
      <c r="L49" s="20" t="s">
        <v>23</v>
      </c>
      <c r="M49" s="20" t="s">
        <v>24</v>
      </c>
      <c r="N49" s="21"/>
      <c r="O49" s="21"/>
      <c r="P49" s="22"/>
      <c r="Q49" s="23" t="str">
        <f t="shared" ca="1" si="1"/>
        <v>-</v>
      </c>
      <c r="R49" s="23"/>
    </row>
    <row r="50" spans="1:18" ht="23.25" customHeight="1">
      <c r="A50" s="12">
        <v>63</v>
      </c>
      <c r="B50" s="13" t="s">
        <v>167</v>
      </c>
      <c r="C50" s="14" t="s">
        <v>18</v>
      </c>
      <c r="D50" s="14" t="s">
        <v>26</v>
      </c>
      <c r="E50" s="14">
        <v>101.3</v>
      </c>
      <c r="F50" s="14">
        <v>97</v>
      </c>
      <c r="G50" s="15" t="s">
        <v>20</v>
      </c>
      <c r="H50" s="28" t="s">
        <v>168</v>
      </c>
      <c r="I50" s="17" t="s">
        <v>169</v>
      </c>
      <c r="J50" s="18"/>
      <c r="K50" s="19" t="str">
        <f t="shared" si="0"/>
        <v>R - 63</v>
      </c>
      <c r="L50" s="20" t="s">
        <v>23</v>
      </c>
      <c r="M50" s="20" t="s">
        <v>24</v>
      </c>
      <c r="N50" s="26"/>
      <c r="O50" s="26"/>
      <c r="P50" s="27"/>
      <c r="Q50" s="23" t="str">
        <f t="shared" ca="1" si="1"/>
        <v>-</v>
      </c>
      <c r="R50" s="23"/>
    </row>
    <row r="51" spans="1:18" ht="23.25" customHeight="1">
      <c r="A51" s="24">
        <v>64</v>
      </c>
      <c r="B51" s="13" t="s">
        <v>170</v>
      </c>
      <c r="C51" s="14" t="s">
        <v>18</v>
      </c>
      <c r="D51" s="14" t="s">
        <v>26</v>
      </c>
      <c r="E51" s="14">
        <v>105.9</v>
      </c>
      <c r="F51" s="14">
        <v>97</v>
      </c>
      <c r="G51" s="42" t="s">
        <v>20</v>
      </c>
      <c r="H51" s="16" t="s">
        <v>171</v>
      </c>
      <c r="I51" s="17" t="s">
        <v>172</v>
      </c>
      <c r="J51" s="30" t="s">
        <v>173</v>
      </c>
      <c r="K51" s="19" t="str">
        <f t="shared" si="0"/>
        <v>R - 64</v>
      </c>
      <c r="L51" s="20" t="s">
        <v>23</v>
      </c>
      <c r="M51" s="20" t="s">
        <v>24</v>
      </c>
      <c r="N51" s="21"/>
      <c r="O51" s="21"/>
      <c r="P51" s="22"/>
      <c r="Q51" s="23" t="str">
        <f t="shared" ca="1" si="1"/>
        <v>-</v>
      </c>
      <c r="R51" s="23"/>
    </row>
    <row r="52" spans="1:18" ht="23.25" customHeight="1">
      <c r="A52" s="24">
        <v>65</v>
      </c>
      <c r="B52" s="13" t="s">
        <v>174</v>
      </c>
      <c r="C52" s="14" t="s">
        <v>30</v>
      </c>
      <c r="D52" s="14" t="s">
        <v>26</v>
      </c>
      <c r="E52" s="14">
        <v>100.5</v>
      </c>
      <c r="F52" s="14">
        <v>33</v>
      </c>
      <c r="G52" s="42" t="s">
        <v>20</v>
      </c>
      <c r="H52" s="43" t="s">
        <v>175</v>
      </c>
      <c r="I52" s="17" t="s">
        <v>176</v>
      </c>
      <c r="J52" s="18"/>
      <c r="K52" s="19" t="str">
        <f t="shared" si="0"/>
        <v>R - 65</v>
      </c>
      <c r="L52" s="20" t="s">
        <v>23</v>
      </c>
      <c r="M52" s="20" t="s">
        <v>24</v>
      </c>
      <c r="N52" s="21"/>
      <c r="O52" s="21"/>
      <c r="P52" s="22"/>
      <c r="Q52" s="23" t="str">
        <f t="shared" ca="1" si="1"/>
        <v>-</v>
      </c>
      <c r="R52" s="23"/>
    </row>
    <row r="53" spans="1:18" ht="23.25" customHeight="1">
      <c r="A53" s="12">
        <v>66</v>
      </c>
      <c r="B53" s="13" t="s">
        <v>177</v>
      </c>
      <c r="C53" s="14" t="s">
        <v>96</v>
      </c>
      <c r="D53" s="14" t="s">
        <v>26</v>
      </c>
      <c r="E53" s="14">
        <v>93.7</v>
      </c>
      <c r="F53" s="14">
        <v>42</v>
      </c>
      <c r="G53" s="42" t="s">
        <v>20</v>
      </c>
      <c r="H53" s="43" t="s">
        <v>178</v>
      </c>
      <c r="I53" s="17" t="s">
        <v>179</v>
      </c>
      <c r="J53" s="18"/>
      <c r="K53" s="19" t="str">
        <f t="shared" si="0"/>
        <v>R - 66</v>
      </c>
      <c r="L53" s="20" t="s">
        <v>23</v>
      </c>
      <c r="M53" s="20" t="s">
        <v>24</v>
      </c>
      <c r="N53" s="21"/>
      <c r="O53" s="21"/>
      <c r="P53" s="22"/>
      <c r="Q53" s="23" t="str">
        <f t="shared" ca="1" si="1"/>
        <v>-</v>
      </c>
      <c r="R53" s="23"/>
    </row>
    <row r="54" spans="1:18" ht="23.25" customHeight="1">
      <c r="A54" s="24">
        <v>67</v>
      </c>
      <c r="B54" s="13" t="s">
        <v>180</v>
      </c>
      <c r="C54" s="14" t="s">
        <v>96</v>
      </c>
      <c r="D54" s="14" t="s">
        <v>19</v>
      </c>
      <c r="E54" s="14">
        <v>12</v>
      </c>
      <c r="F54" s="14">
        <v>80</v>
      </c>
      <c r="G54" s="42" t="s">
        <v>20</v>
      </c>
      <c r="H54" s="43" t="s">
        <v>181</v>
      </c>
      <c r="I54" s="17" t="s">
        <v>182</v>
      </c>
      <c r="J54" s="18"/>
      <c r="K54" s="19" t="str">
        <f t="shared" si="0"/>
        <v>R - 67</v>
      </c>
      <c r="L54" s="20" t="s">
        <v>23</v>
      </c>
      <c r="M54" s="20" t="s">
        <v>24</v>
      </c>
      <c r="N54" s="21"/>
      <c r="O54" s="21"/>
      <c r="P54" s="22"/>
      <c r="Q54" s="23" t="str">
        <f t="shared" ca="1" si="1"/>
        <v>-</v>
      </c>
      <c r="R54" s="23"/>
    </row>
    <row r="55" spans="1:18" ht="23.25" customHeight="1">
      <c r="A55" s="24">
        <v>68</v>
      </c>
      <c r="B55" s="13" t="s">
        <v>183</v>
      </c>
      <c r="C55" s="14" t="s">
        <v>63</v>
      </c>
      <c r="D55" s="14" t="s">
        <v>31</v>
      </c>
      <c r="E55" s="14">
        <v>33</v>
      </c>
      <c r="F55" s="14">
        <v>16</v>
      </c>
      <c r="G55" s="42" t="s">
        <v>20</v>
      </c>
      <c r="H55" s="43" t="s">
        <v>184</v>
      </c>
      <c r="I55" s="17" t="s">
        <v>185</v>
      </c>
      <c r="J55" s="18"/>
      <c r="K55" s="19" t="str">
        <f t="shared" si="0"/>
        <v>R - 68</v>
      </c>
      <c r="L55" s="20" t="s">
        <v>23</v>
      </c>
      <c r="M55" s="20" t="s">
        <v>24</v>
      </c>
      <c r="N55" s="21"/>
      <c r="O55" s="21"/>
      <c r="P55" s="22"/>
      <c r="Q55" s="23" t="str">
        <f t="shared" ca="1" si="1"/>
        <v>-</v>
      </c>
      <c r="R55" s="23"/>
    </row>
    <row r="56" spans="1:18" ht="23.25" customHeight="1">
      <c r="A56" s="12">
        <v>69</v>
      </c>
      <c r="B56" s="13" t="s">
        <v>183</v>
      </c>
      <c r="C56" s="14" t="s">
        <v>63</v>
      </c>
      <c r="D56" s="14" t="s">
        <v>26</v>
      </c>
      <c r="E56" s="14">
        <v>94.5</v>
      </c>
      <c r="F56" s="14">
        <v>16</v>
      </c>
      <c r="G56" s="42" t="s">
        <v>20</v>
      </c>
      <c r="H56" s="43" t="s">
        <v>184</v>
      </c>
      <c r="I56" s="17" t="s">
        <v>185</v>
      </c>
      <c r="J56" s="30" t="s">
        <v>186</v>
      </c>
      <c r="K56" s="19" t="str">
        <f t="shared" si="0"/>
        <v>R - 69</v>
      </c>
      <c r="L56" s="20" t="s">
        <v>23</v>
      </c>
      <c r="M56" s="20" t="s">
        <v>24</v>
      </c>
      <c r="N56" s="21"/>
      <c r="O56" s="21"/>
      <c r="P56" s="22"/>
      <c r="Q56" s="23" t="str">
        <f t="shared" ca="1" si="1"/>
        <v>-</v>
      </c>
      <c r="R56" s="23"/>
    </row>
    <row r="57" spans="1:18" ht="23.25" customHeight="1">
      <c r="A57" s="24">
        <v>70</v>
      </c>
      <c r="B57" s="13" t="s">
        <v>187</v>
      </c>
      <c r="C57" s="14" t="s">
        <v>45</v>
      </c>
      <c r="D57" s="14" t="s">
        <v>26</v>
      </c>
      <c r="E57" s="14">
        <v>104.7</v>
      </c>
      <c r="F57" s="14">
        <v>114</v>
      </c>
      <c r="G57" s="42" t="s">
        <v>20</v>
      </c>
      <c r="H57" s="43" t="s">
        <v>188</v>
      </c>
      <c r="I57" s="17" t="s">
        <v>189</v>
      </c>
      <c r="J57" s="18"/>
      <c r="K57" s="19" t="str">
        <f t="shared" si="0"/>
        <v>R - 70</v>
      </c>
      <c r="L57" s="20" t="s">
        <v>23</v>
      </c>
      <c r="M57" s="20" t="s">
        <v>24</v>
      </c>
      <c r="N57" s="21"/>
      <c r="O57" s="21"/>
      <c r="P57" s="22"/>
      <c r="Q57" s="23" t="str">
        <f t="shared" ca="1" si="1"/>
        <v>-</v>
      </c>
      <c r="R57" s="23"/>
    </row>
    <row r="58" spans="1:18" ht="23.25" customHeight="1">
      <c r="A58" s="24">
        <v>71</v>
      </c>
      <c r="B58" s="13" t="s">
        <v>190</v>
      </c>
      <c r="C58" s="14" t="s">
        <v>63</v>
      </c>
      <c r="D58" s="14" t="s">
        <v>26</v>
      </c>
      <c r="E58" s="14">
        <v>90.7</v>
      </c>
      <c r="F58" s="14">
        <v>98</v>
      </c>
      <c r="G58" s="42" t="s">
        <v>20</v>
      </c>
      <c r="H58" s="43" t="s">
        <v>191</v>
      </c>
      <c r="I58" s="17" t="s">
        <v>192</v>
      </c>
      <c r="J58" s="18"/>
      <c r="K58" s="19" t="str">
        <f t="shared" si="0"/>
        <v>R - 71</v>
      </c>
      <c r="L58" s="20" t="s">
        <v>23</v>
      </c>
      <c r="M58" s="20" t="s">
        <v>24</v>
      </c>
      <c r="N58" s="21"/>
      <c r="O58" s="21"/>
      <c r="P58" s="22"/>
      <c r="Q58" s="23" t="str">
        <f t="shared" ca="1" si="1"/>
        <v>-</v>
      </c>
      <c r="R58" s="23"/>
    </row>
    <row r="59" spans="1:18" ht="23.25" customHeight="1">
      <c r="A59" s="12">
        <v>73</v>
      </c>
      <c r="B59" s="13" t="s">
        <v>193</v>
      </c>
      <c r="C59" s="14" t="s">
        <v>96</v>
      </c>
      <c r="D59" s="14" t="s">
        <v>26</v>
      </c>
      <c r="E59" s="14">
        <v>96.7</v>
      </c>
      <c r="F59" s="14">
        <v>80</v>
      </c>
      <c r="G59" s="42" t="s">
        <v>20</v>
      </c>
      <c r="H59" s="16" t="s">
        <v>194</v>
      </c>
      <c r="I59" s="17" t="s">
        <v>195</v>
      </c>
      <c r="J59" s="18"/>
      <c r="K59" s="19" t="str">
        <f t="shared" si="0"/>
        <v>R - 73</v>
      </c>
      <c r="L59" s="19"/>
      <c r="M59" s="19"/>
      <c r="N59" s="21"/>
      <c r="O59" s="21"/>
      <c r="P59" s="22"/>
      <c r="Q59" s="23" t="str">
        <f t="shared" ca="1" si="1"/>
        <v>-</v>
      </c>
      <c r="R59" s="23"/>
    </row>
    <row r="60" spans="1:18" ht="23.25" customHeight="1">
      <c r="A60" s="24">
        <v>74</v>
      </c>
      <c r="B60" s="13" t="s">
        <v>196</v>
      </c>
      <c r="C60" s="34" t="s">
        <v>71</v>
      </c>
      <c r="D60" s="14" t="s">
        <v>26</v>
      </c>
      <c r="E60" s="34" t="s">
        <v>197</v>
      </c>
      <c r="F60" s="34">
        <v>82</v>
      </c>
      <c r="G60" s="42" t="s">
        <v>20</v>
      </c>
      <c r="H60" s="43" t="s">
        <v>198</v>
      </c>
      <c r="I60" s="17" t="s">
        <v>199</v>
      </c>
      <c r="J60" s="44"/>
      <c r="K60" s="19" t="str">
        <f t="shared" si="0"/>
        <v>R - 74</v>
      </c>
      <c r="L60" s="37"/>
      <c r="M60" s="37"/>
      <c r="N60" s="21"/>
      <c r="O60" s="21"/>
      <c r="P60" s="31">
        <v>45982</v>
      </c>
      <c r="Q60" s="23" t="str">
        <f t="shared" ca="1" si="1"/>
        <v>17 días</v>
      </c>
      <c r="R60" s="23"/>
    </row>
    <row r="61" spans="1:18" ht="23.25" customHeight="1">
      <c r="A61" s="24">
        <v>75</v>
      </c>
      <c r="B61" s="13" t="s">
        <v>200</v>
      </c>
      <c r="C61" s="14" t="s">
        <v>71</v>
      </c>
      <c r="D61" s="14" t="s">
        <v>26</v>
      </c>
      <c r="E61" s="14">
        <v>99.1</v>
      </c>
      <c r="F61" s="14">
        <v>54</v>
      </c>
      <c r="G61" s="42" t="s">
        <v>20</v>
      </c>
      <c r="H61" s="43" t="s">
        <v>201</v>
      </c>
      <c r="I61" s="17" t="s">
        <v>202</v>
      </c>
      <c r="J61" s="18"/>
      <c r="K61" s="19" t="str">
        <f t="shared" si="0"/>
        <v>R - 75</v>
      </c>
      <c r="L61" s="20" t="s">
        <v>23</v>
      </c>
      <c r="M61" s="20" t="s">
        <v>24</v>
      </c>
      <c r="N61" s="21"/>
      <c r="O61" s="21"/>
      <c r="P61" s="22"/>
      <c r="Q61" s="23" t="str">
        <f t="shared" ca="1" si="1"/>
        <v>-</v>
      </c>
      <c r="R61" s="23"/>
    </row>
    <row r="62" spans="1:18" ht="23.25" customHeight="1">
      <c r="A62" s="12">
        <v>76</v>
      </c>
      <c r="B62" s="13" t="s">
        <v>203</v>
      </c>
      <c r="C62" s="14" t="s">
        <v>18</v>
      </c>
      <c r="D62" s="14" t="s">
        <v>26</v>
      </c>
      <c r="E62" s="14">
        <v>93.3</v>
      </c>
      <c r="F62" s="14">
        <v>105</v>
      </c>
      <c r="G62" s="42" t="s">
        <v>20</v>
      </c>
      <c r="H62" s="43" t="s">
        <v>204</v>
      </c>
      <c r="I62" s="17" t="s">
        <v>205</v>
      </c>
      <c r="J62" s="18"/>
      <c r="K62" s="19" t="str">
        <f t="shared" si="0"/>
        <v>R - 76</v>
      </c>
      <c r="L62" s="19"/>
      <c r="M62" s="19"/>
      <c r="N62" s="21"/>
      <c r="O62" s="21"/>
      <c r="P62" s="22"/>
      <c r="Q62" s="23" t="str">
        <f t="shared" ca="1" si="1"/>
        <v>-</v>
      </c>
      <c r="R62" s="23"/>
    </row>
    <row r="63" spans="1:18" ht="23.25" customHeight="1">
      <c r="A63" s="24">
        <v>78</v>
      </c>
      <c r="B63" s="13" t="s">
        <v>206</v>
      </c>
      <c r="C63" s="14" t="s">
        <v>71</v>
      </c>
      <c r="D63" s="14" t="s">
        <v>26</v>
      </c>
      <c r="E63" s="14" t="s">
        <v>207</v>
      </c>
      <c r="F63" s="14">
        <v>102</v>
      </c>
      <c r="G63" s="42" t="s">
        <v>20</v>
      </c>
      <c r="H63" s="43" t="s">
        <v>208</v>
      </c>
      <c r="I63" s="17" t="s">
        <v>209</v>
      </c>
      <c r="J63" s="18"/>
      <c r="K63" s="19" t="str">
        <f t="shared" si="0"/>
        <v>R - 78</v>
      </c>
      <c r="L63" s="20" t="s">
        <v>23</v>
      </c>
      <c r="M63" s="20" t="s">
        <v>24</v>
      </c>
      <c r="N63" s="21"/>
      <c r="O63" s="21"/>
      <c r="P63" s="22"/>
      <c r="Q63" s="23" t="str">
        <f t="shared" ca="1" si="1"/>
        <v>-</v>
      </c>
      <c r="R63" s="23"/>
    </row>
    <row r="64" spans="1:18" ht="23.25" customHeight="1">
      <c r="A64" s="24">
        <v>79</v>
      </c>
      <c r="B64" s="13" t="s">
        <v>210</v>
      </c>
      <c r="C64" s="14" t="s">
        <v>45</v>
      </c>
      <c r="D64" s="14" t="s">
        <v>26</v>
      </c>
      <c r="E64" s="14">
        <v>103.1</v>
      </c>
      <c r="F64" s="14">
        <v>95</v>
      </c>
      <c r="G64" s="42" t="s">
        <v>20</v>
      </c>
      <c r="H64" s="43" t="s">
        <v>211</v>
      </c>
      <c r="I64" s="17" t="s">
        <v>212</v>
      </c>
      <c r="J64" s="18"/>
      <c r="K64" s="19" t="str">
        <f t="shared" si="0"/>
        <v>R - 79</v>
      </c>
      <c r="L64" s="19"/>
      <c r="M64" s="19"/>
      <c r="N64" s="21"/>
      <c r="O64" s="21"/>
      <c r="P64" s="22"/>
      <c r="Q64" s="23" t="str">
        <f t="shared" ca="1" si="1"/>
        <v>-</v>
      </c>
      <c r="R64" s="23"/>
    </row>
    <row r="65" spans="1:18" ht="23.25" customHeight="1">
      <c r="A65" s="12">
        <v>81</v>
      </c>
      <c r="B65" s="13" t="s">
        <v>213</v>
      </c>
      <c r="C65" s="14" t="s">
        <v>71</v>
      </c>
      <c r="D65" s="14" t="s">
        <v>26</v>
      </c>
      <c r="E65" s="14">
        <v>98.1</v>
      </c>
      <c r="F65" s="14">
        <v>102</v>
      </c>
      <c r="G65" s="42" t="s">
        <v>20</v>
      </c>
      <c r="H65" s="43" t="s">
        <v>214</v>
      </c>
      <c r="I65" s="17" t="s">
        <v>215</v>
      </c>
      <c r="J65" s="18"/>
      <c r="K65" s="19" t="str">
        <f t="shared" si="0"/>
        <v>R - 81</v>
      </c>
      <c r="L65" s="19"/>
      <c r="M65" s="19"/>
      <c r="N65" s="21"/>
      <c r="O65" s="21"/>
      <c r="P65" s="22"/>
      <c r="Q65" s="23" t="str">
        <f t="shared" ca="1" si="1"/>
        <v>-</v>
      </c>
      <c r="R65" s="23"/>
    </row>
    <row r="66" spans="1:18" ht="23.25" customHeight="1">
      <c r="A66" s="24">
        <v>82</v>
      </c>
      <c r="B66" s="13" t="s">
        <v>216</v>
      </c>
      <c r="C66" s="14" t="s">
        <v>41</v>
      </c>
      <c r="D66" s="14" t="s">
        <v>26</v>
      </c>
      <c r="E66" s="14">
        <v>100.9</v>
      </c>
      <c r="F66" s="14">
        <v>26</v>
      </c>
      <c r="G66" s="42" t="s">
        <v>20</v>
      </c>
      <c r="H66" s="43" t="s">
        <v>217</v>
      </c>
      <c r="I66" s="17" t="s">
        <v>218</v>
      </c>
      <c r="J66" s="18"/>
      <c r="K66" s="19" t="str">
        <f t="shared" si="0"/>
        <v>R - 82</v>
      </c>
      <c r="L66" s="20" t="s">
        <v>23</v>
      </c>
      <c r="M66" s="20" t="s">
        <v>24</v>
      </c>
      <c r="N66" s="21"/>
      <c r="O66" s="21"/>
      <c r="P66" s="22"/>
      <c r="Q66" s="23" t="str">
        <f t="shared" ca="1" si="1"/>
        <v>-</v>
      </c>
      <c r="R66" s="23"/>
    </row>
    <row r="67" spans="1:18" ht="23.25" customHeight="1">
      <c r="A67" s="24">
        <v>84</v>
      </c>
      <c r="B67" s="13" t="s">
        <v>219</v>
      </c>
      <c r="C67" s="14" t="s">
        <v>63</v>
      </c>
      <c r="D67" s="14" t="s">
        <v>26</v>
      </c>
      <c r="E67" s="14">
        <v>101.7</v>
      </c>
      <c r="F67" s="14">
        <v>35</v>
      </c>
      <c r="G67" s="42" t="s">
        <v>20</v>
      </c>
      <c r="H67" s="16" t="s">
        <v>220</v>
      </c>
      <c r="I67" s="17" t="s">
        <v>221</v>
      </c>
      <c r="J67" s="18"/>
      <c r="K67" s="19" t="str">
        <f t="shared" si="0"/>
        <v>R - 84</v>
      </c>
      <c r="L67" s="20" t="s">
        <v>23</v>
      </c>
      <c r="M67" s="20" t="s">
        <v>24</v>
      </c>
      <c r="N67" s="21"/>
      <c r="O67" s="21"/>
      <c r="P67" s="22"/>
      <c r="Q67" s="23" t="str">
        <f t="shared" ca="1" si="1"/>
        <v>-</v>
      </c>
      <c r="R67" s="23"/>
    </row>
    <row r="68" spans="1:18" ht="23.25" customHeight="1">
      <c r="A68" s="12">
        <v>86</v>
      </c>
      <c r="B68" s="13" t="s">
        <v>222</v>
      </c>
      <c r="C68" s="14" t="s">
        <v>45</v>
      </c>
      <c r="D68" s="14" t="s">
        <v>26</v>
      </c>
      <c r="E68" s="14">
        <v>97.9</v>
      </c>
      <c r="F68" s="14">
        <v>81</v>
      </c>
      <c r="G68" s="45" t="s">
        <v>223</v>
      </c>
      <c r="H68" s="43" t="s">
        <v>224</v>
      </c>
      <c r="I68" s="17" t="s">
        <v>225</v>
      </c>
      <c r="J68" s="18"/>
      <c r="K68" s="19" t="str">
        <f t="shared" si="0"/>
        <v>R - 86</v>
      </c>
      <c r="L68" s="20" t="s">
        <v>23</v>
      </c>
      <c r="M68" s="20" t="s">
        <v>24</v>
      </c>
      <c r="N68" s="21"/>
      <c r="O68" s="21"/>
      <c r="P68" s="31">
        <v>45972</v>
      </c>
      <c r="Q68" s="23" t="str">
        <f t="shared" ca="1" si="1"/>
        <v>27 días</v>
      </c>
      <c r="R68" s="23"/>
    </row>
    <row r="69" spans="1:18" ht="23.25" customHeight="1">
      <c r="A69" s="24">
        <v>87</v>
      </c>
      <c r="B69" s="13" t="s">
        <v>18</v>
      </c>
      <c r="C69" s="14" t="s">
        <v>18</v>
      </c>
      <c r="D69" s="14" t="s">
        <v>31</v>
      </c>
      <c r="E69" s="14">
        <v>39</v>
      </c>
      <c r="F69" s="14">
        <v>14</v>
      </c>
      <c r="G69" s="42" t="s">
        <v>20</v>
      </c>
      <c r="H69" s="16" t="s">
        <v>226</v>
      </c>
      <c r="I69" s="17" t="s">
        <v>227</v>
      </c>
      <c r="J69" s="18"/>
      <c r="K69" s="19" t="str">
        <f t="shared" si="0"/>
        <v>R - 87</v>
      </c>
      <c r="L69" s="20" t="s">
        <v>23</v>
      </c>
      <c r="M69" s="20" t="s">
        <v>24</v>
      </c>
      <c r="N69" s="21"/>
      <c r="O69" s="21"/>
      <c r="P69" s="22"/>
      <c r="Q69" s="23" t="str">
        <f t="shared" ca="1" si="1"/>
        <v>-</v>
      </c>
      <c r="R69" s="23"/>
    </row>
    <row r="70" spans="1:18" ht="23.25" customHeight="1">
      <c r="A70" s="24">
        <v>88</v>
      </c>
      <c r="B70" s="13" t="s">
        <v>18</v>
      </c>
      <c r="C70" s="14" t="s">
        <v>18</v>
      </c>
      <c r="D70" s="14" t="s">
        <v>26</v>
      </c>
      <c r="E70" s="14" t="s">
        <v>228</v>
      </c>
      <c r="F70" s="14">
        <v>14</v>
      </c>
      <c r="G70" s="42" t="s">
        <v>20</v>
      </c>
      <c r="H70" s="43" t="s">
        <v>229</v>
      </c>
      <c r="I70" s="17" t="s">
        <v>227</v>
      </c>
      <c r="J70" s="18"/>
      <c r="K70" s="19" t="str">
        <f t="shared" si="0"/>
        <v>R - 88</v>
      </c>
      <c r="L70" s="20" t="s">
        <v>23</v>
      </c>
      <c r="M70" s="20" t="s">
        <v>24</v>
      </c>
      <c r="N70" s="21"/>
      <c r="O70" s="21"/>
      <c r="P70" s="22"/>
      <c r="Q70" s="23" t="str">
        <f t="shared" ca="1" si="1"/>
        <v>-</v>
      </c>
      <c r="R70" s="23"/>
    </row>
    <row r="71" spans="1:18" ht="23.25" customHeight="1">
      <c r="A71" s="12">
        <v>90</v>
      </c>
      <c r="B71" s="13" t="s">
        <v>230</v>
      </c>
      <c r="C71" s="14" t="s">
        <v>45</v>
      </c>
      <c r="D71" s="14" t="s">
        <v>26</v>
      </c>
      <c r="E71" s="14">
        <v>91.1</v>
      </c>
      <c r="F71" s="14">
        <v>81</v>
      </c>
      <c r="G71" s="42" t="s">
        <v>20</v>
      </c>
      <c r="H71" s="43" t="s">
        <v>231</v>
      </c>
      <c r="I71" s="17" t="s">
        <v>232</v>
      </c>
      <c r="J71" s="29">
        <v>45686</v>
      </c>
      <c r="K71" s="19" t="str">
        <f t="shared" si="0"/>
        <v>R - 90</v>
      </c>
      <c r="L71" s="20" t="s">
        <v>23</v>
      </c>
      <c r="M71" s="20" t="s">
        <v>24</v>
      </c>
      <c r="N71" s="21"/>
      <c r="O71" s="21"/>
      <c r="P71" s="31">
        <v>45983</v>
      </c>
      <c r="Q71" s="23" t="str">
        <f t="shared" ca="1" si="1"/>
        <v>16 días</v>
      </c>
      <c r="R71" s="23"/>
    </row>
    <row r="72" spans="1:18" ht="23.25" customHeight="1">
      <c r="A72" s="24">
        <v>93</v>
      </c>
      <c r="B72" s="13" t="s">
        <v>233</v>
      </c>
      <c r="C72" s="14" t="s">
        <v>63</v>
      </c>
      <c r="D72" s="14" t="s">
        <v>26</v>
      </c>
      <c r="E72" s="14">
        <v>96.7</v>
      </c>
      <c r="F72" s="14">
        <v>16</v>
      </c>
      <c r="G72" s="42" t="s">
        <v>20</v>
      </c>
      <c r="H72" s="16" t="s">
        <v>234</v>
      </c>
      <c r="I72" s="17" t="s">
        <v>235</v>
      </c>
      <c r="J72" s="18"/>
      <c r="K72" s="19" t="str">
        <f t="shared" si="0"/>
        <v>R - 93</v>
      </c>
      <c r="L72" s="20" t="s">
        <v>23</v>
      </c>
      <c r="M72" s="20" t="s">
        <v>24</v>
      </c>
      <c r="N72" s="21"/>
      <c r="O72" s="21"/>
      <c r="P72" s="22"/>
      <c r="Q72" s="23" t="str">
        <f t="shared" ca="1" si="1"/>
        <v>-</v>
      </c>
      <c r="R72" s="23"/>
    </row>
    <row r="73" spans="1:18" ht="23.25" customHeight="1">
      <c r="A73" s="24">
        <v>94</v>
      </c>
      <c r="B73" s="13" t="s">
        <v>236</v>
      </c>
      <c r="C73" s="14" t="s">
        <v>41</v>
      </c>
      <c r="D73" s="14" t="s">
        <v>26</v>
      </c>
      <c r="E73" s="14">
        <v>89.9</v>
      </c>
      <c r="F73" s="14">
        <v>83</v>
      </c>
      <c r="G73" s="42" t="s">
        <v>20</v>
      </c>
      <c r="H73" s="43" t="s">
        <v>237</v>
      </c>
      <c r="I73" s="17" t="s">
        <v>238</v>
      </c>
      <c r="J73" s="30" t="s">
        <v>239</v>
      </c>
      <c r="K73" s="19" t="str">
        <f t="shared" si="0"/>
        <v>R - 94</v>
      </c>
      <c r="L73" s="20" t="s">
        <v>23</v>
      </c>
      <c r="M73" s="20" t="s">
        <v>24</v>
      </c>
      <c r="N73" s="21"/>
      <c r="O73" s="21"/>
      <c r="P73" s="22"/>
      <c r="Q73" s="23" t="str">
        <f t="shared" ca="1" si="1"/>
        <v>-</v>
      </c>
      <c r="R73" s="23"/>
    </row>
    <row r="74" spans="1:18" ht="23.25" customHeight="1">
      <c r="A74" s="12">
        <v>96</v>
      </c>
      <c r="B74" s="13" t="s">
        <v>240</v>
      </c>
      <c r="C74" s="14" t="s">
        <v>63</v>
      </c>
      <c r="D74" s="14" t="s">
        <v>26</v>
      </c>
      <c r="E74" s="14">
        <v>101.5</v>
      </c>
      <c r="F74" s="14">
        <v>35</v>
      </c>
      <c r="G74" s="42" t="s">
        <v>20</v>
      </c>
      <c r="H74" s="43" t="s">
        <v>241</v>
      </c>
      <c r="I74" s="17" t="s">
        <v>242</v>
      </c>
      <c r="J74" s="18"/>
      <c r="K74" s="19" t="str">
        <f t="shared" si="0"/>
        <v>R - 96</v>
      </c>
      <c r="L74" s="20" t="s">
        <v>23</v>
      </c>
      <c r="M74" s="20" t="s">
        <v>24</v>
      </c>
      <c r="N74" s="21"/>
      <c r="O74" s="21"/>
      <c r="P74" s="22"/>
      <c r="Q74" s="23" t="str">
        <f t="shared" ca="1" si="1"/>
        <v>-</v>
      </c>
      <c r="R74" s="23"/>
    </row>
    <row r="75" spans="1:18" ht="23.25" customHeight="1">
      <c r="A75" s="24">
        <v>83</v>
      </c>
      <c r="B75" s="13" t="s">
        <v>243</v>
      </c>
      <c r="C75" s="14" t="s">
        <v>41</v>
      </c>
      <c r="D75" s="14" t="s">
        <v>19</v>
      </c>
      <c r="E75" s="14">
        <v>9</v>
      </c>
      <c r="F75" s="14">
        <v>26</v>
      </c>
      <c r="G75" s="42" t="s">
        <v>20</v>
      </c>
      <c r="H75" s="43" t="s">
        <v>244</v>
      </c>
      <c r="I75" s="17" t="s">
        <v>245</v>
      </c>
      <c r="J75" s="46"/>
      <c r="K75" s="19" t="str">
        <f t="shared" si="0"/>
        <v>R - 83</v>
      </c>
      <c r="L75" s="19"/>
      <c r="M75" s="19"/>
      <c r="N75" s="21"/>
      <c r="O75" s="21"/>
      <c r="P75" s="22"/>
      <c r="Q75" s="23" t="str">
        <f t="shared" ca="1" si="1"/>
        <v>-</v>
      </c>
      <c r="R75" s="23"/>
    </row>
    <row r="76" spans="1:18" ht="23.25" customHeight="1">
      <c r="A76" s="24">
        <v>98</v>
      </c>
      <c r="B76" s="13" t="s">
        <v>246</v>
      </c>
      <c r="C76" s="14" t="s">
        <v>41</v>
      </c>
      <c r="D76" s="14" t="s">
        <v>19</v>
      </c>
      <c r="E76" s="14">
        <v>10</v>
      </c>
      <c r="F76" s="14">
        <v>26</v>
      </c>
      <c r="G76" s="42" t="s">
        <v>20</v>
      </c>
      <c r="H76" s="16" t="s">
        <v>247</v>
      </c>
      <c r="I76" s="17" t="s">
        <v>248</v>
      </c>
      <c r="J76" s="30" t="s">
        <v>249</v>
      </c>
      <c r="K76" s="19" t="str">
        <f t="shared" si="0"/>
        <v>R - 98</v>
      </c>
      <c r="L76" s="20" t="s">
        <v>23</v>
      </c>
      <c r="M76" s="20" t="s">
        <v>24</v>
      </c>
      <c r="N76" s="21"/>
      <c r="O76" s="21"/>
      <c r="P76" s="22"/>
      <c r="Q76" s="23" t="str">
        <f t="shared" ca="1" si="1"/>
        <v>-</v>
      </c>
      <c r="R76" s="23"/>
    </row>
    <row r="77" spans="1:18" ht="23.25" customHeight="1">
      <c r="A77" s="12">
        <v>99</v>
      </c>
      <c r="B77" s="13" t="s">
        <v>250</v>
      </c>
      <c r="C77" s="14" t="s">
        <v>45</v>
      </c>
      <c r="D77" s="14" t="s">
        <v>26</v>
      </c>
      <c r="E77" s="14">
        <v>95.1</v>
      </c>
      <c r="F77" s="14">
        <v>53</v>
      </c>
      <c r="G77" s="42" t="s">
        <v>20</v>
      </c>
      <c r="H77" s="43" t="s">
        <v>251</v>
      </c>
      <c r="I77" s="17" t="s">
        <v>252</v>
      </c>
      <c r="J77" s="18"/>
      <c r="K77" s="19" t="str">
        <f t="shared" si="0"/>
        <v>R - 99</v>
      </c>
      <c r="L77" s="20" t="s">
        <v>23</v>
      </c>
      <c r="M77" s="20" t="s">
        <v>24</v>
      </c>
      <c r="N77" s="21"/>
      <c r="O77" s="21"/>
      <c r="P77" s="22"/>
      <c r="Q77" s="23" t="str">
        <f t="shared" ca="1" si="1"/>
        <v>-</v>
      </c>
      <c r="R77" s="23"/>
    </row>
    <row r="78" spans="1:18" ht="23.25" customHeight="1">
      <c r="A78" s="24">
        <v>100</v>
      </c>
      <c r="B78" s="13" t="s">
        <v>253</v>
      </c>
      <c r="C78" s="14" t="s">
        <v>41</v>
      </c>
      <c r="D78" s="14" t="s">
        <v>26</v>
      </c>
      <c r="E78" s="14">
        <v>95.3</v>
      </c>
      <c r="F78" s="14">
        <v>69</v>
      </c>
      <c r="G78" s="42" t="s">
        <v>20</v>
      </c>
      <c r="H78" s="43" t="s">
        <v>254</v>
      </c>
      <c r="I78" s="17" t="s">
        <v>255</v>
      </c>
      <c r="J78" s="18"/>
      <c r="K78" s="19" t="str">
        <f t="shared" si="0"/>
        <v>R - 100</v>
      </c>
      <c r="L78" s="20" t="s">
        <v>23</v>
      </c>
      <c r="M78" s="20" t="s">
        <v>24</v>
      </c>
      <c r="N78" s="21"/>
      <c r="O78" s="21"/>
      <c r="P78" s="22"/>
      <c r="Q78" s="23" t="str">
        <f t="shared" ca="1" si="1"/>
        <v>-</v>
      </c>
      <c r="R78" s="23"/>
    </row>
    <row r="79" spans="1:18" ht="23.25" customHeight="1">
      <c r="A79" s="24">
        <v>101</v>
      </c>
      <c r="B79" s="13" t="s">
        <v>256</v>
      </c>
      <c r="C79" s="14" t="s">
        <v>71</v>
      </c>
      <c r="D79" s="14" t="s">
        <v>19</v>
      </c>
      <c r="E79" s="14">
        <v>9</v>
      </c>
      <c r="F79" s="14">
        <v>82</v>
      </c>
      <c r="G79" s="42" t="s">
        <v>20</v>
      </c>
      <c r="H79" s="43" t="s">
        <v>257</v>
      </c>
      <c r="I79" s="17" t="s">
        <v>258</v>
      </c>
      <c r="J79" s="29"/>
      <c r="K79" s="19" t="str">
        <f t="shared" si="0"/>
        <v>R - 101</v>
      </c>
      <c r="L79" s="20" t="s">
        <v>23</v>
      </c>
      <c r="M79" s="20" t="s">
        <v>24</v>
      </c>
      <c r="N79" s="21"/>
      <c r="O79" s="21"/>
      <c r="P79" s="22"/>
      <c r="Q79" s="23" t="str">
        <f t="shared" ca="1" si="1"/>
        <v>-</v>
      </c>
      <c r="R79" s="23"/>
    </row>
    <row r="80" spans="1:18" ht="23.25" customHeight="1">
      <c r="A80" s="12">
        <v>102</v>
      </c>
      <c r="B80" s="13" t="s">
        <v>259</v>
      </c>
      <c r="C80" s="14" t="s">
        <v>18</v>
      </c>
      <c r="D80" s="14" t="s">
        <v>26</v>
      </c>
      <c r="E80" s="14">
        <v>91.7</v>
      </c>
      <c r="F80" s="14">
        <v>106</v>
      </c>
      <c r="G80" s="42" t="s">
        <v>20</v>
      </c>
      <c r="H80" s="43" t="s">
        <v>260</v>
      </c>
      <c r="I80" s="17" t="s">
        <v>261</v>
      </c>
      <c r="J80" s="18"/>
      <c r="K80" s="19" t="str">
        <f t="shared" si="0"/>
        <v>R - 102</v>
      </c>
      <c r="L80" s="20" t="s">
        <v>23</v>
      </c>
      <c r="M80" s="20" t="s">
        <v>24</v>
      </c>
      <c r="N80" s="21"/>
      <c r="O80" s="21"/>
      <c r="P80" s="22"/>
      <c r="Q80" s="23" t="str">
        <f t="shared" ca="1" si="1"/>
        <v>-</v>
      </c>
      <c r="R80" s="23"/>
    </row>
    <row r="81" spans="1:18" ht="23.25" customHeight="1">
      <c r="A81" s="24">
        <v>103</v>
      </c>
      <c r="B81" s="13" t="s">
        <v>259</v>
      </c>
      <c r="C81" s="14" t="s">
        <v>18</v>
      </c>
      <c r="D81" s="14" t="s">
        <v>19</v>
      </c>
      <c r="E81" s="14">
        <v>8</v>
      </c>
      <c r="F81" s="14">
        <v>106</v>
      </c>
      <c r="G81" s="42" t="s">
        <v>20</v>
      </c>
      <c r="H81" s="43" t="s">
        <v>260</v>
      </c>
      <c r="I81" s="17" t="s">
        <v>262</v>
      </c>
      <c r="J81" s="18"/>
      <c r="K81" s="19" t="str">
        <f t="shared" si="0"/>
        <v>R - 103</v>
      </c>
      <c r="L81" s="20" t="s">
        <v>23</v>
      </c>
      <c r="M81" s="20" t="s">
        <v>24</v>
      </c>
      <c r="N81" s="21"/>
      <c r="O81" s="21"/>
      <c r="P81" s="22"/>
      <c r="Q81" s="23" t="str">
        <f t="shared" ca="1" si="1"/>
        <v>-</v>
      </c>
      <c r="R81" s="23"/>
    </row>
    <row r="82" spans="1:18" ht="23.25" customHeight="1">
      <c r="A82" s="24">
        <v>104</v>
      </c>
      <c r="B82" s="13" t="s">
        <v>263</v>
      </c>
      <c r="C82" s="14" t="s">
        <v>45</v>
      </c>
      <c r="D82" s="14" t="s">
        <v>26</v>
      </c>
      <c r="E82" s="34">
        <v>98.1</v>
      </c>
      <c r="F82" s="14">
        <v>81</v>
      </c>
      <c r="G82" s="42" t="s">
        <v>20</v>
      </c>
      <c r="H82" s="16" t="s">
        <v>264</v>
      </c>
      <c r="I82" s="17" t="s">
        <v>265</v>
      </c>
      <c r="J82" s="18"/>
      <c r="K82" s="19" t="str">
        <f t="shared" si="0"/>
        <v>R - 104</v>
      </c>
      <c r="L82" s="20" t="s">
        <v>23</v>
      </c>
      <c r="M82" s="20" t="s">
        <v>24</v>
      </c>
      <c r="N82" s="21"/>
      <c r="O82" s="21"/>
      <c r="P82" s="22"/>
      <c r="Q82" s="23" t="str">
        <f t="shared" ca="1" si="1"/>
        <v>-</v>
      </c>
      <c r="R82" s="23"/>
    </row>
    <row r="83" spans="1:18" ht="23.25" customHeight="1">
      <c r="A83" s="12">
        <v>106</v>
      </c>
      <c r="B83" s="13" t="s">
        <v>266</v>
      </c>
      <c r="C83" s="14" t="s">
        <v>18</v>
      </c>
      <c r="D83" s="14" t="s">
        <v>26</v>
      </c>
      <c r="E83" s="14">
        <v>90.1</v>
      </c>
      <c r="F83" s="14">
        <v>142</v>
      </c>
      <c r="G83" s="42" t="s">
        <v>20</v>
      </c>
      <c r="H83" s="43" t="s">
        <v>267</v>
      </c>
      <c r="I83" s="17" t="s">
        <v>268</v>
      </c>
      <c r="J83" s="18"/>
      <c r="K83" s="19" t="str">
        <f t="shared" si="0"/>
        <v>R - 106</v>
      </c>
      <c r="L83" s="37"/>
      <c r="M83" s="37"/>
      <c r="N83" s="21"/>
      <c r="O83" s="21"/>
      <c r="P83" s="22"/>
      <c r="Q83" s="23" t="str">
        <f t="shared" ca="1" si="1"/>
        <v>-</v>
      </c>
      <c r="R83" s="23"/>
    </row>
    <row r="84" spans="1:18" ht="23.25" customHeight="1">
      <c r="A84" s="24">
        <v>107</v>
      </c>
      <c r="B84" s="13" t="s">
        <v>269</v>
      </c>
      <c r="C84" s="14" t="s">
        <v>45</v>
      </c>
      <c r="D84" s="14" t="s">
        <v>26</v>
      </c>
      <c r="E84" s="14">
        <v>98.5</v>
      </c>
      <c r="F84" s="14">
        <v>95</v>
      </c>
      <c r="G84" s="42" t="s">
        <v>20</v>
      </c>
      <c r="H84" s="43" t="s">
        <v>270</v>
      </c>
      <c r="I84" s="17" t="s">
        <v>271</v>
      </c>
      <c r="J84" s="29"/>
      <c r="K84" s="19" t="str">
        <f t="shared" si="0"/>
        <v>R - 107</v>
      </c>
      <c r="L84" s="20" t="s">
        <v>23</v>
      </c>
      <c r="M84" s="20" t="s">
        <v>24</v>
      </c>
      <c r="N84" s="21"/>
      <c r="O84" s="21"/>
      <c r="P84" s="22"/>
      <c r="Q84" s="23" t="str">
        <f t="shared" ca="1" si="1"/>
        <v>-</v>
      </c>
      <c r="R84" s="23"/>
    </row>
    <row r="85" spans="1:18" ht="23.25" customHeight="1">
      <c r="A85" s="24">
        <v>108</v>
      </c>
      <c r="B85" s="13" t="s">
        <v>272</v>
      </c>
      <c r="C85" s="14" t="s">
        <v>18</v>
      </c>
      <c r="D85" s="14" t="s">
        <v>26</v>
      </c>
      <c r="E85" s="14">
        <v>100.7</v>
      </c>
      <c r="F85" s="14">
        <v>90</v>
      </c>
      <c r="G85" s="42" t="s">
        <v>20</v>
      </c>
      <c r="H85" s="43" t="s">
        <v>273</v>
      </c>
      <c r="I85" s="17" t="s">
        <v>274</v>
      </c>
      <c r="J85" s="18"/>
      <c r="K85" s="19" t="str">
        <f t="shared" si="0"/>
        <v>R - 108</v>
      </c>
      <c r="L85" s="20" t="s">
        <v>23</v>
      </c>
      <c r="M85" s="20" t="s">
        <v>24</v>
      </c>
      <c r="N85" s="21"/>
      <c r="O85" s="21"/>
      <c r="P85" s="22"/>
      <c r="Q85" s="23" t="str">
        <f t="shared" ca="1" si="1"/>
        <v>-</v>
      </c>
      <c r="R85" s="23"/>
    </row>
    <row r="86" spans="1:18" ht="23.25" customHeight="1">
      <c r="A86" s="12">
        <v>109</v>
      </c>
      <c r="B86" s="13" t="s">
        <v>275</v>
      </c>
      <c r="C86" s="14" t="s">
        <v>63</v>
      </c>
      <c r="D86" s="14" t="s">
        <v>26</v>
      </c>
      <c r="E86" s="14">
        <v>93.9</v>
      </c>
      <c r="F86" s="14">
        <v>35</v>
      </c>
      <c r="G86" s="42" t="s">
        <v>20</v>
      </c>
      <c r="H86" s="43" t="s">
        <v>276</v>
      </c>
      <c r="I86" s="17" t="s">
        <v>277</v>
      </c>
      <c r="J86" s="18"/>
      <c r="K86" s="19" t="str">
        <f t="shared" si="0"/>
        <v>R - 109</v>
      </c>
      <c r="L86" s="20" t="s">
        <v>23</v>
      </c>
      <c r="M86" s="20" t="s">
        <v>24</v>
      </c>
      <c r="N86" s="21"/>
      <c r="O86" s="21"/>
      <c r="P86" s="22"/>
      <c r="Q86" s="23" t="str">
        <f t="shared" ca="1" si="1"/>
        <v>-</v>
      </c>
      <c r="R86" s="23"/>
    </row>
    <row r="87" spans="1:18" ht="23.25" customHeight="1">
      <c r="A87" s="24">
        <v>111</v>
      </c>
      <c r="B87" s="13" t="s">
        <v>278</v>
      </c>
      <c r="C87" s="14" t="s">
        <v>63</v>
      </c>
      <c r="D87" s="14" t="s">
        <v>26</v>
      </c>
      <c r="E87" s="14">
        <v>91.1</v>
      </c>
      <c r="F87" s="14">
        <v>35</v>
      </c>
      <c r="G87" s="42" t="s">
        <v>20</v>
      </c>
      <c r="H87" s="16" t="s">
        <v>279</v>
      </c>
      <c r="I87" s="17" t="s">
        <v>280</v>
      </c>
      <c r="J87" s="18"/>
      <c r="K87" s="19" t="str">
        <f t="shared" si="0"/>
        <v>R - 111</v>
      </c>
      <c r="L87" s="20" t="s">
        <v>23</v>
      </c>
      <c r="M87" s="20" t="s">
        <v>24</v>
      </c>
      <c r="N87" s="21"/>
      <c r="O87" s="21"/>
      <c r="P87" s="22"/>
      <c r="Q87" s="23" t="str">
        <f t="shared" ca="1" si="1"/>
        <v>-</v>
      </c>
      <c r="R87" s="23"/>
    </row>
    <row r="88" spans="1:18" ht="23.25" customHeight="1">
      <c r="A88" s="24">
        <v>112</v>
      </c>
      <c r="B88" s="13" t="s">
        <v>281</v>
      </c>
      <c r="C88" s="14" t="s">
        <v>63</v>
      </c>
      <c r="D88" s="14" t="s">
        <v>31</v>
      </c>
      <c r="E88" s="14">
        <v>15</v>
      </c>
      <c r="F88" s="14">
        <v>35</v>
      </c>
      <c r="G88" s="42" t="s">
        <v>20</v>
      </c>
      <c r="H88" s="43" t="s">
        <v>279</v>
      </c>
      <c r="I88" s="17" t="s">
        <v>280</v>
      </c>
      <c r="J88" s="18"/>
      <c r="K88" s="19" t="str">
        <f t="shared" si="0"/>
        <v>R - 112</v>
      </c>
      <c r="L88" s="20" t="s">
        <v>23</v>
      </c>
      <c r="M88" s="20" t="s">
        <v>24</v>
      </c>
      <c r="N88" s="21"/>
      <c r="O88" s="21"/>
      <c r="P88" s="22"/>
      <c r="Q88" s="23" t="str">
        <f t="shared" ca="1" si="1"/>
        <v>-</v>
      </c>
      <c r="R88" s="23"/>
    </row>
    <row r="89" spans="1:18" ht="23.25" customHeight="1">
      <c r="A89" s="12">
        <v>113</v>
      </c>
      <c r="B89" s="13" t="s">
        <v>282</v>
      </c>
      <c r="C89" s="34" t="s">
        <v>71</v>
      </c>
      <c r="D89" s="14" t="s">
        <v>26</v>
      </c>
      <c r="E89" s="34" t="s">
        <v>283</v>
      </c>
      <c r="F89" s="34">
        <v>102</v>
      </c>
      <c r="G89" s="42" t="s">
        <v>20</v>
      </c>
      <c r="H89" s="43" t="s">
        <v>284</v>
      </c>
      <c r="I89" s="17" t="s">
        <v>285</v>
      </c>
      <c r="J89" s="47"/>
      <c r="K89" s="19" t="str">
        <f t="shared" si="0"/>
        <v>R - 113</v>
      </c>
      <c r="L89" s="20" t="s">
        <v>23</v>
      </c>
      <c r="M89" s="20" t="s">
        <v>24</v>
      </c>
      <c r="N89" s="21"/>
      <c r="O89" s="21"/>
      <c r="P89" s="22"/>
      <c r="Q89" s="23" t="str">
        <f t="shared" ca="1" si="1"/>
        <v>-</v>
      </c>
      <c r="R89" s="23"/>
    </row>
    <row r="90" spans="1:18" ht="23.25" customHeight="1">
      <c r="A90" s="24">
        <v>114</v>
      </c>
      <c r="B90" s="13" t="s">
        <v>286</v>
      </c>
      <c r="C90" s="14" t="s">
        <v>71</v>
      </c>
      <c r="D90" s="14" t="s">
        <v>26</v>
      </c>
      <c r="E90" s="14">
        <v>98.1</v>
      </c>
      <c r="F90" s="14">
        <v>102</v>
      </c>
      <c r="G90" s="42" t="s">
        <v>20</v>
      </c>
      <c r="H90" s="43" t="s">
        <v>287</v>
      </c>
      <c r="I90" s="17" t="s">
        <v>288</v>
      </c>
      <c r="J90" s="18"/>
      <c r="K90" s="19" t="str">
        <f t="shared" si="0"/>
        <v>R - 114</v>
      </c>
      <c r="L90" s="20" t="s">
        <v>23</v>
      </c>
      <c r="M90" s="20" t="s">
        <v>24</v>
      </c>
      <c r="N90" s="26"/>
      <c r="O90" s="26"/>
      <c r="P90" s="27"/>
      <c r="Q90" s="23" t="str">
        <f t="shared" ca="1" si="1"/>
        <v>-</v>
      </c>
      <c r="R90" s="23"/>
    </row>
    <row r="91" spans="1:18" ht="23.25" customHeight="1">
      <c r="A91" s="24">
        <v>115</v>
      </c>
      <c r="B91" s="13" t="s">
        <v>289</v>
      </c>
      <c r="C91" s="14" t="s">
        <v>41</v>
      </c>
      <c r="D91" s="14" t="s">
        <v>26</v>
      </c>
      <c r="E91" s="14" t="s">
        <v>290</v>
      </c>
      <c r="F91" s="14">
        <v>26</v>
      </c>
      <c r="G91" s="42" t="s">
        <v>20</v>
      </c>
      <c r="H91" s="43" t="s">
        <v>291</v>
      </c>
      <c r="I91" s="17" t="s">
        <v>292</v>
      </c>
      <c r="J91" s="18"/>
      <c r="K91" s="19" t="str">
        <f t="shared" si="0"/>
        <v>R - 115</v>
      </c>
      <c r="L91" s="20" t="s">
        <v>23</v>
      </c>
      <c r="M91" s="20" t="s">
        <v>24</v>
      </c>
      <c r="N91" s="26"/>
      <c r="O91" s="26"/>
      <c r="P91" s="27"/>
      <c r="Q91" s="23" t="str">
        <f t="shared" ca="1" si="1"/>
        <v>-</v>
      </c>
      <c r="R91" s="23"/>
    </row>
    <row r="92" spans="1:18" ht="23.25" customHeight="1">
      <c r="A92" s="12">
        <v>116</v>
      </c>
      <c r="B92" s="13" t="s">
        <v>293</v>
      </c>
      <c r="C92" s="14" t="s">
        <v>45</v>
      </c>
      <c r="D92" s="14" t="s">
        <v>19</v>
      </c>
      <c r="E92" s="14">
        <v>9</v>
      </c>
      <c r="F92" s="14">
        <v>12</v>
      </c>
      <c r="G92" s="42" t="s">
        <v>20</v>
      </c>
      <c r="H92" s="43" t="s">
        <v>294</v>
      </c>
      <c r="I92" s="17" t="s">
        <v>295</v>
      </c>
      <c r="J92" s="18"/>
      <c r="K92" s="19" t="str">
        <f t="shared" si="0"/>
        <v>R - 116</v>
      </c>
      <c r="L92" s="20" t="s">
        <v>23</v>
      </c>
      <c r="M92" s="20" t="s">
        <v>24</v>
      </c>
      <c r="N92" s="21"/>
      <c r="O92" s="21"/>
      <c r="P92" s="22"/>
      <c r="Q92" s="23" t="str">
        <f t="shared" ca="1" si="1"/>
        <v>-</v>
      </c>
      <c r="R92" s="23"/>
    </row>
    <row r="93" spans="1:18" ht="23.25" customHeight="1">
      <c r="A93" s="24">
        <v>117</v>
      </c>
      <c r="B93" s="13" t="s">
        <v>296</v>
      </c>
      <c r="C93" s="14" t="s">
        <v>45</v>
      </c>
      <c r="D93" s="14" t="s">
        <v>26</v>
      </c>
      <c r="E93" s="14">
        <v>106.9</v>
      </c>
      <c r="F93" s="14">
        <v>12</v>
      </c>
      <c r="G93" s="42" t="s">
        <v>20</v>
      </c>
      <c r="H93" s="43" t="s">
        <v>294</v>
      </c>
      <c r="I93" s="17" t="s">
        <v>297</v>
      </c>
      <c r="J93" s="18"/>
      <c r="K93" s="19" t="str">
        <f t="shared" si="0"/>
        <v>R - 117</v>
      </c>
      <c r="L93" s="20" t="s">
        <v>23</v>
      </c>
      <c r="M93" s="20" t="s">
        <v>24</v>
      </c>
      <c r="N93" s="26"/>
      <c r="O93" s="26"/>
      <c r="P93" s="27"/>
      <c r="Q93" s="23" t="str">
        <f t="shared" ca="1" si="1"/>
        <v>-</v>
      </c>
      <c r="R93" s="23"/>
    </row>
    <row r="94" spans="1:18" ht="23.25" customHeight="1">
      <c r="A94" s="24">
        <v>118</v>
      </c>
      <c r="B94" s="13" t="s">
        <v>298</v>
      </c>
      <c r="C94" s="14" t="s">
        <v>63</v>
      </c>
      <c r="D94" s="14" t="s">
        <v>26</v>
      </c>
      <c r="E94" s="14">
        <v>95.7</v>
      </c>
      <c r="F94" s="14">
        <v>73</v>
      </c>
      <c r="G94" s="48" t="s">
        <v>20</v>
      </c>
      <c r="H94" s="43" t="s">
        <v>299</v>
      </c>
      <c r="I94" s="35" t="s">
        <v>300</v>
      </c>
      <c r="J94" s="41"/>
      <c r="K94" s="19" t="str">
        <f t="shared" si="0"/>
        <v>R - 118</v>
      </c>
      <c r="L94" s="20" t="s">
        <v>23</v>
      </c>
      <c r="M94" s="20" t="s">
        <v>24</v>
      </c>
      <c r="N94" s="26"/>
      <c r="O94" s="26"/>
      <c r="P94" s="27"/>
      <c r="Q94" s="23" t="str">
        <f t="shared" ca="1" si="1"/>
        <v>-</v>
      </c>
      <c r="R94" s="23"/>
    </row>
    <row r="95" spans="1:18" ht="23.25" customHeight="1">
      <c r="A95" s="12">
        <v>119</v>
      </c>
      <c r="B95" s="13" t="s">
        <v>301</v>
      </c>
      <c r="C95" s="14" t="s">
        <v>71</v>
      </c>
      <c r="D95" s="14" t="s">
        <v>31</v>
      </c>
      <c r="E95" s="14">
        <v>33</v>
      </c>
      <c r="F95" s="14">
        <v>10</v>
      </c>
      <c r="G95" s="42" t="s">
        <v>20</v>
      </c>
      <c r="H95" s="43" t="s">
        <v>302</v>
      </c>
      <c r="I95" s="17" t="s">
        <v>303</v>
      </c>
      <c r="J95" s="18"/>
      <c r="K95" s="19" t="str">
        <f t="shared" si="0"/>
        <v>R - 119</v>
      </c>
      <c r="L95" s="20" t="s">
        <v>23</v>
      </c>
      <c r="M95" s="20" t="s">
        <v>24</v>
      </c>
      <c r="N95" s="21"/>
      <c r="O95" s="21"/>
      <c r="P95" s="22"/>
      <c r="Q95" s="23" t="str">
        <f t="shared" ca="1" si="1"/>
        <v>-</v>
      </c>
      <c r="R95" s="23"/>
    </row>
    <row r="96" spans="1:18" ht="23.25" customHeight="1">
      <c r="A96" s="24">
        <v>120</v>
      </c>
      <c r="B96" s="13" t="s">
        <v>301</v>
      </c>
      <c r="C96" s="34" t="s">
        <v>71</v>
      </c>
      <c r="D96" s="14" t="s">
        <v>26</v>
      </c>
      <c r="E96" s="34" t="s">
        <v>304</v>
      </c>
      <c r="F96" s="34">
        <v>10</v>
      </c>
      <c r="G96" s="42" t="s">
        <v>20</v>
      </c>
      <c r="H96" s="43" t="s">
        <v>302</v>
      </c>
      <c r="I96" s="17" t="s">
        <v>303</v>
      </c>
      <c r="J96" s="29"/>
      <c r="K96" s="19" t="str">
        <f t="shared" si="0"/>
        <v>R - 120</v>
      </c>
      <c r="L96" s="20" t="s">
        <v>23</v>
      </c>
      <c r="M96" s="20" t="s">
        <v>24</v>
      </c>
      <c r="N96" s="21"/>
      <c r="O96" s="21"/>
      <c r="P96" s="22"/>
      <c r="Q96" s="23" t="str">
        <f t="shared" ca="1" si="1"/>
        <v>-</v>
      </c>
      <c r="R96" s="23"/>
    </row>
    <row r="97" spans="1:18" ht="23.25" customHeight="1">
      <c r="A97" s="24">
        <v>121</v>
      </c>
      <c r="B97" s="13" t="s">
        <v>305</v>
      </c>
      <c r="C97" s="14" t="s">
        <v>305</v>
      </c>
      <c r="D97" s="14" t="s">
        <v>31</v>
      </c>
      <c r="E97" s="14">
        <v>34</v>
      </c>
      <c r="F97" s="14">
        <v>61</v>
      </c>
      <c r="G97" s="42" t="s">
        <v>20</v>
      </c>
      <c r="H97" s="16" t="s">
        <v>306</v>
      </c>
      <c r="I97" s="17" t="s">
        <v>307</v>
      </c>
      <c r="J97" s="18"/>
      <c r="K97" s="19" t="str">
        <f t="shared" si="0"/>
        <v>R - 121</v>
      </c>
      <c r="L97" s="20" t="s">
        <v>23</v>
      </c>
      <c r="M97" s="20" t="s">
        <v>24</v>
      </c>
      <c r="N97" s="21"/>
      <c r="O97" s="21"/>
      <c r="P97" s="22"/>
      <c r="Q97" s="23" t="str">
        <f t="shared" ca="1" si="1"/>
        <v>-</v>
      </c>
      <c r="R97" s="23"/>
    </row>
    <row r="98" spans="1:18" ht="23.25" customHeight="1">
      <c r="A98" s="12">
        <v>122</v>
      </c>
      <c r="B98" s="13" t="s">
        <v>305</v>
      </c>
      <c r="C98" s="14" t="s">
        <v>305</v>
      </c>
      <c r="D98" s="14" t="s">
        <v>26</v>
      </c>
      <c r="E98" s="14">
        <v>102.1</v>
      </c>
      <c r="F98" s="14">
        <v>61</v>
      </c>
      <c r="G98" s="42" t="s">
        <v>20</v>
      </c>
      <c r="H98" s="43" t="s">
        <v>306</v>
      </c>
      <c r="I98" s="17" t="s">
        <v>307</v>
      </c>
      <c r="J98" s="30"/>
      <c r="K98" s="19" t="str">
        <f t="shared" si="0"/>
        <v>R - 122</v>
      </c>
      <c r="L98" s="20" t="s">
        <v>23</v>
      </c>
      <c r="M98" s="20" t="s">
        <v>24</v>
      </c>
      <c r="N98" s="21"/>
      <c r="O98" s="21"/>
      <c r="P98" s="22"/>
      <c r="Q98" s="23" t="str">
        <f t="shared" ca="1" si="1"/>
        <v>-</v>
      </c>
      <c r="R98" s="23"/>
    </row>
    <row r="99" spans="1:18" ht="23.25" customHeight="1">
      <c r="A99" s="24">
        <v>123</v>
      </c>
      <c r="B99" s="13" t="s">
        <v>308</v>
      </c>
      <c r="C99" s="14" t="s">
        <v>71</v>
      </c>
      <c r="D99" s="14" t="s">
        <v>26</v>
      </c>
      <c r="E99" s="14">
        <v>98.1</v>
      </c>
      <c r="F99" s="14">
        <v>82</v>
      </c>
      <c r="G99" s="42" t="s">
        <v>20</v>
      </c>
      <c r="H99" s="43" t="s">
        <v>309</v>
      </c>
      <c r="I99" s="17" t="s">
        <v>310</v>
      </c>
      <c r="J99" s="18"/>
      <c r="K99" s="19" t="str">
        <f t="shared" si="0"/>
        <v>R - 123</v>
      </c>
      <c r="L99" s="20" t="s">
        <v>23</v>
      </c>
      <c r="M99" s="20" t="s">
        <v>24</v>
      </c>
      <c r="N99" s="21"/>
      <c r="O99" s="21"/>
      <c r="P99" s="22"/>
      <c r="Q99" s="23" t="str">
        <f t="shared" ca="1" si="1"/>
        <v>-</v>
      </c>
      <c r="R99" s="23"/>
    </row>
    <row r="100" spans="1:18" ht="23.25" customHeight="1">
      <c r="A100" s="24">
        <v>124</v>
      </c>
      <c r="B100" s="13" t="s">
        <v>311</v>
      </c>
      <c r="C100" s="14" t="s">
        <v>71</v>
      </c>
      <c r="D100" s="14" t="s">
        <v>26</v>
      </c>
      <c r="E100" s="14">
        <v>99.5</v>
      </c>
      <c r="F100" s="14">
        <v>56</v>
      </c>
      <c r="G100" s="42" t="s">
        <v>20</v>
      </c>
      <c r="H100" s="16" t="s">
        <v>312</v>
      </c>
      <c r="I100" s="35" t="s">
        <v>313</v>
      </c>
      <c r="J100" s="41"/>
      <c r="K100" s="19" t="str">
        <f t="shared" si="0"/>
        <v>R - 124</v>
      </c>
      <c r="L100" s="20" t="s">
        <v>23</v>
      </c>
      <c r="M100" s="20" t="s">
        <v>24</v>
      </c>
      <c r="N100" s="21"/>
      <c r="O100" s="21"/>
      <c r="P100" s="22"/>
      <c r="Q100" s="23" t="str">
        <f t="shared" ca="1" si="1"/>
        <v>-</v>
      </c>
      <c r="R100" s="23"/>
    </row>
    <row r="101" spans="1:18" ht="23.25" customHeight="1">
      <c r="A101" s="12">
        <v>125</v>
      </c>
      <c r="B101" s="13" t="s">
        <v>314</v>
      </c>
      <c r="C101" s="14" t="s">
        <v>45</v>
      </c>
      <c r="D101" s="14" t="s">
        <v>26</v>
      </c>
      <c r="E101" s="14">
        <v>107.7</v>
      </c>
      <c r="F101" s="14">
        <v>144</v>
      </c>
      <c r="G101" s="42" t="s">
        <v>20</v>
      </c>
      <c r="H101" s="16" t="s">
        <v>315</v>
      </c>
      <c r="I101" s="17" t="s">
        <v>316</v>
      </c>
      <c r="J101" s="18"/>
      <c r="K101" s="19" t="str">
        <f t="shared" si="0"/>
        <v>R - 125</v>
      </c>
      <c r="L101" s="20" t="s">
        <v>23</v>
      </c>
      <c r="M101" s="20" t="s">
        <v>24</v>
      </c>
      <c r="N101" s="21"/>
      <c r="O101" s="21"/>
      <c r="P101" s="22"/>
      <c r="Q101" s="23" t="str">
        <f t="shared" ca="1" si="1"/>
        <v>-</v>
      </c>
      <c r="R101" s="23"/>
    </row>
    <row r="102" spans="1:18" ht="23.25" customHeight="1">
      <c r="A102" s="24">
        <v>127</v>
      </c>
      <c r="B102" s="13" t="s">
        <v>317</v>
      </c>
      <c r="C102" s="14" t="s">
        <v>96</v>
      </c>
      <c r="D102" s="14" t="s">
        <v>26</v>
      </c>
      <c r="E102" s="14">
        <v>107.3</v>
      </c>
      <c r="F102" s="14">
        <v>4</v>
      </c>
      <c r="G102" s="42" t="s">
        <v>20</v>
      </c>
      <c r="H102" s="43" t="s">
        <v>318</v>
      </c>
      <c r="I102" s="17" t="s">
        <v>319</v>
      </c>
      <c r="J102" s="30"/>
      <c r="K102" s="19" t="str">
        <f t="shared" si="0"/>
        <v>R - 127</v>
      </c>
      <c r="L102" s="20" t="s">
        <v>23</v>
      </c>
      <c r="M102" s="20" t="s">
        <v>24</v>
      </c>
      <c r="N102" s="21"/>
      <c r="O102" s="21"/>
      <c r="P102" s="22"/>
      <c r="Q102" s="23" t="str">
        <f t="shared" ca="1" si="1"/>
        <v>-</v>
      </c>
      <c r="R102" s="23"/>
    </row>
    <row r="103" spans="1:18" ht="23.25" customHeight="1">
      <c r="A103" s="24">
        <v>128</v>
      </c>
      <c r="B103" s="13" t="s">
        <v>320</v>
      </c>
      <c r="C103" s="14" t="s">
        <v>305</v>
      </c>
      <c r="D103" s="14" t="s">
        <v>26</v>
      </c>
      <c r="E103" s="14">
        <v>104.9</v>
      </c>
      <c r="F103" s="14">
        <v>61</v>
      </c>
      <c r="G103" s="42" t="s">
        <v>20</v>
      </c>
      <c r="H103" s="16" t="s">
        <v>321</v>
      </c>
      <c r="I103" s="17" t="s">
        <v>322</v>
      </c>
      <c r="J103" s="30"/>
      <c r="K103" s="19" t="str">
        <f t="shared" si="0"/>
        <v>R - 128</v>
      </c>
      <c r="L103" s="19"/>
      <c r="M103" s="19"/>
      <c r="N103" s="21"/>
      <c r="O103" s="21"/>
      <c r="P103" s="22"/>
      <c r="Q103" s="23" t="str">
        <f t="shared" ca="1" si="1"/>
        <v>-</v>
      </c>
      <c r="R103" s="23"/>
    </row>
    <row r="104" spans="1:18" ht="23.25" customHeight="1">
      <c r="A104" s="12">
        <v>129</v>
      </c>
      <c r="B104" s="13" t="s">
        <v>323</v>
      </c>
      <c r="C104" s="14" t="s">
        <v>305</v>
      </c>
      <c r="D104" s="14" t="s">
        <v>26</v>
      </c>
      <c r="E104" s="14">
        <v>103.3</v>
      </c>
      <c r="F104" s="14">
        <v>61</v>
      </c>
      <c r="G104" s="42" t="s">
        <v>20</v>
      </c>
      <c r="H104" s="43" t="s">
        <v>324</v>
      </c>
      <c r="I104" s="17" t="s">
        <v>325</v>
      </c>
      <c r="J104" s="18"/>
      <c r="K104" s="19" t="str">
        <f t="shared" si="0"/>
        <v>R - 129</v>
      </c>
      <c r="L104" s="20" t="s">
        <v>23</v>
      </c>
      <c r="M104" s="20" t="s">
        <v>24</v>
      </c>
      <c r="N104" s="21"/>
      <c r="O104" s="21"/>
      <c r="P104" s="22"/>
      <c r="Q104" s="23" t="str">
        <f t="shared" ca="1" si="1"/>
        <v>-</v>
      </c>
      <c r="R104" s="23"/>
    </row>
    <row r="105" spans="1:18" ht="23.25" customHeight="1">
      <c r="A105" s="24">
        <v>1</v>
      </c>
      <c r="B105" s="38" t="s">
        <v>326</v>
      </c>
      <c r="C105" s="14" t="s">
        <v>45</v>
      </c>
      <c r="D105" s="14" t="s">
        <v>19</v>
      </c>
      <c r="E105" s="14">
        <v>9</v>
      </c>
      <c r="F105" s="14">
        <v>12</v>
      </c>
      <c r="G105" s="45" t="s">
        <v>223</v>
      </c>
      <c r="H105" s="49" t="s">
        <v>327</v>
      </c>
      <c r="I105" s="50" t="s">
        <v>328</v>
      </c>
      <c r="J105" s="51" t="s">
        <v>329</v>
      </c>
      <c r="K105" s="19" t="str">
        <f t="shared" si="0"/>
        <v>R - 1</v>
      </c>
      <c r="L105" s="20" t="s">
        <v>23</v>
      </c>
      <c r="M105" s="20" t="s">
        <v>330</v>
      </c>
      <c r="N105" s="32"/>
      <c r="O105" s="32">
        <v>1850</v>
      </c>
      <c r="P105" s="33">
        <v>45596</v>
      </c>
      <c r="Q105" s="23" t="str">
        <f t="shared" ca="1" si="1"/>
        <v>1 año con 1 mes y 7 días</v>
      </c>
      <c r="R105" s="23"/>
    </row>
    <row r="106" spans="1:18" ht="23.25" customHeight="1">
      <c r="A106" s="24">
        <v>2</v>
      </c>
      <c r="B106" s="38" t="s">
        <v>326</v>
      </c>
      <c r="C106" s="14" t="s">
        <v>45</v>
      </c>
      <c r="D106" s="14" t="s">
        <v>26</v>
      </c>
      <c r="E106" s="14">
        <v>94.9</v>
      </c>
      <c r="F106" s="14">
        <v>12</v>
      </c>
      <c r="G106" s="45" t="s">
        <v>223</v>
      </c>
      <c r="H106" s="43" t="s">
        <v>327</v>
      </c>
      <c r="I106" s="52" t="s">
        <v>331</v>
      </c>
      <c r="J106" s="49"/>
      <c r="K106" s="19" t="str">
        <f t="shared" si="0"/>
        <v>R - 2</v>
      </c>
      <c r="L106" s="20" t="s">
        <v>23</v>
      </c>
      <c r="M106" s="20" t="s">
        <v>24</v>
      </c>
      <c r="N106" s="21"/>
      <c r="O106" s="21"/>
      <c r="P106" s="33">
        <v>45973</v>
      </c>
      <c r="Q106" s="23" t="str">
        <f t="shared" ca="1" si="1"/>
        <v>26 días</v>
      </c>
      <c r="R106" s="23"/>
    </row>
    <row r="107" spans="1:18" ht="23.25" customHeight="1">
      <c r="A107" s="12">
        <v>26</v>
      </c>
      <c r="B107" s="13" t="s">
        <v>332</v>
      </c>
      <c r="C107" s="14" t="s">
        <v>45</v>
      </c>
      <c r="D107" s="14" t="s">
        <v>26</v>
      </c>
      <c r="E107" s="14">
        <v>104.9</v>
      </c>
      <c r="F107" s="14">
        <v>59</v>
      </c>
      <c r="G107" s="42" t="s">
        <v>20</v>
      </c>
      <c r="H107" s="43" t="s">
        <v>333</v>
      </c>
      <c r="I107" s="17" t="s">
        <v>334</v>
      </c>
      <c r="J107" s="18"/>
      <c r="K107" s="19" t="str">
        <f t="shared" si="0"/>
        <v>R - 26</v>
      </c>
      <c r="L107" s="20" t="s">
        <v>23</v>
      </c>
      <c r="M107" s="20" t="s">
        <v>24</v>
      </c>
      <c r="N107" s="21"/>
      <c r="O107" s="21"/>
      <c r="P107" s="22"/>
      <c r="Q107" s="23" t="str">
        <f t="shared" ca="1" si="1"/>
        <v>-</v>
      </c>
      <c r="R107" s="23"/>
    </row>
    <row r="108" spans="1:18" ht="23.25" customHeight="1">
      <c r="A108" s="24">
        <v>27</v>
      </c>
      <c r="B108" s="13" t="s">
        <v>335</v>
      </c>
      <c r="C108" s="14" t="s">
        <v>63</v>
      </c>
      <c r="D108" s="14" t="s">
        <v>26</v>
      </c>
      <c r="E108" s="14">
        <v>101.9</v>
      </c>
      <c r="F108" s="14">
        <v>35</v>
      </c>
      <c r="G108" s="45" t="s">
        <v>223</v>
      </c>
      <c r="H108" s="43" t="s">
        <v>336</v>
      </c>
      <c r="I108" s="17" t="s">
        <v>337</v>
      </c>
      <c r="J108" s="30" t="s">
        <v>338</v>
      </c>
      <c r="K108" s="19" t="str">
        <f t="shared" si="0"/>
        <v>R - 27</v>
      </c>
      <c r="L108" s="20" t="s">
        <v>23</v>
      </c>
      <c r="M108" s="20" t="s">
        <v>24</v>
      </c>
      <c r="N108" s="21"/>
      <c r="O108" s="21"/>
      <c r="P108" s="31">
        <v>45974</v>
      </c>
      <c r="Q108" s="23" t="str">
        <f t="shared" ca="1" si="1"/>
        <v>25 días</v>
      </c>
      <c r="R108" s="23"/>
    </row>
    <row r="109" spans="1:18" ht="23.25" customHeight="1">
      <c r="A109" s="24">
        <v>33</v>
      </c>
      <c r="B109" s="13" t="s">
        <v>104</v>
      </c>
      <c r="C109" s="14" t="s">
        <v>45</v>
      </c>
      <c r="D109" s="14" t="s">
        <v>31</v>
      </c>
      <c r="E109" s="14">
        <v>23</v>
      </c>
      <c r="F109" s="14">
        <v>53</v>
      </c>
      <c r="G109" s="45" t="s">
        <v>223</v>
      </c>
      <c r="H109" s="43" t="s">
        <v>105</v>
      </c>
      <c r="I109" s="17" t="s">
        <v>339</v>
      </c>
      <c r="J109" s="29"/>
      <c r="K109" s="19" t="str">
        <f t="shared" si="0"/>
        <v>R - 33</v>
      </c>
      <c r="L109" s="37"/>
      <c r="M109" s="37"/>
      <c r="N109" s="26"/>
      <c r="O109" s="26"/>
      <c r="P109" s="33">
        <v>45964</v>
      </c>
      <c r="Q109" s="23" t="str">
        <f t="shared" ca="1" si="1"/>
        <v>1 mes y 5 días</v>
      </c>
      <c r="R109" s="23"/>
    </row>
    <row r="110" spans="1:18" ht="23.25" customHeight="1">
      <c r="A110" s="12">
        <v>36</v>
      </c>
      <c r="B110" s="13" t="s">
        <v>340</v>
      </c>
      <c r="C110" s="14" t="s">
        <v>41</v>
      </c>
      <c r="D110" s="14" t="s">
        <v>26</v>
      </c>
      <c r="E110" s="14">
        <v>101.7</v>
      </c>
      <c r="F110" s="14">
        <v>69</v>
      </c>
      <c r="G110" s="45" t="s">
        <v>223</v>
      </c>
      <c r="H110" s="43" t="s">
        <v>341</v>
      </c>
      <c r="I110" s="17" t="s">
        <v>342</v>
      </c>
      <c r="J110" s="36" t="s">
        <v>338</v>
      </c>
      <c r="K110" s="19" t="str">
        <f t="shared" si="0"/>
        <v>R - 36</v>
      </c>
      <c r="L110" s="20" t="s">
        <v>23</v>
      </c>
      <c r="M110" s="20" t="s">
        <v>24</v>
      </c>
      <c r="N110" s="21"/>
      <c r="O110" s="21"/>
      <c r="P110" s="31">
        <v>45983</v>
      </c>
      <c r="Q110" s="23" t="str">
        <f t="shared" ca="1" si="1"/>
        <v>16 días</v>
      </c>
      <c r="R110" s="23"/>
    </row>
    <row r="111" spans="1:18" ht="23.25" customHeight="1">
      <c r="A111" s="24">
        <v>40</v>
      </c>
      <c r="B111" s="13" t="s">
        <v>343</v>
      </c>
      <c r="C111" s="14" t="s">
        <v>30</v>
      </c>
      <c r="D111" s="14" t="s">
        <v>26</v>
      </c>
      <c r="E111" s="14">
        <v>92.3</v>
      </c>
      <c r="F111" s="14">
        <v>33</v>
      </c>
      <c r="G111" s="45" t="s">
        <v>223</v>
      </c>
      <c r="H111" s="43" t="s">
        <v>344</v>
      </c>
      <c r="I111" s="17" t="s">
        <v>345</v>
      </c>
      <c r="J111" s="18"/>
      <c r="K111" s="19" t="str">
        <f t="shared" si="0"/>
        <v>R - 40</v>
      </c>
      <c r="L111" s="37"/>
      <c r="M111" s="37"/>
      <c r="N111" s="21"/>
      <c r="O111" s="21"/>
      <c r="P111" s="31">
        <v>45973</v>
      </c>
      <c r="Q111" s="23" t="str">
        <f t="shared" ca="1" si="1"/>
        <v>26 días</v>
      </c>
      <c r="R111" s="23"/>
    </row>
    <row r="112" spans="1:18" ht="23.25" customHeight="1">
      <c r="A112" s="24">
        <v>41</v>
      </c>
      <c r="B112" s="13" t="s">
        <v>346</v>
      </c>
      <c r="C112" s="14" t="s">
        <v>41</v>
      </c>
      <c r="D112" s="14" t="s">
        <v>26</v>
      </c>
      <c r="E112" s="14">
        <v>100.5</v>
      </c>
      <c r="F112" s="14">
        <v>69</v>
      </c>
      <c r="G112" s="45" t="s">
        <v>223</v>
      </c>
      <c r="H112" s="43" t="s">
        <v>347</v>
      </c>
      <c r="I112" s="17" t="s">
        <v>348</v>
      </c>
      <c r="J112" s="30" t="s">
        <v>349</v>
      </c>
      <c r="K112" s="19" t="str">
        <f t="shared" si="0"/>
        <v>R - 41</v>
      </c>
      <c r="L112" s="19"/>
      <c r="M112" s="19"/>
      <c r="N112" s="21"/>
      <c r="O112" s="21"/>
      <c r="P112" s="31">
        <v>45945</v>
      </c>
      <c r="Q112" s="23" t="str">
        <f t="shared" ca="1" si="1"/>
        <v>1 mes y 23 días</v>
      </c>
      <c r="R112" s="23"/>
    </row>
    <row r="113" spans="1:18" ht="23.25" customHeight="1">
      <c r="A113" s="12">
        <v>44</v>
      </c>
      <c r="B113" s="13" t="s">
        <v>350</v>
      </c>
      <c r="C113" s="14" t="s">
        <v>18</v>
      </c>
      <c r="D113" s="14" t="s">
        <v>26</v>
      </c>
      <c r="E113" s="14">
        <v>101.5</v>
      </c>
      <c r="F113" s="14">
        <v>142</v>
      </c>
      <c r="G113" s="45" t="s">
        <v>223</v>
      </c>
      <c r="H113" s="43" t="s">
        <v>351</v>
      </c>
      <c r="I113" s="17" t="s">
        <v>352</v>
      </c>
      <c r="J113" s="18"/>
      <c r="K113" s="19" t="str">
        <f t="shared" si="0"/>
        <v>R - 44</v>
      </c>
      <c r="L113" s="37"/>
      <c r="M113" s="37"/>
      <c r="N113" s="21"/>
      <c r="O113" s="21"/>
      <c r="P113" s="33">
        <v>45973</v>
      </c>
      <c r="Q113" s="23" t="str">
        <f t="shared" ca="1" si="1"/>
        <v>26 días</v>
      </c>
      <c r="R113" s="23"/>
    </row>
    <row r="114" spans="1:18" ht="23.25" customHeight="1">
      <c r="A114" s="24">
        <v>45</v>
      </c>
      <c r="B114" s="13" t="s">
        <v>350</v>
      </c>
      <c r="C114" s="14" t="s">
        <v>18</v>
      </c>
      <c r="D114" s="14" t="s">
        <v>19</v>
      </c>
      <c r="E114" s="14">
        <v>5</v>
      </c>
      <c r="F114" s="14">
        <v>142</v>
      </c>
      <c r="G114" s="45" t="s">
        <v>223</v>
      </c>
      <c r="H114" s="16" t="s">
        <v>351</v>
      </c>
      <c r="I114" s="17" t="s">
        <v>353</v>
      </c>
      <c r="J114" s="18"/>
      <c r="K114" s="19" t="str">
        <f t="shared" si="0"/>
        <v>R - 45</v>
      </c>
      <c r="L114" s="37"/>
      <c r="M114" s="37"/>
      <c r="N114" s="21"/>
      <c r="O114" s="21"/>
      <c r="P114" s="33">
        <v>45973</v>
      </c>
      <c r="Q114" s="23" t="str">
        <f t="shared" ca="1" si="1"/>
        <v>26 días</v>
      </c>
      <c r="R114" s="23"/>
    </row>
    <row r="115" spans="1:18" ht="23.25" customHeight="1">
      <c r="A115" s="24">
        <v>52</v>
      </c>
      <c r="B115" s="13" t="s">
        <v>354</v>
      </c>
      <c r="C115" s="14" t="s">
        <v>63</v>
      </c>
      <c r="D115" s="14" t="s">
        <v>26</v>
      </c>
      <c r="E115" s="14">
        <v>104.9</v>
      </c>
      <c r="F115" s="14">
        <v>78</v>
      </c>
      <c r="G115" s="45" t="s">
        <v>223</v>
      </c>
      <c r="H115" s="43" t="s">
        <v>355</v>
      </c>
      <c r="I115" s="17" t="s">
        <v>356</v>
      </c>
      <c r="J115" s="18"/>
      <c r="K115" s="19" t="str">
        <f t="shared" si="0"/>
        <v>R - 52</v>
      </c>
      <c r="L115" s="20" t="s">
        <v>357</v>
      </c>
      <c r="M115" s="20" t="s">
        <v>24</v>
      </c>
      <c r="N115" s="21"/>
      <c r="O115" s="21"/>
      <c r="P115" s="31">
        <v>45986</v>
      </c>
      <c r="Q115" s="23" t="str">
        <f t="shared" ca="1" si="1"/>
        <v>13 días</v>
      </c>
      <c r="R115" s="23"/>
    </row>
    <row r="116" spans="1:18" ht="23.25" customHeight="1">
      <c r="A116" s="12">
        <v>59</v>
      </c>
      <c r="B116" s="13" t="s">
        <v>154</v>
      </c>
      <c r="C116" s="14" t="s">
        <v>18</v>
      </c>
      <c r="D116" s="14" t="s">
        <v>19</v>
      </c>
      <c r="E116" s="14">
        <v>9</v>
      </c>
      <c r="F116" s="14">
        <v>153</v>
      </c>
      <c r="G116" s="45" t="s">
        <v>223</v>
      </c>
      <c r="H116" s="43" t="s">
        <v>155</v>
      </c>
      <c r="I116" s="17" t="s">
        <v>358</v>
      </c>
      <c r="J116" s="30" t="s">
        <v>359</v>
      </c>
      <c r="K116" s="19" t="str">
        <f t="shared" si="0"/>
        <v>R - 59</v>
      </c>
      <c r="L116" s="20" t="s">
        <v>360</v>
      </c>
      <c r="M116" s="20" t="s">
        <v>24</v>
      </c>
      <c r="N116" s="21"/>
      <c r="O116" s="21"/>
      <c r="P116" s="31">
        <v>45958</v>
      </c>
      <c r="Q116" s="23" t="str">
        <f t="shared" ca="1" si="1"/>
        <v>1 mes y 10 días</v>
      </c>
      <c r="R116" s="23"/>
    </row>
    <row r="117" spans="1:18" ht="23.25" customHeight="1">
      <c r="A117" s="24">
        <v>72</v>
      </c>
      <c r="B117" s="13" t="s">
        <v>361</v>
      </c>
      <c r="C117" s="14" t="s">
        <v>45</v>
      </c>
      <c r="D117" s="14" t="s">
        <v>19</v>
      </c>
      <c r="E117" s="14">
        <v>12</v>
      </c>
      <c r="F117" s="14">
        <v>12</v>
      </c>
      <c r="G117" s="45" t="s">
        <v>223</v>
      </c>
      <c r="H117" s="16" t="s">
        <v>362</v>
      </c>
      <c r="I117" s="17" t="s">
        <v>363</v>
      </c>
      <c r="J117" s="30" t="s">
        <v>364</v>
      </c>
      <c r="K117" s="19" t="str">
        <f t="shared" si="0"/>
        <v>R - 72</v>
      </c>
      <c r="L117" s="20" t="s">
        <v>23</v>
      </c>
      <c r="M117" s="20" t="s">
        <v>24</v>
      </c>
      <c r="N117" s="53" t="s">
        <v>365</v>
      </c>
      <c r="O117" s="21"/>
      <c r="P117" s="31">
        <v>45442</v>
      </c>
      <c r="Q117" s="54" t="str">
        <f t="shared" ca="1" si="1"/>
        <v>1 año con 6 meses y 8 días</v>
      </c>
      <c r="R117" s="54"/>
    </row>
    <row r="118" spans="1:18" ht="23.25" customHeight="1">
      <c r="A118" s="24">
        <v>89</v>
      </c>
      <c r="B118" s="13" t="s">
        <v>18</v>
      </c>
      <c r="C118" s="14" t="s">
        <v>18</v>
      </c>
      <c r="D118" s="14" t="s">
        <v>100</v>
      </c>
      <c r="E118" s="14">
        <v>1310</v>
      </c>
      <c r="F118" s="14">
        <v>14</v>
      </c>
      <c r="G118" s="45" t="s">
        <v>223</v>
      </c>
      <c r="H118" s="43" t="s">
        <v>226</v>
      </c>
      <c r="I118" s="17" t="s">
        <v>366</v>
      </c>
      <c r="J118" s="55" t="s">
        <v>367</v>
      </c>
      <c r="K118" s="19" t="str">
        <f t="shared" si="0"/>
        <v>R - 89</v>
      </c>
      <c r="L118" s="20" t="s">
        <v>368</v>
      </c>
      <c r="M118" s="20" t="s">
        <v>24</v>
      </c>
      <c r="N118" s="26"/>
      <c r="O118" s="26"/>
      <c r="P118" s="33">
        <v>43466</v>
      </c>
      <c r="Q118" s="56" t="str">
        <f t="shared" ca="1" si="1"/>
        <v>6 años con 11 meses y 7 días</v>
      </c>
      <c r="R118" s="56"/>
    </row>
    <row r="119" spans="1:18" ht="23.25" customHeight="1">
      <c r="A119" s="12">
        <v>91</v>
      </c>
      <c r="B119" s="13" t="s">
        <v>369</v>
      </c>
      <c r="C119" s="14" t="s">
        <v>71</v>
      </c>
      <c r="D119" s="14" t="s">
        <v>26</v>
      </c>
      <c r="E119" s="14" t="s">
        <v>370</v>
      </c>
      <c r="F119" s="14">
        <v>10</v>
      </c>
      <c r="G119" s="45" t="s">
        <v>223</v>
      </c>
      <c r="H119" s="43" t="s">
        <v>371</v>
      </c>
      <c r="I119" s="17" t="s">
        <v>372</v>
      </c>
      <c r="J119" s="18"/>
      <c r="K119" s="19" t="str">
        <f t="shared" si="0"/>
        <v>R - 91</v>
      </c>
      <c r="L119" s="20" t="s">
        <v>23</v>
      </c>
      <c r="M119" s="20" t="s">
        <v>373</v>
      </c>
      <c r="N119" s="53" t="s">
        <v>374</v>
      </c>
      <c r="O119" s="21"/>
      <c r="P119" s="31">
        <v>45961</v>
      </c>
      <c r="Q119" s="23" t="str">
        <f t="shared" ca="1" si="1"/>
        <v>1 mes y 7 días</v>
      </c>
      <c r="R119" s="23"/>
    </row>
    <row r="120" spans="1:18" ht="23.25" customHeight="1">
      <c r="A120" s="24">
        <v>92</v>
      </c>
      <c r="B120" s="13" t="s">
        <v>375</v>
      </c>
      <c r="C120" s="14" t="s">
        <v>71</v>
      </c>
      <c r="D120" s="14" t="s">
        <v>26</v>
      </c>
      <c r="E120" s="14">
        <v>104.1</v>
      </c>
      <c r="F120" s="14">
        <v>82</v>
      </c>
      <c r="G120" s="45" t="s">
        <v>223</v>
      </c>
      <c r="H120" s="16" t="s">
        <v>376</v>
      </c>
      <c r="I120" s="17" t="s">
        <v>377</v>
      </c>
      <c r="J120" s="18"/>
      <c r="K120" s="19" t="str">
        <f t="shared" si="0"/>
        <v>R - 92</v>
      </c>
      <c r="L120" s="20" t="s">
        <v>23</v>
      </c>
      <c r="M120" s="20" t="s">
        <v>24</v>
      </c>
      <c r="N120" s="21"/>
      <c r="O120" s="21"/>
      <c r="P120" s="31">
        <v>45979</v>
      </c>
      <c r="Q120" s="23" t="str">
        <f t="shared" ca="1" si="1"/>
        <v>20 días</v>
      </c>
      <c r="R120" s="23"/>
    </row>
    <row r="121" spans="1:18" ht="23.25" customHeight="1">
      <c r="A121" s="24">
        <v>97</v>
      </c>
      <c r="B121" s="13" t="s">
        <v>378</v>
      </c>
      <c r="C121" s="14" t="s">
        <v>18</v>
      </c>
      <c r="D121" s="14" t="s">
        <v>26</v>
      </c>
      <c r="E121" s="14">
        <v>101.1</v>
      </c>
      <c r="F121" s="14">
        <v>142</v>
      </c>
      <c r="G121" s="45" t="s">
        <v>223</v>
      </c>
      <c r="H121" s="43" t="s">
        <v>379</v>
      </c>
      <c r="I121" s="17" t="s">
        <v>380</v>
      </c>
      <c r="J121" s="18"/>
      <c r="K121" s="19" t="str">
        <f t="shared" si="0"/>
        <v>R - 97</v>
      </c>
      <c r="L121" s="20" t="s">
        <v>23</v>
      </c>
      <c r="M121" s="20" t="s">
        <v>24</v>
      </c>
      <c r="N121" s="21"/>
      <c r="O121" s="21"/>
      <c r="P121" s="31">
        <v>45778</v>
      </c>
      <c r="Q121" s="23" t="str">
        <f t="shared" ca="1" si="1"/>
        <v>7 meses y 7 días</v>
      </c>
      <c r="R121" s="23"/>
    </row>
    <row r="122" spans="1:18" ht="23.25" customHeight="1">
      <c r="A122" s="12">
        <v>110</v>
      </c>
      <c r="B122" s="13" t="s">
        <v>381</v>
      </c>
      <c r="C122" s="14" t="s">
        <v>18</v>
      </c>
      <c r="D122" s="14" t="s">
        <v>26</v>
      </c>
      <c r="E122" s="14">
        <v>103.1</v>
      </c>
      <c r="F122" s="14">
        <v>97</v>
      </c>
      <c r="G122" s="45" t="s">
        <v>223</v>
      </c>
      <c r="H122" s="43" t="s">
        <v>382</v>
      </c>
      <c r="I122" s="17" t="s">
        <v>383</v>
      </c>
      <c r="J122" s="18"/>
      <c r="K122" s="19" t="str">
        <f t="shared" si="0"/>
        <v>R - 110</v>
      </c>
      <c r="L122" s="20" t="s">
        <v>23</v>
      </c>
      <c r="M122" s="20" t="s">
        <v>24</v>
      </c>
      <c r="N122" s="21"/>
      <c r="O122" s="21"/>
      <c r="P122" s="22"/>
      <c r="Q122" s="23" t="str">
        <f t="shared" ca="1" si="1"/>
        <v>-</v>
      </c>
      <c r="R122" s="23"/>
    </row>
    <row r="123" spans="1:18" ht="23.25" customHeight="1">
      <c r="A123" s="24">
        <v>126</v>
      </c>
      <c r="B123" s="13" t="s">
        <v>314</v>
      </c>
      <c r="C123" s="14" t="s">
        <v>45</v>
      </c>
      <c r="D123" s="14" t="s">
        <v>19</v>
      </c>
      <c r="E123" s="14">
        <v>13</v>
      </c>
      <c r="F123" s="14">
        <v>144</v>
      </c>
      <c r="G123" s="45" t="s">
        <v>223</v>
      </c>
      <c r="H123" s="16" t="s">
        <v>315</v>
      </c>
      <c r="I123" s="17" t="s">
        <v>384</v>
      </c>
      <c r="J123" s="30"/>
      <c r="K123" s="19" t="str">
        <f t="shared" si="0"/>
        <v>R - 126</v>
      </c>
      <c r="L123" s="20" t="s">
        <v>385</v>
      </c>
      <c r="M123" s="20" t="s">
        <v>24</v>
      </c>
      <c r="N123" s="21"/>
      <c r="O123" s="21"/>
      <c r="P123" s="31">
        <v>45442</v>
      </c>
      <c r="Q123" s="54" t="str">
        <f t="shared" ca="1" si="1"/>
        <v>1 año con 6 meses y 8 días</v>
      </c>
      <c r="R123" s="54"/>
    </row>
    <row r="124" spans="1:18" ht="23.25" customHeight="1">
      <c r="A124" s="24">
        <v>39</v>
      </c>
      <c r="B124" s="13" t="s">
        <v>386</v>
      </c>
      <c r="C124" s="34" t="s">
        <v>45</v>
      </c>
      <c r="D124" s="14" t="s">
        <v>26</v>
      </c>
      <c r="E124" s="34" t="s">
        <v>387</v>
      </c>
      <c r="F124" s="14">
        <v>144</v>
      </c>
      <c r="G124" s="57" t="s">
        <v>388</v>
      </c>
      <c r="H124" s="43" t="s">
        <v>389</v>
      </c>
      <c r="I124" s="17" t="s">
        <v>390</v>
      </c>
      <c r="J124" s="30"/>
      <c r="K124" s="19" t="str">
        <f t="shared" si="0"/>
        <v>R - 39</v>
      </c>
      <c r="L124" s="19"/>
      <c r="M124" s="19"/>
      <c r="N124" s="21"/>
      <c r="O124" s="21"/>
      <c r="P124" s="22"/>
      <c r="Q124" s="23" t="str">
        <f t="shared" ca="1" si="1"/>
        <v>-</v>
      </c>
      <c r="R124" s="23"/>
    </row>
    <row r="125" spans="1:18" ht="23.25" customHeight="1">
      <c r="A125" s="12">
        <v>46</v>
      </c>
      <c r="B125" s="13" t="s">
        <v>391</v>
      </c>
      <c r="C125" s="14" t="s">
        <v>45</v>
      </c>
      <c r="D125" s="14" t="s">
        <v>26</v>
      </c>
      <c r="E125" s="14">
        <v>104.5</v>
      </c>
      <c r="F125" s="14">
        <v>95</v>
      </c>
      <c r="G125" s="58" t="s">
        <v>388</v>
      </c>
      <c r="H125" s="43" t="s">
        <v>392</v>
      </c>
      <c r="I125" s="35" t="s">
        <v>393</v>
      </c>
      <c r="J125" s="41"/>
      <c r="K125" s="19" t="str">
        <f t="shared" si="0"/>
        <v>R - 46</v>
      </c>
      <c r="L125" s="19"/>
      <c r="M125" s="19"/>
      <c r="N125" s="21"/>
      <c r="O125" s="21"/>
      <c r="P125" s="22"/>
      <c r="Q125" s="23" t="str">
        <f t="shared" ca="1" si="1"/>
        <v>-</v>
      </c>
      <c r="R125" s="23"/>
    </row>
    <row r="126" spans="1:18" ht="23.25" customHeight="1">
      <c r="A126" s="24">
        <v>56</v>
      </c>
      <c r="B126" s="59" t="s">
        <v>394</v>
      </c>
      <c r="C126" s="18" t="s">
        <v>45</v>
      </c>
      <c r="D126" s="14" t="s">
        <v>26</v>
      </c>
      <c r="E126" s="18">
        <v>103.5</v>
      </c>
      <c r="F126" s="18">
        <v>144</v>
      </c>
      <c r="G126" s="57" t="s">
        <v>388</v>
      </c>
      <c r="H126" s="43" t="s">
        <v>395</v>
      </c>
      <c r="I126" s="17" t="s">
        <v>396</v>
      </c>
      <c r="J126" s="18"/>
      <c r="K126" s="19" t="str">
        <f t="shared" si="0"/>
        <v>R - 56</v>
      </c>
      <c r="L126" s="19"/>
      <c r="M126" s="19"/>
      <c r="N126" s="21"/>
      <c r="O126" s="21"/>
      <c r="P126" s="22"/>
      <c r="Q126" s="23" t="str">
        <f t="shared" ca="1" si="1"/>
        <v>-</v>
      </c>
      <c r="R126" s="23"/>
    </row>
    <row r="127" spans="1:18" ht="23.25" customHeight="1">
      <c r="A127" s="24">
        <v>77</v>
      </c>
      <c r="B127" s="59" t="s">
        <v>397</v>
      </c>
      <c r="C127" s="18" t="s">
        <v>45</v>
      </c>
      <c r="D127" s="18" t="s">
        <v>19</v>
      </c>
      <c r="E127" s="18">
        <v>9</v>
      </c>
      <c r="F127" s="18">
        <v>144</v>
      </c>
      <c r="G127" s="57" t="s">
        <v>388</v>
      </c>
      <c r="H127" s="43" t="s">
        <v>398</v>
      </c>
      <c r="I127" s="17" t="s">
        <v>399</v>
      </c>
      <c r="J127" s="18"/>
      <c r="K127" s="19" t="str">
        <f t="shared" si="0"/>
        <v>R - 77</v>
      </c>
      <c r="L127" s="19"/>
      <c r="M127" s="19"/>
      <c r="N127" s="21"/>
      <c r="O127" s="21"/>
      <c r="P127" s="22"/>
      <c r="Q127" s="23" t="str">
        <f t="shared" ca="1" si="1"/>
        <v>-</v>
      </c>
      <c r="R127" s="23"/>
    </row>
    <row r="128" spans="1:18" ht="23.25" customHeight="1">
      <c r="A128" s="12">
        <v>80</v>
      </c>
      <c r="B128" s="59" t="s">
        <v>400</v>
      </c>
      <c r="C128" s="18" t="s">
        <v>45</v>
      </c>
      <c r="D128" s="18" t="s">
        <v>26</v>
      </c>
      <c r="E128" s="18">
        <v>98.5</v>
      </c>
      <c r="F128" s="18">
        <v>81</v>
      </c>
      <c r="G128" s="57" t="s">
        <v>388</v>
      </c>
      <c r="H128" s="43" t="s">
        <v>401</v>
      </c>
      <c r="I128" s="17" t="s">
        <v>402</v>
      </c>
      <c r="J128" s="18"/>
      <c r="K128" s="19" t="str">
        <f t="shared" si="0"/>
        <v>R - 80</v>
      </c>
      <c r="L128" s="19"/>
      <c r="M128" s="19"/>
      <c r="N128" s="21"/>
      <c r="O128" s="21"/>
      <c r="P128" s="22"/>
      <c r="Q128" s="23" t="str">
        <f t="shared" ca="1" si="1"/>
        <v>-</v>
      </c>
      <c r="R128" s="23"/>
    </row>
    <row r="129" spans="1:18" ht="23.25" customHeight="1">
      <c r="A129" s="24">
        <v>85</v>
      </c>
      <c r="B129" s="59" t="s">
        <v>403</v>
      </c>
      <c r="C129" s="30" t="s">
        <v>120</v>
      </c>
      <c r="D129" s="18" t="s">
        <v>26</v>
      </c>
      <c r="E129" s="30" t="s">
        <v>404</v>
      </c>
      <c r="F129" s="30">
        <v>59</v>
      </c>
      <c r="G129" s="57" t="s">
        <v>388</v>
      </c>
      <c r="H129" s="43" t="s">
        <v>405</v>
      </c>
      <c r="I129" s="17" t="s">
        <v>406</v>
      </c>
      <c r="J129" s="55" t="s">
        <v>407</v>
      </c>
      <c r="K129" s="19" t="str">
        <f t="shared" si="0"/>
        <v>R - 85</v>
      </c>
      <c r="L129" s="19"/>
      <c r="M129" s="19"/>
      <c r="N129" s="21"/>
      <c r="O129" s="21"/>
      <c r="P129" s="22"/>
      <c r="Q129" s="23" t="str">
        <f t="shared" ca="1" si="1"/>
        <v>-</v>
      </c>
      <c r="R129" s="23"/>
    </row>
    <row r="130" spans="1:18" ht="23.25" customHeight="1">
      <c r="A130" s="24">
        <v>105</v>
      </c>
      <c r="B130" s="59" t="s">
        <v>263</v>
      </c>
      <c r="C130" s="18" t="s">
        <v>45</v>
      </c>
      <c r="D130" s="18" t="s">
        <v>19</v>
      </c>
      <c r="E130" s="18">
        <v>9</v>
      </c>
      <c r="F130" s="18">
        <v>81</v>
      </c>
      <c r="G130" s="57" t="s">
        <v>388</v>
      </c>
      <c r="H130" s="43" t="s">
        <v>264</v>
      </c>
      <c r="I130" s="17" t="s">
        <v>408</v>
      </c>
      <c r="J130" s="18"/>
      <c r="K130" s="19" t="str">
        <f t="shared" si="0"/>
        <v>R - 105</v>
      </c>
      <c r="L130" s="19"/>
      <c r="M130" s="19"/>
      <c r="N130" s="21"/>
      <c r="O130" s="21"/>
      <c r="P130" s="22"/>
      <c r="Q130" s="23" t="str">
        <f t="shared" ca="1" si="1"/>
        <v>-</v>
      </c>
      <c r="R130" s="23"/>
    </row>
    <row r="131" spans="1:18" ht="23.25" customHeight="1">
      <c r="A131" s="24"/>
      <c r="B131" s="60"/>
      <c r="C131" s="18"/>
      <c r="D131" s="18"/>
      <c r="E131" s="18"/>
      <c r="F131" s="18"/>
      <c r="G131" s="42"/>
      <c r="H131" s="51"/>
      <c r="I131" s="17"/>
      <c r="J131" s="29"/>
      <c r="K131" s="19"/>
      <c r="L131" s="19"/>
      <c r="M131" s="19"/>
      <c r="N131" s="21"/>
      <c r="O131" s="21"/>
      <c r="P131" s="22"/>
      <c r="Q131" s="21"/>
      <c r="R131" s="21"/>
    </row>
    <row r="132" spans="1:18" ht="23.25" customHeight="1">
      <c r="A132" s="61"/>
      <c r="B132" s="62"/>
      <c r="C132" s="63"/>
      <c r="D132" s="63"/>
      <c r="E132" s="63"/>
      <c r="F132" s="63"/>
      <c r="G132" s="64"/>
      <c r="H132" s="65"/>
      <c r="I132" s="66"/>
      <c r="J132" s="63"/>
      <c r="K132" s="21"/>
      <c r="L132" s="21"/>
      <c r="M132" s="21"/>
      <c r="N132" s="21"/>
      <c r="O132" s="21"/>
      <c r="P132" s="22"/>
      <c r="Q132" s="21"/>
      <c r="R132" s="21"/>
    </row>
    <row r="133" spans="1:18" ht="23.25" customHeight="1">
      <c r="A133" s="61"/>
      <c r="B133" s="62"/>
      <c r="C133" s="67"/>
      <c r="D133" s="63"/>
      <c r="E133" s="63"/>
      <c r="F133" s="63"/>
      <c r="G133" s="64"/>
      <c r="H133" s="65"/>
      <c r="I133" s="66"/>
      <c r="J133" s="63"/>
      <c r="K133" s="21"/>
      <c r="L133" s="21"/>
      <c r="M133" s="21"/>
      <c r="N133" s="21"/>
      <c r="O133" s="21"/>
      <c r="P133" s="22"/>
      <c r="Q133" s="21"/>
      <c r="R133" s="21"/>
    </row>
    <row r="134" spans="1:18" ht="23.25" customHeight="1">
      <c r="A134" s="61"/>
      <c r="B134" s="62"/>
      <c r="C134" s="63"/>
      <c r="D134" s="63"/>
      <c r="E134" s="63"/>
      <c r="F134" s="63"/>
      <c r="G134" s="64"/>
      <c r="H134" s="65"/>
      <c r="I134" s="66"/>
      <c r="J134" s="63"/>
      <c r="K134" s="21"/>
      <c r="L134" s="21"/>
      <c r="M134" s="21"/>
      <c r="N134" s="21"/>
      <c r="O134" s="21"/>
      <c r="P134" s="22"/>
      <c r="Q134" s="21"/>
      <c r="R134" s="21"/>
    </row>
    <row r="135" spans="1:18" ht="23.25" customHeight="1">
      <c r="A135" s="61"/>
      <c r="B135" s="62"/>
      <c r="C135" s="63"/>
      <c r="D135" s="63"/>
      <c r="E135" s="63"/>
      <c r="F135" s="63"/>
      <c r="G135" s="64"/>
      <c r="H135" s="65"/>
      <c r="I135" s="66"/>
      <c r="J135" s="63"/>
      <c r="K135" s="21"/>
      <c r="L135" s="21"/>
      <c r="M135" s="21"/>
      <c r="N135" s="21"/>
      <c r="O135" s="21"/>
      <c r="P135" s="22"/>
      <c r="Q135" s="21"/>
      <c r="R135" s="21"/>
    </row>
    <row r="136" spans="1:18" ht="23.25" customHeight="1">
      <c r="A136" s="61"/>
      <c r="B136" s="62"/>
      <c r="C136" s="63"/>
      <c r="D136" s="63"/>
      <c r="E136" s="63"/>
      <c r="F136" s="63"/>
      <c r="G136" s="64"/>
      <c r="H136" s="65"/>
      <c r="I136" s="66"/>
      <c r="J136" s="63"/>
      <c r="K136" s="21"/>
      <c r="L136" s="21"/>
      <c r="M136" s="21"/>
      <c r="N136" s="21"/>
      <c r="O136" s="21"/>
      <c r="P136" s="22"/>
      <c r="Q136" s="21"/>
      <c r="R136" s="21"/>
    </row>
    <row r="137" spans="1:18" ht="23.25" customHeight="1">
      <c r="A137" s="61"/>
      <c r="B137" s="62"/>
      <c r="C137" s="63"/>
      <c r="D137" s="63"/>
      <c r="E137" s="63"/>
      <c r="F137" s="63"/>
      <c r="G137" s="64"/>
      <c r="H137" s="65"/>
      <c r="I137" s="66"/>
      <c r="J137" s="63"/>
      <c r="K137" s="21"/>
      <c r="L137" s="21"/>
      <c r="M137" s="21"/>
      <c r="N137" s="21"/>
      <c r="O137" s="21"/>
      <c r="P137" s="22"/>
      <c r="Q137" s="21"/>
      <c r="R137" s="21"/>
    </row>
  </sheetData>
  <autoFilter ref="A1:R130" xr:uid="{00000000-0009-0000-0000-000001000000}"/>
  <customSheetViews>
    <customSheetView guid="{5A9BE03D-05A2-486B-93CC-9E1D106790C4}" filter="1" showAutoFilter="1">
      <pageMargins left="0.7" right="0.7" top="0.75" bottom="0.75" header="0.3" footer="0.3"/>
      <autoFilter ref="A1:G126" xr:uid="{B8D5C793-BE99-4BA5-BF12-9C16710EAF3F}">
        <filterColumn colId="3">
          <filters>
            <filter val="AM"/>
            <filter val="UHF"/>
            <filter val="VHF"/>
          </filters>
        </filterColumn>
      </autoFilter>
    </customSheetView>
  </customSheetViews>
  <conditionalFormatting sqref="G1:G137">
    <cfRule type="cellIs" dxfId="9" priority="1" operator="equal">
      <formula>"A.A"</formula>
    </cfRule>
  </conditionalFormatting>
  <conditionalFormatting sqref="G1:G137">
    <cfRule type="cellIs" dxfId="8" priority="2" operator="equal">
      <formula>"F.A"</formula>
    </cfRule>
  </conditionalFormatting>
  <conditionalFormatting sqref="G1:G137">
    <cfRule type="cellIs" dxfId="7" priority="3" operator="equal">
      <formula>"N.I"</formula>
    </cfRule>
  </conditionalFormatting>
  <hyperlinks>
    <hyperlink ref="B2" r:id="rId1" xr:uid="{00000000-0004-0000-0100-000000000000}"/>
    <hyperlink ref="H2" r:id="rId2" xr:uid="{00000000-0004-0000-0100-000001000000}"/>
    <hyperlink ref="B3" r:id="rId3" xr:uid="{00000000-0004-0000-0100-000002000000}"/>
    <hyperlink ref="H3" r:id="rId4" xr:uid="{00000000-0004-0000-0100-000003000000}"/>
    <hyperlink ref="B4" r:id="rId5" xr:uid="{00000000-0004-0000-0100-000004000000}"/>
    <hyperlink ref="H4" r:id="rId6" xr:uid="{00000000-0004-0000-0100-000005000000}"/>
    <hyperlink ref="B5" r:id="rId7" xr:uid="{00000000-0004-0000-0100-000006000000}"/>
    <hyperlink ref="H5" r:id="rId8" xr:uid="{00000000-0004-0000-0100-000007000000}"/>
    <hyperlink ref="B6" r:id="rId9" xr:uid="{00000000-0004-0000-0100-000008000000}"/>
    <hyperlink ref="H6" r:id="rId10" xr:uid="{00000000-0004-0000-0100-000009000000}"/>
    <hyperlink ref="B7" r:id="rId11" xr:uid="{00000000-0004-0000-0100-00000A000000}"/>
    <hyperlink ref="H7" r:id="rId12" xr:uid="{00000000-0004-0000-0100-00000B000000}"/>
    <hyperlink ref="B8" r:id="rId13" xr:uid="{00000000-0004-0000-0100-00000C000000}"/>
    <hyperlink ref="H8" r:id="rId14" xr:uid="{00000000-0004-0000-0100-00000D000000}"/>
    <hyperlink ref="B9" r:id="rId15" xr:uid="{00000000-0004-0000-0100-00000E000000}"/>
    <hyperlink ref="H9" r:id="rId16" xr:uid="{00000000-0004-0000-0100-00000F000000}"/>
    <hyperlink ref="B10" r:id="rId17" xr:uid="{00000000-0004-0000-0100-000010000000}"/>
    <hyperlink ref="H10" r:id="rId18" xr:uid="{00000000-0004-0000-0100-000011000000}"/>
    <hyperlink ref="B11" r:id="rId19" xr:uid="{00000000-0004-0000-0100-000012000000}"/>
    <hyperlink ref="H11" r:id="rId20" xr:uid="{00000000-0004-0000-0100-000013000000}"/>
    <hyperlink ref="B12" r:id="rId21" xr:uid="{00000000-0004-0000-0100-000014000000}"/>
    <hyperlink ref="H12" r:id="rId22" xr:uid="{00000000-0004-0000-0100-000015000000}"/>
    <hyperlink ref="B13" r:id="rId23" xr:uid="{00000000-0004-0000-0100-000016000000}"/>
    <hyperlink ref="H13" r:id="rId24" xr:uid="{00000000-0004-0000-0100-000017000000}"/>
    <hyperlink ref="B14" r:id="rId25" xr:uid="{00000000-0004-0000-0100-000018000000}"/>
    <hyperlink ref="H14" r:id="rId26" xr:uid="{00000000-0004-0000-0100-000019000000}"/>
    <hyperlink ref="B15" r:id="rId27" xr:uid="{00000000-0004-0000-0100-00001A000000}"/>
    <hyperlink ref="H15" r:id="rId28" xr:uid="{00000000-0004-0000-0100-00001B000000}"/>
    <hyperlink ref="B16" r:id="rId29" xr:uid="{00000000-0004-0000-0100-00001C000000}"/>
    <hyperlink ref="H16" r:id="rId30" xr:uid="{00000000-0004-0000-0100-00001D000000}"/>
    <hyperlink ref="B17" r:id="rId31" xr:uid="{00000000-0004-0000-0100-00001E000000}"/>
    <hyperlink ref="H17" r:id="rId32" xr:uid="{00000000-0004-0000-0100-00001F000000}"/>
    <hyperlink ref="B18" r:id="rId33" xr:uid="{00000000-0004-0000-0100-000020000000}"/>
    <hyperlink ref="H18" r:id="rId34" xr:uid="{00000000-0004-0000-0100-000021000000}"/>
    <hyperlink ref="B19" r:id="rId35" xr:uid="{00000000-0004-0000-0100-000022000000}"/>
    <hyperlink ref="H19" r:id="rId36" xr:uid="{00000000-0004-0000-0100-000023000000}"/>
    <hyperlink ref="B20" r:id="rId37" xr:uid="{00000000-0004-0000-0100-000024000000}"/>
    <hyperlink ref="H20" r:id="rId38" xr:uid="{00000000-0004-0000-0100-000025000000}"/>
    <hyperlink ref="B21" r:id="rId39" xr:uid="{00000000-0004-0000-0100-000026000000}"/>
    <hyperlink ref="H21" r:id="rId40" xr:uid="{00000000-0004-0000-0100-000027000000}"/>
    <hyperlink ref="B22" r:id="rId41" xr:uid="{00000000-0004-0000-0100-000028000000}"/>
    <hyperlink ref="H22" r:id="rId42" xr:uid="{00000000-0004-0000-0100-000029000000}"/>
    <hyperlink ref="B23" r:id="rId43" xr:uid="{00000000-0004-0000-0100-00002A000000}"/>
    <hyperlink ref="H23" r:id="rId44" xr:uid="{00000000-0004-0000-0100-00002B000000}"/>
    <hyperlink ref="B24" r:id="rId45" xr:uid="{00000000-0004-0000-0100-00002C000000}"/>
    <hyperlink ref="H24" r:id="rId46" xr:uid="{00000000-0004-0000-0100-00002D000000}"/>
    <hyperlink ref="B25" r:id="rId47" xr:uid="{00000000-0004-0000-0100-00002E000000}"/>
    <hyperlink ref="H25" r:id="rId48" xr:uid="{00000000-0004-0000-0100-00002F000000}"/>
    <hyperlink ref="B26" r:id="rId49" xr:uid="{00000000-0004-0000-0100-000030000000}"/>
    <hyperlink ref="H26" r:id="rId50" xr:uid="{00000000-0004-0000-0100-000031000000}"/>
    <hyperlink ref="B27" r:id="rId51" xr:uid="{00000000-0004-0000-0100-000032000000}"/>
    <hyperlink ref="H27" r:id="rId52" xr:uid="{00000000-0004-0000-0100-000033000000}"/>
    <hyperlink ref="B28" r:id="rId53" xr:uid="{00000000-0004-0000-0100-000034000000}"/>
    <hyperlink ref="H28" r:id="rId54" xr:uid="{00000000-0004-0000-0100-000035000000}"/>
    <hyperlink ref="B29" r:id="rId55" xr:uid="{00000000-0004-0000-0100-000036000000}"/>
    <hyperlink ref="H29" r:id="rId56" xr:uid="{00000000-0004-0000-0100-000037000000}"/>
    <hyperlink ref="B30" r:id="rId57" xr:uid="{00000000-0004-0000-0100-000038000000}"/>
    <hyperlink ref="H30" r:id="rId58" xr:uid="{00000000-0004-0000-0100-000039000000}"/>
    <hyperlink ref="B31" r:id="rId59" xr:uid="{00000000-0004-0000-0100-00003A000000}"/>
    <hyperlink ref="H31" r:id="rId60" xr:uid="{00000000-0004-0000-0100-00003B000000}"/>
    <hyperlink ref="B32" r:id="rId61" xr:uid="{00000000-0004-0000-0100-00003C000000}"/>
    <hyperlink ref="H32" r:id="rId62" xr:uid="{00000000-0004-0000-0100-00003D000000}"/>
    <hyperlink ref="B33" r:id="rId63" xr:uid="{00000000-0004-0000-0100-00003E000000}"/>
    <hyperlink ref="H33" r:id="rId64" xr:uid="{00000000-0004-0000-0100-00003F000000}"/>
    <hyperlink ref="B34" r:id="rId65" xr:uid="{00000000-0004-0000-0100-000040000000}"/>
    <hyperlink ref="H34" r:id="rId66" xr:uid="{00000000-0004-0000-0100-000041000000}"/>
    <hyperlink ref="B35" r:id="rId67" xr:uid="{00000000-0004-0000-0100-000042000000}"/>
    <hyperlink ref="H35" r:id="rId68" xr:uid="{00000000-0004-0000-0100-000043000000}"/>
    <hyperlink ref="B36" r:id="rId69" xr:uid="{00000000-0004-0000-0100-000044000000}"/>
    <hyperlink ref="H36" r:id="rId70" xr:uid="{00000000-0004-0000-0100-000045000000}"/>
    <hyperlink ref="B37" r:id="rId71" xr:uid="{00000000-0004-0000-0100-000046000000}"/>
    <hyperlink ref="H37" r:id="rId72" xr:uid="{00000000-0004-0000-0100-000047000000}"/>
    <hyperlink ref="B38" r:id="rId73" xr:uid="{00000000-0004-0000-0100-000048000000}"/>
    <hyperlink ref="H38" r:id="rId74" xr:uid="{00000000-0004-0000-0100-000049000000}"/>
    <hyperlink ref="B39" r:id="rId75" xr:uid="{00000000-0004-0000-0100-00004A000000}"/>
    <hyperlink ref="H39" r:id="rId76" xr:uid="{00000000-0004-0000-0100-00004B000000}"/>
    <hyperlink ref="B40" r:id="rId77" xr:uid="{00000000-0004-0000-0100-00004C000000}"/>
    <hyperlink ref="H40" r:id="rId78" xr:uid="{00000000-0004-0000-0100-00004D000000}"/>
    <hyperlink ref="B41" r:id="rId79" xr:uid="{00000000-0004-0000-0100-00004E000000}"/>
    <hyperlink ref="H41" r:id="rId80" xr:uid="{00000000-0004-0000-0100-00004F000000}"/>
    <hyperlink ref="B42" r:id="rId81" xr:uid="{00000000-0004-0000-0100-000050000000}"/>
    <hyperlink ref="H42" r:id="rId82" xr:uid="{00000000-0004-0000-0100-000051000000}"/>
    <hyperlink ref="B43" r:id="rId83" xr:uid="{00000000-0004-0000-0100-000052000000}"/>
    <hyperlink ref="H43" r:id="rId84" xr:uid="{00000000-0004-0000-0100-000053000000}"/>
    <hyperlink ref="B44" r:id="rId85" xr:uid="{00000000-0004-0000-0100-000054000000}"/>
    <hyperlink ref="H44" r:id="rId86" xr:uid="{00000000-0004-0000-0100-000055000000}"/>
    <hyperlink ref="B45" r:id="rId87" xr:uid="{00000000-0004-0000-0100-000056000000}"/>
    <hyperlink ref="H45" r:id="rId88" xr:uid="{00000000-0004-0000-0100-000057000000}"/>
    <hyperlink ref="B46" r:id="rId89" xr:uid="{00000000-0004-0000-0100-000058000000}"/>
    <hyperlink ref="H46" r:id="rId90" xr:uid="{00000000-0004-0000-0100-000059000000}"/>
    <hyperlink ref="B47" r:id="rId91" xr:uid="{00000000-0004-0000-0100-00005A000000}"/>
    <hyperlink ref="H47" r:id="rId92" xr:uid="{00000000-0004-0000-0100-00005B000000}"/>
    <hyperlink ref="B48" r:id="rId93" xr:uid="{00000000-0004-0000-0100-00005C000000}"/>
    <hyperlink ref="H48" r:id="rId94" xr:uid="{00000000-0004-0000-0100-00005D000000}"/>
    <hyperlink ref="B49" r:id="rId95" xr:uid="{00000000-0004-0000-0100-00005E000000}"/>
    <hyperlink ref="H49" r:id="rId96" xr:uid="{00000000-0004-0000-0100-00005F000000}"/>
    <hyperlink ref="B50" r:id="rId97" xr:uid="{00000000-0004-0000-0100-000060000000}"/>
    <hyperlink ref="H50" r:id="rId98" xr:uid="{00000000-0004-0000-0100-000061000000}"/>
    <hyperlink ref="B51" r:id="rId99" xr:uid="{00000000-0004-0000-0100-000062000000}"/>
    <hyperlink ref="H51" r:id="rId100" xr:uid="{00000000-0004-0000-0100-000063000000}"/>
    <hyperlink ref="B52" r:id="rId101" xr:uid="{00000000-0004-0000-0100-000064000000}"/>
    <hyperlink ref="H52" r:id="rId102" xr:uid="{00000000-0004-0000-0100-000065000000}"/>
    <hyperlink ref="B53" r:id="rId103" xr:uid="{00000000-0004-0000-0100-000066000000}"/>
    <hyperlink ref="H53" r:id="rId104" xr:uid="{00000000-0004-0000-0100-000067000000}"/>
    <hyperlink ref="B54" r:id="rId105" xr:uid="{00000000-0004-0000-0100-000068000000}"/>
    <hyperlink ref="H54" r:id="rId106" xr:uid="{00000000-0004-0000-0100-000069000000}"/>
    <hyperlink ref="B55" r:id="rId107" xr:uid="{00000000-0004-0000-0100-00006A000000}"/>
    <hyperlink ref="H55" r:id="rId108" xr:uid="{00000000-0004-0000-0100-00006B000000}"/>
    <hyperlink ref="B56" r:id="rId109" xr:uid="{00000000-0004-0000-0100-00006C000000}"/>
    <hyperlink ref="H56" r:id="rId110" xr:uid="{00000000-0004-0000-0100-00006D000000}"/>
    <hyperlink ref="B57" r:id="rId111" xr:uid="{00000000-0004-0000-0100-00006E000000}"/>
    <hyperlink ref="H57" r:id="rId112" xr:uid="{00000000-0004-0000-0100-00006F000000}"/>
    <hyperlink ref="B58" r:id="rId113" xr:uid="{00000000-0004-0000-0100-000070000000}"/>
    <hyperlink ref="H58" r:id="rId114" xr:uid="{00000000-0004-0000-0100-000071000000}"/>
    <hyperlink ref="B59" r:id="rId115" xr:uid="{00000000-0004-0000-0100-000072000000}"/>
    <hyperlink ref="H59" r:id="rId116" xr:uid="{00000000-0004-0000-0100-000073000000}"/>
    <hyperlink ref="B60" r:id="rId117" xr:uid="{00000000-0004-0000-0100-000074000000}"/>
    <hyperlink ref="H60" r:id="rId118" xr:uid="{00000000-0004-0000-0100-000075000000}"/>
    <hyperlink ref="B61" r:id="rId119" xr:uid="{00000000-0004-0000-0100-000076000000}"/>
    <hyperlink ref="H61" r:id="rId120" xr:uid="{00000000-0004-0000-0100-000077000000}"/>
    <hyperlink ref="B62" r:id="rId121" xr:uid="{00000000-0004-0000-0100-000078000000}"/>
    <hyperlink ref="H62" r:id="rId122" xr:uid="{00000000-0004-0000-0100-000079000000}"/>
    <hyperlink ref="B63" r:id="rId123" xr:uid="{00000000-0004-0000-0100-00007A000000}"/>
    <hyperlink ref="H63" r:id="rId124" xr:uid="{00000000-0004-0000-0100-00007B000000}"/>
    <hyperlink ref="B64" r:id="rId125" xr:uid="{00000000-0004-0000-0100-00007C000000}"/>
    <hyperlink ref="H64" r:id="rId126" xr:uid="{00000000-0004-0000-0100-00007D000000}"/>
    <hyperlink ref="B65" r:id="rId127" xr:uid="{00000000-0004-0000-0100-00007E000000}"/>
    <hyperlink ref="H65" r:id="rId128" xr:uid="{00000000-0004-0000-0100-00007F000000}"/>
    <hyperlink ref="B66" r:id="rId129" xr:uid="{00000000-0004-0000-0100-000080000000}"/>
    <hyperlink ref="H66" r:id="rId130" xr:uid="{00000000-0004-0000-0100-000081000000}"/>
    <hyperlink ref="B67" r:id="rId131" xr:uid="{00000000-0004-0000-0100-000082000000}"/>
    <hyperlink ref="H67" r:id="rId132" xr:uid="{00000000-0004-0000-0100-000083000000}"/>
    <hyperlink ref="B68" r:id="rId133" xr:uid="{00000000-0004-0000-0100-000084000000}"/>
    <hyperlink ref="H68" r:id="rId134" xr:uid="{00000000-0004-0000-0100-000085000000}"/>
    <hyperlink ref="B69" r:id="rId135" xr:uid="{00000000-0004-0000-0100-000086000000}"/>
    <hyperlink ref="H69" r:id="rId136" xr:uid="{00000000-0004-0000-0100-000087000000}"/>
    <hyperlink ref="B70" r:id="rId137" xr:uid="{00000000-0004-0000-0100-000088000000}"/>
    <hyperlink ref="H70" r:id="rId138" xr:uid="{00000000-0004-0000-0100-000089000000}"/>
    <hyperlink ref="B71" r:id="rId139" xr:uid="{00000000-0004-0000-0100-00008A000000}"/>
    <hyperlink ref="H71" r:id="rId140" xr:uid="{00000000-0004-0000-0100-00008B000000}"/>
    <hyperlink ref="B72" r:id="rId141" xr:uid="{00000000-0004-0000-0100-00008C000000}"/>
    <hyperlink ref="H72" r:id="rId142" xr:uid="{00000000-0004-0000-0100-00008D000000}"/>
    <hyperlink ref="B73" r:id="rId143" xr:uid="{00000000-0004-0000-0100-00008E000000}"/>
    <hyperlink ref="H73" r:id="rId144" xr:uid="{00000000-0004-0000-0100-00008F000000}"/>
    <hyperlink ref="B74" r:id="rId145" xr:uid="{00000000-0004-0000-0100-000090000000}"/>
    <hyperlink ref="H74" r:id="rId146" xr:uid="{00000000-0004-0000-0100-000091000000}"/>
    <hyperlink ref="B75" r:id="rId147" xr:uid="{00000000-0004-0000-0100-000092000000}"/>
    <hyperlink ref="H75" r:id="rId148" xr:uid="{00000000-0004-0000-0100-000093000000}"/>
    <hyperlink ref="B76" r:id="rId149" xr:uid="{00000000-0004-0000-0100-000094000000}"/>
    <hyperlink ref="H76" r:id="rId150" xr:uid="{00000000-0004-0000-0100-000095000000}"/>
    <hyperlink ref="B77" r:id="rId151" xr:uid="{00000000-0004-0000-0100-000096000000}"/>
    <hyperlink ref="H77" r:id="rId152" xr:uid="{00000000-0004-0000-0100-000097000000}"/>
    <hyperlink ref="B78" r:id="rId153" xr:uid="{00000000-0004-0000-0100-000098000000}"/>
    <hyperlink ref="H78" r:id="rId154" xr:uid="{00000000-0004-0000-0100-000099000000}"/>
    <hyperlink ref="B79" r:id="rId155" xr:uid="{00000000-0004-0000-0100-00009A000000}"/>
    <hyperlink ref="H79" r:id="rId156" xr:uid="{00000000-0004-0000-0100-00009B000000}"/>
    <hyperlink ref="B80" r:id="rId157" xr:uid="{00000000-0004-0000-0100-00009C000000}"/>
    <hyperlink ref="H80" r:id="rId158" xr:uid="{00000000-0004-0000-0100-00009D000000}"/>
    <hyperlink ref="B81" r:id="rId159" xr:uid="{00000000-0004-0000-0100-00009E000000}"/>
    <hyperlink ref="H81" r:id="rId160" xr:uid="{00000000-0004-0000-0100-00009F000000}"/>
    <hyperlink ref="B82" r:id="rId161" xr:uid="{00000000-0004-0000-0100-0000A0000000}"/>
    <hyperlink ref="H82" r:id="rId162" xr:uid="{00000000-0004-0000-0100-0000A1000000}"/>
    <hyperlink ref="B83" r:id="rId163" xr:uid="{00000000-0004-0000-0100-0000A2000000}"/>
    <hyperlink ref="H83" r:id="rId164" xr:uid="{00000000-0004-0000-0100-0000A3000000}"/>
    <hyperlink ref="B84" r:id="rId165" xr:uid="{00000000-0004-0000-0100-0000A4000000}"/>
    <hyperlink ref="H84" r:id="rId166" xr:uid="{00000000-0004-0000-0100-0000A5000000}"/>
    <hyperlink ref="B85" r:id="rId167" xr:uid="{00000000-0004-0000-0100-0000A6000000}"/>
    <hyperlink ref="H85" r:id="rId168" xr:uid="{00000000-0004-0000-0100-0000A7000000}"/>
    <hyperlink ref="B86" r:id="rId169" xr:uid="{00000000-0004-0000-0100-0000A8000000}"/>
    <hyperlink ref="H86" r:id="rId170" xr:uid="{00000000-0004-0000-0100-0000A9000000}"/>
    <hyperlink ref="B87" r:id="rId171" xr:uid="{00000000-0004-0000-0100-0000AA000000}"/>
    <hyperlink ref="H87" r:id="rId172" xr:uid="{00000000-0004-0000-0100-0000AB000000}"/>
    <hyperlink ref="B88" r:id="rId173" xr:uid="{00000000-0004-0000-0100-0000AC000000}"/>
    <hyperlink ref="H88" r:id="rId174" xr:uid="{00000000-0004-0000-0100-0000AD000000}"/>
    <hyperlink ref="B89" r:id="rId175" xr:uid="{00000000-0004-0000-0100-0000AE000000}"/>
    <hyperlink ref="H89" r:id="rId176" xr:uid="{00000000-0004-0000-0100-0000AF000000}"/>
    <hyperlink ref="B90" r:id="rId177" xr:uid="{00000000-0004-0000-0100-0000B0000000}"/>
    <hyperlink ref="H90" r:id="rId178" xr:uid="{00000000-0004-0000-0100-0000B1000000}"/>
    <hyperlink ref="B91" r:id="rId179" xr:uid="{00000000-0004-0000-0100-0000B2000000}"/>
    <hyperlink ref="H91" r:id="rId180" xr:uid="{00000000-0004-0000-0100-0000B3000000}"/>
    <hyperlink ref="B92" r:id="rId181" xr:uid="{00000000-0004-0000-0100-0000B4000000}"/>
    <hyperlink ref="H92" r:id="rId182" xr:uid="{00000000-0004-0000-0100-0000B5000000}"/>
    <hyperlink ref="B93" r:id="rId183" xr:uid="{00000000-0004-0000-0100-0000B6000000}"/>
    <hyperlink ref="H93" r:id="rId184" xr:uid="{00000000-0004-0000-0100-0000B7000000}"/>
    <hyperlink ref="B94" r:id="rId185" xr:uid="{00000000-0004-0000-0100-0000B8000000}"/>
    <hyperlink ref="H94" r:id="rId186" xr:uid="{00000000-0004-0000-0100-0000B9000000}"/>
    <hyperlink ref="B95" r:id="rId187" xr:uid="{00000000-0004-0000-0100-0000BA000000}"/>
    <hyperlink ref="H95" r:id="rId188" xr:uid="{00000000-0004-0000-0100-0000BB000000}"/>
    <hyperlink ref="B96" r:id="rId189" xr:uid="{00000000-0004-0000-0100-0000BC000000}"/>
    <hyperlink ref="H96" r:id="rId190" xr:uid="{00000000-0004-0000-0100-0000BD000000}"/>
    <hyperlink ref="B97" r:id="rId191" xr:uid="{00000000-0004-0000-0100-0000BE000000}"/>
    <hyperlink ref="H97" r:id="rId192" xr:uid="{00000000-0004-0000-0100-0000BF000000}"/>
    <hyperlink ref="B98" r:id="rId193" xr:uid="{00000000-0004-0000-0100-0000C0000000}"/>
    <hyperlink ref="H98" r:id="rId194" xr:uid="{00000000-0004-0000-0100-0000C1000000}"/>
    <hyperlink ref="B99" r:id="rId195" xr:uid="{00000000-0004-0000-0100-0000C2000000}"/>
    <hyperlink ref="H99" r:id="rId196" xr:uid="{00000000-0004-0000-0100-0000C3000000}"/>
    <hyperlink ref="B100" r:id="rId197" xr:uid="{00000000-0004-0000-0100-0000C4000000}"/>
    <hyperlink ref="H100" r:id="rId198" xr:uid="{00000000-0004-0000-0100-0000C5000000}"/>
    <hyperlink ref="B101" r:id="rId199" xr:uid="{00000000-0004-0000-0100-0000C6000000}"/>
    <hyperlink ref="H101" r:id="rId200" xr:uid="{00000000-0004-0000-0100-0000C7000000}"/>
    <hyperlink ref="B102" r:id="rId201" xr:uid="{00000000-0004-0000-0100-0000C8000000}"/>
    <hyperlink ref="H102" r:id="rId202" xr:uid="{00000000-0004-0000-0100-0000C9000000}"/>
    <hyperlink ref="B103" r:id="rId203" xr:uid="{00000000-0004-0000-0100-0000CA000000}"/>
    <hyperlink ref="H103" r:id="rId204" xr:uid="{00000000-0004-0000-0100-0000CB000000}"/>
    <hyperlink ref="B104" r:id="rId205" xr:uid="{00000000-0004-0000-0100-0000CC000000}"/>
    <hyperlink ref="H104" r:id="rId206" xr:uid="{00000000-0004-0000-0100-0000CD000000}"/>
    <hyperlink ref="B105" r:id="rId207" xr:uid="{00000000-0004-0000-0100-0000CE000000}"/>
    <hyperlink ref="H105" r:id="rId208" xr:uid="{00000000-0004-0000-0100-0000CF000000}"/>
    <hyperlink ref="B106" r:id="rId209" xr:uid="{00000000-0004-0000-0100-0000D0000000}"/>
    <hyperlink ref="H106" r:id="rId210" xr:uid="{00000000-0004-0000-0100-0000D1000000}"/>
    <hyperlink ref="B107" r:id="rId211" xr:uid="{00000000-0004-0000-0100-0000D2000000}"/>
    <hyperlink ref="H107" r:id="rId212" xr:uid="{00000000-0004-0000-0100-0000D3000000}"/>
    <hyperlink ref="B108" r:id="rId213" xr:uid="{00000000-0004-0000-0100-0000D4000000}"/>
    <hyperlink ref="H108" r:id="rId214" xr:uid="{00000000-0004-0000-0100-0000D5000000}"/>
    <hyperlink ref="B109" r:id="rId215" xr:uid="{00000000-0004-0000-0100-0000D6000000}"/>
    <hyperlink ref="H109" r:id="rId216" xr:uid="{00000000-0004-0000-0100-0000D7000000}"/>
    <hyperlink ref="B110" r:id="rId217" xr:uid="{00000000-0004-0000-0100-0000D8000000}"/>
    <hyperlink ref="H110" r:id="rId218" xr:uid="{00000000-0004-0000-0100-0000D9000000}"/>
    <hyperlink ref="B111" r:id="rId219" xr:uid="{00000000-0004-0000-0100-0000DA000000}"/>
    <hyperlink ref="H111" r:id="rId220" xr:uid="{00000000-0004-0000-0100-0000DB000000}"/>
    <hyperlink ref="B112" r:id="rId221" xr:uid="{00000000-0004-0000-0100-0000DC000000}"/>
    <hyperlink ref="H112" r:id="rId222" xr:uid="{00000000-0004-0000-0100-0000DD000000}"/>
    <hyperlink ref="B113" r:id="rId223" xr:uid="{00000000-0004-0000-0100-0000DE000000}"/>
    <hyperlink ref="H113" r:id="rId224" xr:uid="{00000000-0004-0000-0100-0000DF000000}"/>
    <hyperlink ref="B114" r:id="rId225" xr:uid="{00000000-0004-0000-0100-0000E0000000}"/>
    <hyperlink ref="H114" r:id="rId226" xr:uid="{00000000-0004-0000-0100-0000E1000000}"/>
    <hyperlink ref="B115" r:id="rId227" xr:uid="{00000000-0004-0000-0100-0000E2000000}"/>
    <hyperlink ref="H115" r:id="rId228" xr:uid="{00000000-0004-0000-0100-0000E3000000}"/>
    <hyperlink ref="B116" r:id="rId229" xr:uid="{00000000-0004-0000-0100-0000E4000000}"/>
    <hyperlink ref="H116" r:id="rId230" xr:uid="{00000000-0004-0000-0100-0000E5000000}"/>
    <hyperlink ref="B117" r:id="rId231" xr:uid="{00000000-0004-0000-0100-0000E6000000}"/>
    <hyperlink ref="H117" r:id="rId232" xr:uid="{00000000-0004-0000-0100-0000E7000000}"/>
    <hyperlink ref="B118" r:id="rId233" xr:uid="{00000000-0004-0000-0100-0000E8000000}"/>
    <hyperlink ref="H118" r:id="rId234" xr:uid="{00000000-0004-0000-0100-0000E9000000}"/>
    <hyperlink ref="B119" r:id="rId235" xr:uid="{00000000-0004-0000-0100-0000EA000000}"/>
    <hyperlink ref="H119" r:id="rId236" xr:uid="{00000000-0004-0000-0100-0000EB000000}"/>
    <hyperlink ref="B120" r:id="rId237" xr:uid="{00000000-0004-0000-0100-0000EC000000}"/>
    <hyperlink ref="H120" r:id="rId238" xr:uid="{00000000-0004-0000-0100-0000ED000000}"/>
    <hyperlink ref="B121" r:id="rId239" xr:uid="{00000000-0004-0000-0100-0000EE000000}"/>
    <hyperlink ref="H121" r:id="rId240" xr:uid="{00000000-0004-0000-0100-0000EF000000}"/>
    <hyperlink ref="B122" r:id="rId241" xr:uid="{00000000-0004-0000-0100-0000F0000000}"/>
    <hyperlink ref="H122" r:id="rId242" xr:uid="{00000000-0004-0000-0100-0000F1000000}"/>
    <hyperlink ref="B123" r:id="rId243" xr:uid="{00000000-0004-0000-0100-0000F2000000}"/>
    <hyperlink ref="H123" r:id="rId244" xr:uid="{00000000-0004-0000-0100-0000F3000000}"/>
    <hyperlink ref="B124" r:id="rId245" xr:uid="{00000000-0004-0000-0100-0000F4000000}"/>
    <hyperlink ref="H124" r:id="rId246" xr:uid="{00000000-0004-0000-0100-0000F5000000}"/>
    <hyperlink ref="B125" r:id="rId247" xr:uid="{00000000-0004-0000-0100-0000F6000000}"/>
    <hyperlink ref="H125" r:id="rId248" xr:uid="{00000000-0004-0000-0100-0000F7000000}"/>
    <hyperlink ref="B126" r:id="rId249" xr:uid="{00000000-0004-0000-0100-0000F8000000}"/>
    <hyperlink ref="H126" r:id="rId250" xr:uid="{00000000-0004-0000-0100-0000F9000000}"/>
    <hyperlink ref="B127" r:id="rId251" xr:uid="{00000000-0004-0000-0100-0000FA000000}"/>
    <hyperlink ref="H127" r:id="rId252" xr:uid="{00000000-0004-0000-0100-0000FB000000}"/>
    <hyperlink ref="B128" r:id="rId253" xr:uid="{00000000-0004-0000-0100-0000FC000000}"/>
    <hyperlink ref="H128" r:id="rId254" xr:uid="{00000000-0004-0000-0100-0000FD000000}"/>
    <hyperlink ref="B129" r:id="rId255" xr:uid="{00000000-0004-0000-0100-0000FE000000}"/>
    <hyperlink ref="H129" r:id="rId256" xr:uid="{00000000-0004-0000-0100-0000FF000000}"/>
    <hyperlink ref="B130" r:id="rId257" xr:uid="{00000000-0004-0000-0100-000000010000}"/>
    <hyperlink ref="H130" r:id="rId258" xr:uid="{00000000-0004-0000-0100-00000101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1C232"/>
  </sheetPr>
  <dimension ref="A1:R154"/>
  <sheetViews>
    <sheetView workbookViewId="0">
      <pane ySplit="1" topLeftCell="A2" activePane="bottomLeft" state="frozen"/>
      <selection pane="bottomLeft" activeCell="B3" sqref="B3"/>
    </sheetView>
  </sheetViews>
  <sheetFormatPr baseColWidth="10" defaultColWidth="14.44140625" defaultRowHeight="15" customHeight="1"/>
  <cols>
    <col min="1" max="1" width="8.109375" customWidth="1"/>
    <col min="2" max="2" width="30.109375" customWidth="1"/>
    <col min="3" max="3" width="16.6640625" customWidth="1"/>
    <col min="4" max="4" width="9.5546875" customWidth="1"/>
    <col min="5" max="5" width="10" customWidth="1"/>
    <col min="6" max="7" width="13.5546875" customWidth="1"/>
    <col min="8" max="8" width="20.5546875" customWidth="1"/>
    <col min="9" max="9" width="59" customWidth="1"/>
    <col min="10" max="10" width="23.109375" customWidth="1"/>
    <col min="11" max="11" width="8.109375" customWidth="1"/>
    <col min="12" max="12" width="20.6640625" customWidth="1"/>
    <col min="13" max="15" width="12.88671875" customWidth="1"/>
    <col min="16" max="16" width="12.109375" customWidth="1"/>
    <col min="17" max="18" width="17.44140625" customWidth="1"/>
  </cols>
  <sheetData>
    <row r="1" spans="1:18" ht="27" customHeight="1">
      <c r="A1" s="68"/>
      <c r="B1" s="69" t="s">
        <v>0</v>
      </c>
      <c r="C1" s="70" t="s">
        <v>409</v>
      </c>
      <c r="D1" s="70" t="s">
        <v>2</v>
      </c>
      <c r="E1" s="70" t="s">
        <v>3</v>
      </c>
      <c r="F1" s="70" t="s">
        <v>4</v>
      </c>
      <c r="G1" s="71" t="s">
        <v>410</v>
      </c>
      <c r="H1" s="68" t="s">
        <v>6</v>
      </c>
      <c r="I1" s="72" t="s">
        <v>411</v>
      </c>
      <c r="J1" s="73" t="s">
        <v>8</v>
      </c>
      <c r="K1" s="74" t="s">
        <v>9</v>
      </c>
      <c r="L1" s="8" t="s">
        <v>10</v>
      </c>
      <c r="M1" s="8" t="s">
        <v>11</v>
      </c>
      <c r="N1" s="75" t="s">
        <v>12</v>
      </c>
      <c r="O1" s="75" t="s">
        <v>13</v>
      </c>
      <c r="P1" s="10" t="s">
        <v>14</v>
      </c>
      <c r="Q1" s="9" t="s">
        <v>15</v>
      </c>
      <c r="R1" s="11" t="s">
        <v>16</v>
      </c>
    </row>
    <row r="2" spans="1:18" ht="27" customHeight="1">
      <c r="A2" s="76">
        <v>70</v>
      </c>
      <c r="B2" s="38" t="s">
        <v>412</v>
      </c>
      <c r="C2" s="77" t="s">
        <v>412</v>
      </c>
      <c r="D2" s="78" t="s">
        <v>31</v>
      </c>
      <c r="E2" s="78">
        <v>25</v>
      </c>
      <c r="F2" s="78">
        <v>1</v>
      </c>
      <c r="G2" s="15" t="s">
        <v>20</v>
      </c>
      <c r="H2" s="16" t="s">
        <v>413</v>
      </c>
      <c r="I2" s="17" t="s">
        <v>414</v>
      </c>
      <c r="J2" s="79"/>
      <c r="K2" s="80" t="str">
        <f t="shared" ref="K2:K147" si="0">"C - "&amp;A2</f>
        <v>C - 70</v>
      </c>
      <c r="L2" s="51"/>
      <c r="M2" s="51"/>
      <c r="N2" s="51"/>
      <c r="O2" s="51"/>
      <c r="P2" s="81"/>
      <c r="Q2" s="23" t="str">
        <f t="shared" ref="Q2:Q147" ca="1" si="1">IF(P2="","-", IF(DATEDIF(P2,TODAY(),"Y")=0,"",IF(DATEDIF(P2,TODAY(),"Y")=1,DATEDIF(P2,TODAY(),"Y")&amp;" año con ",DATEDIF(P2,TODAY(),"Y")&amp;" años con "))&amp;IF(DATEDIF(P2,TODAY(),"YM")=0,"",IF(DATEDIF(P2,TODAY(),"YM")=1,DATEDIF(P2,TODAY(),"YM")&amp;" mes y ",DATEDIF(P2,TODAY(),"YM")&amp;" meses y "))&amp;IF(DATEDIF(P2,TODAY(),"MD")=0,"",IF(DATEDIF(P2,TODAY(),"MD")=1,DATEDIF(P2,TODAY(),"MD")&amp;" día",DATEDIF(P2,TODAY(),"MD")&amp;" días")))</f>
        <v>-</v>
      </c>
      <c r="R2" s="23"/>
    </row>
    <row r="3" spans="1:18" ht="27" customHeight="1">
      <c r="A3" s="24">
        <v>71</v>
      </c>
      <c r="B3" s="82" t="s">
        <v>412</v>
      </c>
      <c r="C3" s="77" t="s">
        <v>412</v>
      </c>
      <c r="D3" s="78" t="s">
        <v>100</v>
      </c>
      <c r="E3" s="78">
        <v>660</v>
      </c>
      <c r="F3" s="78">
        <v>1</v>
      </c>
      <c r="G3" s="83" t="s">
        <v>20</v>
      </c>
      <c r="H3" s="34" t="s">
        <v>413</v>
      </c>
      <c r="I3" s="84"/>
      <c r="J3" s="79"/>
      <c r="K3" s="80" t="str">
        <f t="shared" si="0"/>
        <v>C - 71</v>
      </c>
      <c r="L3" s="51"/>
      <c r="M3" s="51"/>
      <c r="N3" s="51"/>
      <c r="O3" s="51"/>
      <c r="P3" s="81"/>
      <c r="Q3" s="23" t="str">
        <f t="shared" ca="1" si="1"/>
        <v>-</v>
      </c>
      <c r="R3" s="23"/>
    </row>
    <row r="4" spans="1:18" ht="27" customHeight="1">
      <c r="A4" s="76">
        <v>72</v>
      </c>
      <c r="B4" s="85" t="s">
        <v>412</v>
      </c>
      <c r="C4" s="86" t="s">
        <v>412</v>
      </c>
      <c r="D4" s="87" t="s">
        <v>26</v>
      </c>
      <c r="E4" s="87" t="s">
        <v>415</v>
      </c>
      <c r="F4" s="87">
        <v>1</v>
      </c>
      <c r="G4" s="15" t="s">
        <v>20</v>
      </c>
      <c r="H4" s="28" t="s">
        <v>413</v>
      </c>
      <c r="I4" s="17" t="s">
        <v>414</v>
      </c>
      <c r="J4" s="88"/>
      <c r="K4" s="80" t="str">
        <f t="shared" si="0"/>
        <v>C - 72</v>
      </c>
      <c r="L4" s="51"/>
      <c r="M4" s="51"/>
      <c r="N4" s="51"/>
      <c r="O4" s="51"/>
      <c r="P4" s="81"/>
      <c r="Q4" s="23" t="str">
        <f t="shared" ca="1" si="1"/>
        <v>-</v>
      </c>
      <c r="R4" s="23"/>
    </row>
    <row r="5" spans="1:18" ht="27" customHeight="1">
      <c r="A5" s="24">
        <v>73</v>
      </c>
      <c r="B5" s="89" t="s">
        <v>412</v>
      </c>
      <c r="C5" s="86" t="s">
        <v>412</v>
      </c>
      <c r="D5" s="87" t="s">
        <v>100</v>
      </c>
      <c r="E5" s="87">
        <v>1570</v>
      </c>
      <c r="F5" s="87">
        <v>1</v>
      </c>
      <c r="G5" s="90" t="s">
        <v>388</v>
      </c>
      <c r="H5" s="91" t="s">
        <v>413</v>
      </c>
      <c r="I5" s="84"/>
      <c r="J5" s="92"/>
      <c r="K5" s="80" t="str">
        <f t="shared" si="0"/>
        <v>C - 73</v>
      </c>
      <c r="L5" s="51"/>
      <c r="M5" s="51"/>
      <c r="N5" s="51"/>
      <c r="O5" s="51"/>
      <c r="P5" s="81"/>
      <c r="Q5" s="23" t="str">
        <f t="shared" ca="1" si="1"/>
        <v>-</v>
      </c>
      <c r="R5" s="23"/>
    </row>
    <row r="6" spans="1:18" ht="27" customHeight="1">
      <c r="A6" s="76">
        <v>61</v>
      </c>
      <c r="B6" s="85" t="s">
        <v>416</v>
      </c>
      <c r="C6" s="86" t="s">
        <v>417</v>
      </c>
      <c r="D6" s="87" t="s">
        <v>31</v>
      </c>
      <c r="E6" s="87">
        <v>41</v>
      </c>
      <c r="F6" s="87">
        <v>5</v>
      </c>
      <c r="G6" s="90" t="s">
        <v>388</v>
      </c>
      <c r="H6" s="28" t="s">
        <v>418</v>
      </c>
      <c r="I6" s="17" t="s">
        <v>419</v>
      </c>
      <c r="J6" s="88"/>
      <c r="K6" s="80" t="str">
        <f t="shared" si="0"/>
        <v>C - 61</v>
      </c>
      <c r="L6" s="51"/>
      <c r="M6" s="51"/>
      <c r="N6" s="51"/>
      <c r="O6" s="51"/>
      <c r="P6" s="81"/>
      <c r="Q6" s="23" t="str">
        <f t="shared" ca="1" si="1"/>
        <v>-</v>
      </c>
      <c r="R6" s="23"/>
    </row>
    <row r="7" spans="1:18" ht="27" customHeight="1">
      <c r="A7" s="93">
        <v>122</v>
      </c>
      <c r="B7" s="85" t="s">
        <v>420</v>
      </c>
      <c r="C7" s="86" t="s">
        <v>417</v>
      </c>
      <c r="D7" s="87" t="s">
        <v>26</v>
      </c>
      <c r="E7" s="87" t="s">
        <v>421</v>
      </c>
      <c r="F7" s="87">
        <v>5</v>
      </c>
      <c r="G7" s="94" t="s">
        <v>223</v>
      </c>
      <c r="H7" s="28" t="s">
        <v>422</v>
      </c>
      <c r="I7" s="17" t="s">
        <v>423</v>
      </c>
      <c r="J7" s="88"/>
      <c r="K7" s="80" t="str">
        <f t="shared" si="0"/>
        <v>C - 122</v>
      </c>
      <c r="L7" s="95" t="s">
        <v>23</v>
      </c>
      <c r="M7" s="95" t="s">
        <v>24</v>
      </c>
      <c r="N7" s="51"/>
      <c r="O7" s="51"/>
      <c r="P7" s="81"/>
      <c r="Q7" s="23" t="str">
        <f t="shared" ca="1" si="1"/>
        <v>-</v>
      </c>
      <c r="R7" s="23"/>
    </row>
    <row r="8" spans="1:18" ht="27" customHeight="1">
      <c r="A8" s="12">
        <v>132</v>
      </c>
      <c r="B8" s="85" t="s">
        <v>424</v>
      </c>
      <c r="C8" s="86" t="s">
        <v>417</v>
      </c>
      <c r="D8" s="87" t="s">
        <v>26</v>
      </c>
      <c r="E8" s="87">
        <v>97.7</v>
      </c>
      <c r="F8" s="87">
        <v>5</v>
      </c>
      <c r="G8" s="15" t="s">
        <v>20</v>
      </c>
      <c r="H8" s="28" t="s">
        <v>425</v>
      </c>
      <c r="I8" s="17" t="s">
        <v>426</v>
      </c>
      <c r="J8" s="88"/>
      <c r="K8" s="80" t="str">
        <f t="shared" si="0"/>
        <v>C - 132</v>
      </c>
      <c r="L8" s="95" t="s">
        <v>23</v>
      </c>
      <c r="M8" s="95" t="s">
        <v>24</v>
      </c>
      <c r="N8" s="51"/>
      <c r="O8" s="51"/>
      <c r="P8" s="81"/>
      <c r="Q8" s="23" t="str">
        <f t="shared" ca="1" si="1"/>
        <v>-</v>
      </c>
      <c r="R8" s="23"/>
    </row>
    <row r="9" spans="1:18" ht="27" customHeight="1">
      <c r="A9" s="24">
        <v>12</v>
      </c>
      <c r="B9" s="96" t="s">
        <v>427</v>
      </c>
      <c r="C9" s="97" t="s">
        <v>427</v>
      </c>
      <c r="D9" s="98" t="s">
        <v>31</v>
      </c>
      <c r="E9" s="98">
        <v>39</v>
      </c>
      <c r="F9" s="98">
        <v>13</v>
      </c>
      <c r="G9" s="15" t="s">
        <v>20</v>
      </c>
      <c r="H9" s="99" t="s">
        <v>428</v>
      </c>
      <c r="I9" s="17" t="s">
        <v>429</v>
      </c>
      <c r="J9" s="88"/>
      <c r="K9" s="80" t="str">
        <f t="shared" si="0"/>
        <v>C - 12</v>
      </c>
      <c r="L9" s="95" t="s">
        <v>23</v>
      </c>
      <c r="M9" s="95" t="s">
        <v>24</v>
      </c>
      <c r="N9" s="51"/>
      <c r="O9" s="51"/>
      <c r="P9" s="81"/>
      <c r="Q9" s="23" t="str">
        <f t="shared" ca="1" si="1"/>
        <v>-</v>
      </c>
      <c r="R9" s="23"/>
    </row>
    <row r="10" spans="1:18" ht="27" customHeight="1">
      <c r="A10" s="76">
        <v>13</v>
      </c>
      <c r="B10" s="85" t="s">
        <v>427</v>
      </c>
      <c r="C10" s="86" t="s">
        <v>427</v>
      </c>
      <c r="D10" s="87" t="s">
        <v>26</v>
      </c>
      <c r="E10" s="87">
        <v>93.9</v>
      </c>
      <c r="F10" s="87">
        <v>13</v>
      </c>
      <c r="G10" s="15" t="s">
        <v>20</v>
      </c>
      <c r="H10" s="28" t="s">
        <v>428</v>
      </c>
      <c r="I10" s="17" t="s">
        <v>429</v>
      </c>
      <c r="J10" s="88" t="s">
        <v>430</v>
      </c>
      <c r="K10" s="80" t="str">
        <f t="shared" si="0"/>
        <v>C - 13</v>
      </c>
      <c r="L10" s="95" t="s">
        <v>23</v>
      </c>
      <c r="M10" s="95" t="s">
        <v>24</v>
      </c>
      <c r="N10" s="51"/>
      <c r="O10" s="51"/>
      <c r="P10" s="81"/>
      <c r="Q10" s="23" t="str">
        <f t="shared" ca="1" si="1"/>
        <v>-</v>
      </c>
      <c r="R10" s="23"/>
    </row>
    <row r="11" spans="1:18" ht="27" customHeight="1">
      <c r="A11" s="93">
        <v>14</v>
      </c>
      <c r="B11" s="85" t="s">
        <v>427</v>
      </c>
      <c r="C11" s="86" t="s">
        <v>427</v>
      </c>
      <c r="D11" s="86" t="s">
        <v>431</v>
      </c>
      <c r="E11" s="86">
        <v>780</v>
      </c>
      <c r="F11" s="86">
        <v>13</v>
      </c>
      <c r="G11" s="15" t="s">
        <v>20</v>
      </c>
      <c r="H11" s="28" t="s">
        <v>432</v>
      </c>
      <c r="I11" s="17" t="s">
        <v>429</v>
      </c>
      <c r="J11" s="88"/>
      <c r="K11" s="80" t="str">
        <f t="shared" si="0"/>
        <v>C - 14</v>
      </c>
      <c r="L11" s="95" t="s">
        <v>23</v>
      </c>
      <c r="M11" s="95" t="s">
        <v>24</v>
      </c>
      <c r="N11" s="51"/>
      <c r="O11" s="51"/>
      <c r="P11" s="81"/>
      <c r="Q11" s="23" t="str">
        <f t="shared" ca="1" si="1"/>
        <v>-</v>
      </c>
      <c r="R11" s="23"/>
    </row>
    <row r="12" spans="1:18" ht="27" customHeight="1">
      <c r="A12" s="12">
        <v>23</v>
      </c>
      <c r="B12" s="85" t="s">
        <v>433</v>
      </c>
      <c r="C12" s="86" t="s">
        <v>427</v>
      </c>
      <c r="D12" s="87" t="s">
        <v>19</v>
      </c>
      <c r="E12" s="87">
        <v>9</v>
      </c>
      <c r="F12" s="87">
        <v>13</v>
      </c>
      <c r="G12" s="15" t="s">
        <v>20</v>
      </c>
      <c r="H12" s="28" t="s">
        <v>434</v>
      </c>
      <c r="I12" s="17" t="s">
        <v>435</v>
      </c>
      <c r="J12" s="88"/>
      <c r="K12" s="80" t="str">
        <f t="shared" si="0"/>
        <v>C - 23</v>
      </c>
      <c r="L12" s="51"/>
      <c r="M12" s="51"/>
      <c r="N12" s="51"/>
      <c r="O12" s="51"/>
      <c r="P12" s="81"/>
      <c r="Q12" s="23" t="str">
        <f t="shared" ca="1" si="1"/>
        <v>-</v>
      </c>
      <c r="R12" s="23"/>
    </row>
    <row r="13" spans="1:18" ht="27" customHeight="1">
      <c r="A13" s="93">
        <v>52</v>
      </c>
      <c r="B13" s="85" t="s">
        <v>436</v>
      </c>
      <c r="C13" s="86" t="s">
        <v>427</v>
      </c>
      <c r="D13" s="87" t="s">
        <v>26</v>
      </c>
      <c r="E13" s="87">
        <v>101.7</v>
      </c>
      <c r="F13" s="87">
        <v>13</v>
      </c>
      <c r="G13" s="15" t="s">
        <v>20</v>
      </c>
      <c r="H13" s="28" t="s">
        <v>437</v>
      </c>
      <c r="I13" s="17" t="s">
        <v>438</v>
      </c>
      <c r="J13" s="88"/>
      <c r="K13" s="80" t="str">
        <f t="shared" si="0"/>
        <v>C - 52</v>
      </c>
      <c r="L13" s="51"/>
      <c r="M13" s="51"/>
      <c r="N13" s="51"/>
      <c r="O13" s="51"/>
      <c r="P13" s="81"/>
      <c r="Q13" s="23" t="str">
        <f t="shared" ca="1" si="1"/>
        <v>-</v>
      </c>
      <c r="R13" s="23"/>
    </row>
    <row r="14" spans="1:18" ht="27" customHeight="1">
      <c r="A14" s="76">
        <v>89</v>
      </c>
      <c r="B14" s="85" t="s">
        <v>439</v>
      </c>
      <c r="C14" s="86" t="s">
        <v>427</v>
      </c>
      <c r="D14" s="87" t="s">
        <v>26</v>
      </c>
      <c r="E14" s="87">
        <v>98.1</v>
      </c>
      <c r="F14" s="87">
        <v>13</v>
      </c>
      <c r="G14" s="15" t="s">
        <v>20</v>
      </c>
      <c r="H14" s="28" t="s">
        <v>440</v>
      </c>
      <c r="I14" s="17" t="s">
        <v>441</v>
      </c>
      <c r="J14" s="88"/>
      <c r="K14" s="80" t="str">
        <f t="shared" si="0"/>
        <v>C - 89</v>
      </c>
      <c r="L14" s="95" t="s">
        <v>23</v>
      </c>
      <c r="M14" s="95" t="s">
        <v>24</v>
      </c>
      <c r="N14" s="51"/>
      <c r="O14" s="51"/>
      <c r="P14" s="81"/>
      <c r="Q14" s="23" t="str">
        <f t="shared" ca="1" si="1"/>
        <v>-</v>
      </c>
      <c r="R14" s="23"/>
    </row>
    <row r="15" spans="1:18" ht="27" customHeight="1">
      <c r="A15" s="12">
        <v>114</v>
      </c>
      <c r="B15" s="85" t="s">
        <v>442</v>
      </c>
      <c r="C15" s="86" t="s">
        <v>427</v>
      </c>
      <c r="D15" s="87" t="s">
        <v>26</v>
      </c>
      <c r="E15" s="87">
        <v>93.5</v>
      </c>
      <c r="F15" s="87">
        <v>13</v>
      </c>
      <c r="G15" s="15" t="s">
        <v>20</v>
      </c>
      <c r="H15" s="28" t="s">
        <v>443</v>
      </c>
      <c r="I15" s="17" t="s">
        <v>444</v>
      </c>
      <c r="J15" s="88"/>
      <c r="K15" s="80" t="str">
        <f t="shared" si="0"/>
        <v>C - 114</v>
      </c>
      <c r="L15" s="51"/>
      <c r="M15" s="51"/>
      <c r="N15" s="51"/>
      <c r="O15" s="51"/>
      <c r="P15" s="81"/>
      <c r="Q15" s="23" t="str">
        <f t="shared" ca="1" si="1"/>
        <v>-</v>
      </c>
      <c r="R15" s="23"/>
    </row>
    <row r="16" spans="1:18" ht="27" customHeight="1">
      <c r="A16" s="93">
        <v>115</v>
      </c>
      <c r="B16" s="85" t="s">
        <v>442</v>
      </c>
      <c r="C16" s="86" t="s">
        <v>427</v>
      </c>
      <c r="D16" s="87" t="s">
        <v>19</v>
      </c>
      <c r="E16" s="87">
        <v>9</v>
      </c>
      <c r="F16" s="87">
        <v>13</v>
      </c>
      <c r="G16" s="15" t="s">
        <v>20</v>
      </c>
      <c r="H16" s="28" t="s">
        <v>443</v>
      </c>
      <c r="I16" s="17" t="s">
        <v>444</v>
      </c>
      <c r="J16" s="88"/>
      <c r="K16" s="80" t="str">
        <f t="shared" si="0"/>
        <v>C - 115</v>
      </c>
      <c r="L16" s="51"/>
      <c r="M16" s="51"/>
      <c r="N16" s="51"/>
      <c r="O16" s="51"/>
      <c r="P16" s="81"/>
      <c r="Q16" s="23" t="str">
        <f t="shared" ca="1" si="1"/>
        <v>-</v>
      </c>
      <c r="R16" s="23"/>
    </row>
    <row r="17" spans="1:18" ht="27" customHeight="1">
      <c r="A17" s="12">
        <v>119</v>
      </c>
      <c r="B17" s="85" t="s">
        <v>445</v>
      </c>
      <c r="C17" s="86" t="s">
        <v>427</v>
      </c>
      <c r="D17" s="87" t="s">
        <v>19</v>
      </c>
      <c r="E17" s="87">
        <v>6</v>
      </c>
      <c r="F17" s="87">
        <v>13</v>
      </c>
      <c r="G17" s="40" t="s">
        <v>20</v>
      </c>
      <c r="H17" s="25" t="s">
        <v>446</v>
      </c>
      <c r="I17" s="35" t="s">
        <v>447</v>
      </c>
      <c r="J17" s="88"/>
      <c r="K17" s="80" t="str">
        <f t="shared" si="0"/>
        <v>C - 119</v>
      </c>
      <c r="L17" s="51"/>
      <c r="M17" s="51"/>
      <c r="N17" s="51"/>
      <c r="O17" s="51"/>
      <c r="P17" s="81"/>
      <c r="Q17" s="23" t="str">
        <f t="shared" ca="1" si="1"/>
        <v>-</v>
      </c>
      <c r="R17" s="23"/>
    </row>
    <row r="18" spans="1:18" ht="27" customHeight="1">
      <c r="A18" s="93">
        <v>131</v>
      </c>
      <c r="B18" s="85" t="s">
        <v>448</v>
      </c>
      <c r="C18" s="86" t="s">
        <v>427</v>
      </c>
      <c r="D18" s="87" t="s">
        <v>19</v>
      </c>
      <c r="E18" s="87">
        <v>7</v>
      </c>
      <c r="F18" s="87">
        <v>13</v>
      </c>
      <c r="G18" s="15" t="s">
        <v>20</v>
      </c>
      <c r="H18" s="28" t="s">
        <v>449</v>
      </c>
      <c r="I18" s="17" t="s">
        <v>450</v>
      </c>
      <c r="J18" s="88"/>
      <c r="K18" s="80" t="str">
        <f t="shared" si="0"/>
        <v>C - 131</v>
      </c>
      <c r="L18" s="51"/>
      <c r="M18" s="51"/>
      <c r="N18" s="51"/>
      <c r="O18" s="51"/>
      <c r="P18" s="81"/>
      <c r="Q18" s="23" t="str">
        <f t="shared" ca="1" si="1"/>
        <v>-</v>
      </c>
      <c r="R18" s="23"/>
    </row>
    <row r="19" spans="1:18" ht="27" customHeight="1">
      <c r="A19" s="76">
        <v>48</v>
      </c>
      <c r="B19" s="85" t="s">
        <v>451</v>
      </c>
      <c r="C19" s="86" t="s">
        <v>452</v>
      </c>
      <c r="D19" s="87" t="s">
        <v>31</v>
      </c>
      <c r="E19" s="87">
        <v>29</v>
      </c>
      <c r="F19" s="87">
        <v>15</v>
      </c>
      <c r="G19" s="40" t="s">
        <v>20</v>
      </c>
      <c r="H19" s="28" t="s">
        <v>453</v>
      </c>
      <c r="I19" s="35" t="s">
        <v>454</v>
      </c>
      <c r="J19" s="88"/>
      <c r="K19" s="80" t="str">
        <f t="shared" si="0"/>
        <v>C - 48</v>
      </c>
      <c r="L19" s="51"/>
      <c r="M19" s="51"/>
      <c r="N19" s="51"/>
      <c r="O19" s="51"/>
      <c r="P19" s="81"/>
      <c r="Q19" s="23" t="str">
        <f t="shared" ca="1" si="1"/>
        <v>-</v>
      </c>
      <c r="R19" s="23"/>
    </row>
    <row r="20" spans="1:18" ht="27" customHeight="1">
      <c r="A20" s="24">
        <v>49</v>
      </c>
      <c r="B20" s="85" t="s">
        <v>451</v>
      </c>
      <c r="C20" s="86" t="s">
        <v>452</v>
      </c>
      <c r="D20" s="87" t="s">
        <v>100</v>
      </c>
      <c r="E20" s="87">
        <v>1050</v>
      </c>
      <c r="F20" s="87">
        <v>15</v>
      </c>
      <c r="G20" s="40" t="s">
        <v>20</v>
      </c>
      <c r="H20" s="28" t="s">
        <v>453</v>
      </c>
      <c r="I20" s="35" t="s">
        <v>454</v>
      </c>
      <c r="J20" s="88"/>
      <c r="K20" s="80" t="str">
        <f t="shared" si="0"/>
        <v>C - 49</v>
      </c>
      <c r="L20" s="51"/>
      <c r="M20" s="51"/>
      <c r="N20" s="51"/>
      <c r="O20" s="51"/>
      <c r="P20" s="81"/>
      <c r="Q20" s="23" t="str">
        <f t="shared" ca="1" si="1"/>
        <v>-</v>
      </c>
      <c r="R20" s="23"/>
    </row>
    <row r="21" spans="1:18" ht="27" customHeight="1">
      <c r="A21" s="76">
        <v>50</v>
      </c>
      <c r="B21" s="85" t="s">
        <v>451</v>
      </c>
      <c r="C21" s="86" t="s">
        <v>452</v>
      </c>
      <c r="D21" s="86" t="s">
        <v>26</v>
      </c>
      <c r="E21" s="86" t="s">
        <v>102</v>
      </c>
      <c r="F21" s="86">
        <v>15</v>
      </c>
      <c r="G21" s="40" t="s">
        <v>20</v>
      </c>
      <c r="H21" s="28" t="s">
        <v>455</v>
      </c>
      <c r="I21" s="35"/>
      <c r="J21" s="88"/>
      <c r="K21" s="80" t="str">
        <f t="shared" si="0"/>
        <v>C - 50</v>
      </c>
      <c r="L21" s="51"/>
      <c r="M21" s="51"/>
      <c r="N21" s="51"/>
      <c r="O21" s="51"/>
      <c r="P21" s="81"/>
      <c r="Q21" s="23" t="str">
        <f t="shared" ca="1" si="1"/>
        <v>-</v>
      </c>
      <c r="R21" s="23"/>
    </row>
    <row r="22" spans="1:18" ht="27" customHeight="1">
      <c r="A22" s="24">
        <v>99</v>
      </c>
      <c r="B22" s="100" t="s">
        <v>456</v>
      </c>
      <c r="C22" s="86" t="s">
        <v>457</v>
      </c>
      <c r="D22" s="87" t="s">
        <v>26</v>
      </c>
      <c r="E22" s="87">
        <v>94.7</v>
      </c>
      <c r="F22" s="87">
        <v>15</v>
      </c>
      <c r="G22" s="15" t="s">
        <v>20</v>
      </c>
      <c r="H22" s="28" t="s">
        <v>458</v>
      </c>
      <c r="I22" s="17" t="s">
        <v>454</v>
      </c>
      <c r="J22" s="88"/>
      <c r="K22" s="80" t="str">
        <f t="shared" si="0"/>
        <v>C - 99</v>
      </c>
      <c r="L22" s="51"/>
      <c r="M22" s="51"/>
      <c r="N22" s="51"/>
      <c r="O22" s="51"/>
      <c r="P22" s="81"/>
      <c r="Q22" s="23" t="str">
        <f t="shared" ca="1" si="1"/>
        <v>-</v>
      </c>
      <c r="R22" s="23"/>
    </row>
    <row r="23" spans="1:18" ht="27" customHeight="1">
      <c r="A23" s="76">
        <v>78</v>
      </c>
      <c r="B23" s="85" t="s">
        <v>459</v>
      </c>
      <c r="C23" s="86" t="s">
        <v>460</v>
      </c>
      <c r="D23" s="87" t="s">
        <v>26</v>
      </c>
      <c r="E23" s="87">
        <v>99.7</v>
      </c>
      <c r="F23" s="87">
        <v>17</v>
      </c>
      <c r="G23" s="15" t="s">
        <v>20</v>
      </c>
      <c r="H23" s="28" t="s">
        <v>461</v>
      </c>
      <c r="I23" s="17" t="s">
        <v>454</v>
      </c>
      <c r="J23" s="88"/>
      <c r="K23" s="80" t="str">
        <f t="shared" si="0"/>
        <v>C - 78</v>
      </c>
      <c r="L23" s="51"/>
      <c r="M23" s="51"/>
      <c r="N23" s="51"/>
      <c r="O23" s="51"/>
      <c r="P23" s="81"/>
      <c r="Q23" s="23" t="str">
        <f t="shared" ca="1" si="1"/>
        <v>-</v>
      </c>
      <c r="R23" s="23"/>
    </row>
    <row r="24" spans="1:18" ht="27" customHeight="1">
      <c r="A24" s="93">
        <v>105</v>
      </c>
      <c r="B24" s="85" t="s">
        <v>462</v>
      </c>
      <c r="C24" s="86" t="s">
        <v>460</v>
      </c>
      <c r="D24" s="87" t="s">
        <v>31</v>
      </c>
      <c r="E24" s="87">
        <v>39</v>
      </c>
      <c r="F24" s="87">
        <v>17</v>
      </c>
      <c r="G24" s="15" t="s">
        <v>20</v>
      </c>
      <c r="H24" s="28" t="s">
        <v>463</v>
      </c>
      <c r="I24" s="17" t="s">
        <v>454</v>
      </c>
      <c r="J24" s="88"/>
      <c r="K24" s="80" t="str">
        <f t="shared" si="0"/>
        <v>C - 105</v>
      </c>
      <c r="L24" s="51"/>
      <c r="M24" s="51"/>
      <c r="N24" s="51"/>
      <c r="O24" s="51"/>
      <c r="P24" s="81"/>
      <c r="Q24" s="23" t="str">
        <f t="shared" ca="1" si="1"/>
        <v>-</v>
      </c>
      <c r="R24" s="23"/>
    </row>
    <row r="25" spans="1:18" ht="27" customHeight="1">
      <c r="A25" s="12">
        <v>106</v>
      </c>
      <c r="B25" s="85" t="s">
        <v>464</v>
      </c>
      <c r="C25" s="86" t="s">
        <v>460</v>
      </c>
      <c r="D25" s="87" t="s">
        <v>26</v>
      </c>
      <c r="E25" s="87">
        <v>101.3</v>
      </c>
      <c r="F25" s="87">
        <v>17</v>
      </c>
      <c r="G25" s="15" t="s">
        <v>20</v>
      </c>
      <c r="H25" s="28" t="s">
        <v>463</v>
      </c>
      <c r="I25" s="17" t="s">
        <v>444</v>
      </c>
      <c r="J25" s="88"/>
      <c r="K25" s="80" t="str">
        <f t="shared" si="0"/>
        <v>C - 106</v>
      </c>
      <c r="L25" s="51"/>
      <c r="M25" s="51"/>
      <c r="N25" s="51"/>
      <c r="O25" s="51"/>
      <c r="P25" s="81"/>
      <c r="Q25" s="23" t="str">
        <f t="shared" ca="1" si="1"/>
        <v>-</v>
      </c>
      <c r="R25" s="23"/>
    </row>
    <row r="26" spans="1:18" ht="27" customHeight="1">
      <c r="A26" s="93">
        <v>44</v>
      </c>
      <c r="B26" s="100" t="s">
        <v>465</v>
      </c>
      <c r="C26" s="86" t="s">
        <v>412</v>
      </c>
      <c r="D26" s="87" t="s">
        <v>26</v>
      </c>
      <c r="E26" s="87">
        <v>89.1</v>
      </c>
      <c r="F26" s="87">
        <v>20</v>
      </c>
      <c r="G26" s="15" t="s">
        <v>20</v>
      </c>
      <c r="H26" s="43" t="s">
        <v>466</v>
      </c>
      <c r="I26" s="17" t="s">
        <v>444</v>
      </c>
      <c r="J26" s="88"/>
      <c r="K26" s="80" t="str">
        <f t="shared" si="0"/>
        <v>C - 44</v>
      </c>
      <c r="L26" s="51"/>
      <c r="M26" s="51"/>
      <c r="N26" s="51"/>
      <c r="O26" s="51"/>
      <c r="P26" s="81"/>
      <c r="Q26" s="23" t="str">
        <f t="shared" ca="1" si="1"/>
        <v>-</v>
      </c>
      <c r="R26" s="23"/>
    </row>
    <row r="27" spans="1:18" ht="27" customHeight="1">
      <c r="A27" s="12">
        <v>45</v>
      </c>
      <c r="B27" s="85" t="s">
        <v>467</v>
      </c>
      <c r="C27" s="86" t="s">
        <v>412</v>
      </c>
      <c r="D27" s="87" t="s">
        <v>100</v>
      </c>
      <c r="E27" s="87">
        <v>1410</v>
      </c>
      <c r="F27" s="87">
        <v>20</v>
      </c>
      <c r="G27" s="90" t="s">
        <v>388</v>
      </c>
      <c r="H27" s="28" t="s">
        <v>468</v>
      </c>
      <c r="I27" s="17" t="s">
        <v>469</v>
      </c>
      <c r="J27" s="88"/>
      <c r="K27" s="80" t="str">
        <f t="shared" si="0"/>
        <v>C - 45</v>
      </c>
      <c r="L27" s="51"/>
      <c r="M27" s="51"/>
      <c r="N27" s="51"/>
      <c r="O27" s="51"/>
      <c r="P27" s="81"/>
      <c r="Q27" s="23" t="str">
        <f t="shared" ca="1" si="1"/>
        <v>-</v>
      </c>
      <c r="R27" s="23"/>
    </row>
    <row r="28" spans="1:18" ht="27" customHeight="1">
      <c r="A28" s="76">
        <v>46</v>
      </c>
      <c r="B28" s="100" t="s">
        <v>470</v>
      </c>
      <c r="C28" s="86" t="s">
        <v>120</v>
      </c>
      <c r="D28" s="86" t="s">
        <v>26</v>
      </c>
      <c r="E28" s="86">
        <v>98.1</v>
      </c>
      <c r="F28" s="86">
        <v>27</v>
      </c>
      <c r="G28" s="90" t="s">
        <v>388</v>
      </c>
      <c r="H28" s="28" t="s">
        <v>471</v>
      </c>
      <c r="I28" s="17" t="s">
        <v>472</v>
      </c>
      <c r="J28" s="88"/>
      <c r="K28" s="80" t="str">
        <f t="shared" si="0"/>
        <v>C - 46</v>
      </c>
      <c r="L28" s="51"/>
      <c r="M28" s="51"/>
      <c r="N28" s="51"/>
      <c r="O28" s="51"/>
      <c r="P28" s="81"/>
      <c r="Q28" s="23" t="str">
        <f t="shared" ca="1" si="1"/>
        <v>-</v>
      </c>
      <c r="R28" s="23"/>
    </row>
    <row r="29" spans="1:18" ht="27" customHeight="1">
      <c r="A29" s="93">
        <v>53</v>
      </c>
      <c r="B29" s="85" t="s">
        <v>473</v>
      </c>
      <c r="C29" s="86" t="s">
        <v>120</v>
      </c>
      <c r="D29" s="87" t="s">
        <v>26</v>
      </c>
      <c r="E29" s="87">
        <v>103.3</v>
      </c>
      <c r="F29" s="87">
        <v>27</v>
      </c>
      <c r="G29" s="15" t="s">
        <v>20</v>
      </c>
      <c r="H29" s="28" t="s">
        <v>474</v>
      </c>
      <c r="I29" s="17" t="s">
        <v>475</v>
      </c>
      <c r="J29" s="88"/>
      <c r="K29" s="80" t="str">
        <f t="shared" si="0"/>
        <v>C - 53</v>
      </c>
      <c r="L29" s="51"/>
      <c r="M29" s="51"/>
      <c r="N29" s="51"/>
      <c r="O29" s="51"/>
      <c r="P29" s="81"/>
      <c r="Q29" s="23" t="str">
        <f t="shared" ca="1" si="1"/>
        <v>-</v>
      </c>
      <c r="R29" s="23"/>
    </row>
    <row r="30" spans="1:18" ht="27" customHeight="1">
      <c r="A30" s="12">
        <v>54</v>
      </c>
      <c r="B30" s="100" t="s">
        <v>473</v>
      </c>
      <c r="C30" s="86" t="s">
        <v>120</v>
      </c>
      <c r="D30" s="87" t="s">
        <v>31</v>
      </c>
      <c r="E30" s="87">
        <v>27</v>
      </c>
      <c r="F30" s="87">
        <v>27</v>
      </c>
      <c r="G30" s="15" t="s">
        <v>20</v>
      </c>
      <c r="H30" s="28" t="s">
        <v>474</v>
      </c>
      <c r="I30" s="17" t="s">
        <v>475</v>
      </c>
      <c r="J30" s="88"/>
      <c r="K30" s="80" t="str">
        <f t="shared" si="0"/>
        <v>C - 54</v>
      </c>
      <c r="L30" s="51"/>
      <c r="M30" s="51"/>
      <c r="N30" s="51"/>
      <c r="O30" s="51"/>
      <c r="P30" s="81"/>
      <c r="Q30" s="23" t="str">
        <f t="shared" ca="1" si="1"/>
        <v>-</v>
      </c>
      <c r="R30" s="23"/>
    </row>
    <row r="31" spans="1:18" ht="27" customHeight="1">
      <c r="A31" s="24">
        <v>21</v>
      </c>
      <c r="B31" s="85" t="s">
        <v>476</v>
      </c>
      <c r="C31" s="86" t="s">
        <v>120</v>
      </c>
      <c r="D31" s="87" t="s">
        <v>26</v>
      </c>
      <c r="E31" s="87">
        <v>93.7</v>
      </c>
      <c r="F31" s="87">
        <v>28</v>
      </c>
      <c r="G31" s="15" t="s">
        <v>20</v>
      </c>
      <c r="H31" s="25" t="s">
        <v>477</v>
      </c>
      <c r="I31" s="17" t="s">
        <v>478</v>
      </c>
      <c r="J31" s="88"/>
      <c r="K31" s="80" t="str">
        <f t="shared" si="0"/>
        <v>C - 21</v>
      </c>
      <c r="L31" s="51"/>
      <c r="M31" s="51"/>
      <c r="N31" s="51"/>
      <c r="O31" s="51"/>
      <c r="P31" s="81"/>
      <c r="Q31" s="23" t="str">
        <f t="shared" ca="1" si="1"/>
        <v>-</v>
      </c>
      <c r="R31" s="23"/>
    </row>
    <row r="32" spans="1:18" ht="27" customHeight="1">
      <c r="A32" s="12">
        <v>30</v>
      </c>
      <c r="B32" s="100" t="s">
        <v>479</v>
      </c>
      <c r="C32" s="86" t="s">
        <v>120</v>
      </c>
      <c r="D32" s="87" t="s">
        <v>26</v>
      </c>
      <c r="E32" s="87">
        <v>99.1</v>
      </c>
      <c r="F32" s="87">
        <v>28</v>
      </c>
      <c r="G32" s="15" t="s">
        <v>20</v>
      </c>
      <c r="H32" s="28" t="s">
        <v>480</v>
      </c>
      <c r="I32" s="17" t="s">
        <v>475</v>
      </c>
      <c r="J32" s="88"/>
      <c r="K32" s="80" t="str">
        <f t="shared" si="0"/>
        <v>C - 30</v>
      </c>
      <c r="L32" s="51"/>
      <c r="M32" s="51"/>
      <c r="N32" s="51"/>
      <c r="O32" s="51"/>
      <c r="P32" s="81"/>
      <c r="Q32" s="23" t="str">
        <f t="shared" ca="1" si="1"/>
        <v>-</v>
      </c>
      <c r="R32" s="23"/>
    </row>
    <row r="33" spans="1:18" ht="27" customHeight="1">
      <c r="A33" s="24">
        <v>82</v>
      </c>
      <c r="B33" s="85" t="s">
        <v>481</v>
      </c>
      <c r="C33" s="86" t="s">
        <v>120</v>
      </c>
      <c r="D33" s="87" t="s">
        <v>26</v>
      </c>
      <c r="E33" s="87" t="s">
        <v>482</v>
      </c>
      <c r="F33" s="86">
        <v>28</v>
      </c>
      <c r="G33" s="15" t="s">
        <v>20</v>
      </c>
      <c r="H33" s="28" t="s">
        <v>483</v>
      </c>
      <c r="I33" s="17" t="s">
        <v>484</v>
      </c>
      <c r="J33" s="88"/>
      <c r="K33" s="80" t="str">
        <f t="shared" si="0"/>
        <v>C - 82</v>
      </c>
      <c r="L33" s="51"/>
      <c r="M33" s="51"/>
      <c r="N33" s="51"/>
      <c r="O33" s="51"/>
      <c r="P33" s="81"/>
      <c r="Q33" s="23" t="str">
        <f t="shared" ca="1" si="1"/>
        <v>-</v>
      </c>
      <c r="R33" s="23"/>
    </row>
    <row r="34" spans="1:18" ht="27" customHeight="1">
      <c r="A34" s="76">
        <v>135</v>
      </c>
      <c r="B34" s="85" t="s">
        <v>485</v>
      </c>
      <c r="C34" s="86" t="s">
        <v>120</v>
      </c>
      <c r="D34" s="87" t="s">
        <v>26</v>
      </c>
      <c r="E34" s="87">
        <v>100.3</v>
      </c>
      <c r="F34" s="87">
        <v>28</v>
      </c>
      <c r="G34" s="40" t="s">
        <v>20</v>
      </c>
      <c r="H34" s="28" t="s">
        <v>486</v>
      </c>
      <c r="I34" s="17" t="s">
        <v>444</v>
      </c>
      <c r="J34" s="88"/>
      <c r="K34" s="80" t="str">
        <f t="shared" si="0"/>
        <v>C - 135</v>
      </c>
      <c r="L34" s="51"/>
      <c r="M34" s="51"/>
      <c r="N34" s="51"/>
      <c r="O34" s="51"/>
      <c r="P34" s="81"/>
      <c r="Q34" s="23" t="str">
        <f t="shared" ca="1" si="1"/>
        <v>-</v>
      </c>
      <c r="R34" s="23"/>
    </row>
    <row r="35" spans="1:18" ht="27" customHeight="1">
      <c r="A35" s="24">
        <v>136</v>
      </c>
      <c r="B35" s="85" t="s">
        <v>485</v>
      </c>
      <c r="C35" s="86" t="s">
        <v>120</v>
      </c>
      <c r="D35" s="87" t="s">
        <v>31</v>
      </c>
      <c r="E35" s="87">
        <v>25</v>
      </c>
      <c r="F35" s="87">
        <v>28</v>
      </c>
      <c r="G35" s="15" t="s">
        <v>20</v>
      </c>
      <c r="H35" s="28" t="s">
        <v>486</v>
      </c>
      <c r="I35" s="17" t="s">
        <v>444</v>
      </c>
      <c r="J35" s="88"/>
      <c r="K35" s="80" t="str">
        <f t="shared" si="0"/>
        <v>C - 136</v>
      </c>
      <c r="L35" s="51"/>
      <c r="M35" s="51"/>
      <c r="N35" s="51"/>
      <c r="O35" s="51"/>
      <c r="P35" s="81"/>
      <c r="Q35" s="23" t="str">
        <f t="shared" ca="1" si="1"/>
        <v>-</v>
      </c>
      <c r="R35" s="23"/>
    </row>
    <row r="36" spans="1:18" ht="27" customHeight="1">
      <c r="A36" s="12">
        <v>103</v>
      </c>
      <c r="B36" s="85" t="s">
        <v>487</v>
      </c>
      <c r="C36" s="86" t="s">
        <v>452</v>
      </c>
      <c r="D36" s="87" t="s">
        <v>26</v>
      </c>
      <c r="E36" s="87">
        <v>97.9</v>
      </c>
      <c r="F36" s="87">
        <v>30</v>
      </c>
      <c r="G36" s="15" t="s">
        <v>20</v>
      </c>
      <c r="H36" s="28" t="s">
        <v>488</v>
      </c>
      <c r="I36" s="17" t="s">
        <v>489</v>
      </c>
      <c r="J36" s="88"/>
      <c r="K36" s="80" t="str">
        <f t="shared" si="0"/>
        <v>C - 103</v>
      </c>
      <c r="L36" s="51"/>
      <c r="M36" s="51"/>
      <c r="N36" s="51"/>
      <c r="O36" s="51"/>
      <c r="P36" s="81"/>
      <c r="Q36" s="23" t="str">
        <f t="shared" ca="1" si="1"/>
        <v>-</v>
      </c>
      <c r="R36" s="23"/>
    </row>
    <row r="37" spans="1:18" ht="27" customHeight="1">
      <c r="A37" s="24">
        <v>127</v>
      </c>
      <c r="B37" s="85" t="s">
        <v>490</v>
      </c>
      <c r="C37" s="86" t="s">
        <v>452</v>
      </c>
      <c r="D37" s="86" t="s">
        <v>19</v>
      </c>
      <c r="E37" s="86">
        <v>5</v>
      </c>
      <c r="F37" s="87">
        <v>30</v>
      </c>
      <c r="G37" s="15" t="s">
        <v>20</v>
      </c>
      <c r="H37" s="28" t="s">
        <v>491</v>
      </c>
      <c r="I37" s="17" t="s">
        <v>492</v>
      </c>
      <c r="J37" s="88"/>
      <c r="K37" s="80" t="str">
        <f t="shared" si="0"/>
        <v>C - 127</v>
      </c>
      <c r="L37" s="51"/>
      <c r="M37" s="51"/>
      <c r="N37" s="51"/>
      <c r="O37" s="51"/>
      <c r="P37" s="81"/>
      <c r="Q37" s="23" t="str">
        <f t="shared" ca="1" si="1"/>
        <v>-</v>
      </c>
      <c r="R37" s="23"/>
    </row>
    <row r="38" spans="1:18" ht="27" customHeight="1">
      <c r="A38" s="76">
        <v>128</v>
      </c>
      <c r="B38" s="85" t="s">
        <v>490</v>
      </c>
      <c r="C38" s="86" t="s">
        <v>452</v>
      </c>
      <c r="D38" s="87" t="s">
        <v>26</v>
      </c>
      <c r="E38" s="87">
        <v>101.1</v>
      </c>
      <c r="F38" s="87">
        <v>30</v>
      </c>
      <c r="G38" s="15" t="s">
        <v>20</v>
      </c>
      <c r="H38" s="28" t="s">
        <v>491</v>
      </c>
      <c r="I38" s="17" t="s">
        <v>492</v>
      </c>
      <c r="J38" s="88"/>
      <c r="K38" s="80" t="str">
        <f t="shared" si="0"/>
        <v>C - 128</v>
      </c>
      <c r="L38" s="51"/>
      <c r="M38" s="51"/>
      <c r="N38" s="51"/>
      <c r="O38" s="51"/>
      <c r="P38" s="81"/>
      <c r="Q38" s="23" t="str">
        <f t="shared" ca="1" si="1"/>
        <v>-</v>
      </c>
      <c r="R38" s="23"/>
    </row>
    <row r="39" spans="1:18" ht="27" customHeight="1">
      <c r="A39" s="93">
        <v>37</v>
      </c>
      <c r="B39" s="85" t="s">
        <v>493</v>
      </c>
      <c r="C39" s="86" t="s">
        <v>452</v>
      </c>
      <c r="D39" s="86" t="s">
        <v>26</v>
      </c>
      <c r="E39" s="86">
        <v>97.3</v>
      </c>
      <c r="F39" s="86">
        <v>32</v>
      </c>
      <c r="G39" s="15" t="s">
        <v>20</v>
      </c>
      <c r="H39" s="28" t="s">
        <v>494</v>
      </c>
      <c r="I39" s="17" t="s">
        <v>495</v>
      </c>
      <c r="J39" s="88"/>
      <c r="K39" s="80" t="str">
        <f t="shared" si="0"/>
        <v>C - 37</v>
      </c>
      <c r="L39" s="51"/>
      <c r="M39" s="51"/>
      <c r="N39" s="51"/>
      <c r="O39" s="51"/>
      <c r="P39" s="81"/>
      <c r="Q39" s="23" t="str">
        <f t="shared" ca="1" si="1"/>
        <v>-</v>
      </c>
      <c r="R39" s="23"/>
    </row>
    <row r="40" spans="1:18" ht="27" customHeight="1">
      <c r="A40" s="76">
        <v>39</v>
      </c>
      <c r="B40" s="85" t="s">
        <v>496</v>
      </c>
      <c r="C40" s="86" t="s">
        <v>497</v>
      </c>
      <c r="D40" s="87" t="s">
        <v>26</v>
      </c>
      <c r="E40" s="87" t="s">
        <v>498</v>
      </c>
      <c r="F40" s="87">
        <v>32</v>
      </c>
      <c r="G40" s="15" t="s">
        <v>20</v>
      </c>
      <c r="H40" s="28" t="s">
        <v>499</v>
      </c>
      <c r="I40" s="17" t="s">
        <v>500</v>
      </c>
      <c r="J40" s="88"/>
      <c r="K40" s="80" t="str">
        <f t="shared" si="0"/>
        <v>C - 39</v>
      </c>
      <c r="L40" s="51"/>
      <c r="M40" s="51"/>
      <c r="N40" s="51"/>
      <c r="O40" s="51"/>
      <c r="P40" s="81"/>
      <c r="Q40" s="23" t="str">
        <f t="shared" ca="1" si="1"/>
        <v>-</v>
      </c>
      <c r="R40" s="23"/>
    </row>
    <row r="41" spans="1:18" ht="27" customHeight="1">
      <c r="A41" s="12">
        <v>88</v>
      </c>
      <c r="B41" s="85" t="s">
        <v>501</v>
      </c>
      <c r="C41" s="86" t="s">
        <v>497</v>
      </c>
      <c r="D41" s="87" t="s">
        <v>26</v>
      </c>
      <c r="E41" s="87">
        <v>97.7</v>
      </c>
      <c r="F41" s="87">
        <v>32</v>
      </c>
      <c r="G41" s="15" t="s">
        <v>20</v>
      </c>
      <c r="H41" s="28" t="s">
        <v>502</v>
      </c>
      <c r="I41" s="17" t="s">
        <v>503</v>
      </c>
      <c r="J41" s="88"/>
      <c r="K41" s="80" t="str">
        <f t="shared" si="0"/>
        <v>C - 88</v>
      </c>
      <c r="L41" s="51"/>
      <c r="M41" s="51"/>
      <c r="N41" s="51"/>
      <c r="O41" s="51"/>
      <c r="P41" s="81"/>
      <c r="Q41" s="23" t="str">
        <f t="shared" ca="1" si="1"/>
        <v>-</v>
      </c>
      <c r="R41" s="23"/>
    </row>
    <row r="42" spans="1:18" ht="27" customHeight="1">
      <c r="A42" s="93">
        <v>107</v>
      </c>
      <c r="B42" s="85" t="s">
        <v>504</v>
      </c>
      <c r="C42" s="86" t="s">
        <v>497</v>
      </c>
      <c r="D42" s="87" t="s">
        <v>26</v>
      </c>
      <c r="E42" s="87">
        <v>93.7</v>
      </c>
      <c r="F42" s="87">
        <v>32</v>
      </c>
      <c r="G42" s="94" t="s">
        <v>223</v>
      </c>
      <c r="H42" s="28" t="s">
        <v>505</v>
      </c>
      <c r="I42" s="17" t="s">
        <v>506</v>
      </c>
      <c r="J42" s="88"/>
      <c r="K42" s="80" t="str">
        <f t="shared" si="0"/>
        <v>C - 107</v>
      </c>
      <c r="L42" s="95" t="s">
        <v>357</v>
      </c>
      <c r="M42" s="95" t="s">
        <v>24</v>
      </c>
      <c r="N42" s="51"/>
      <c r="O42" s="51"/>
      <c r="P42" s="81"/>
      <c r="Q42" s="23" t="str">
        <f t="shared" ca="1" si="1"/>
        <v>-</v>
      </c>
      <c r="R42" s="23"/>
    </row>
    <row r="43" spans="1:18" ht="27" customHeight="1">
      <c r="A43" s="12">
        <v>108</v>
      </c>
      <c r="B43" s="85" t="s">
        <v>507</v>
      </c>
      <c r="C43" s="86" t="s">
        <v>120</v>
      </c>
      <c r="D43" s="87" t="s">
        <v>26</v>
      </c>
      <c r="E43" s="87" t="s">
        <v>508</v>
      </c>
      <c r="F43" s="87">
        <v>32</v>
      </c>
      <c r="G43" s="15" t="s">
        <v>20</v>
      </c>
      <c r="H43" s="28" t="s">
        <v>509</v>
      </c>
      <c r="I43" s="17" t="s">
        <v>489</v>
      </c>
      <c r="J43" s="88"/>
      <c r="K43" s="80" t="str">
        <f t="shared" si="0"/>
        <v>C - 108</v>
      </c>
      <c r="L43" s="51"/>
      <c r="M43" s="51"/>
      <c r="N43" s="51"/>
      <c r="O43" s="51"/>
      <c r="P43" s="81"/>
      <c r="Q43" s="23" t="str">
        <f t="shared" ca="1" si="1"/>
        <v>-</v>
      </c>
      <c r="R43" s="23"/>
    </row>
    <row r="44" spans="1:18" ht="27" customHeight="1">
      <c r="A44" s="24">
        <v>36</v>
      </c>
      <c r="B44" s="100" t="s">
        <v>510</v>
      </c>
      <c r="C44" s="86" t="s">
        <v>412</v>
      </c>
      <c r="D44" s="87" t="s">
        <v>26</v>
      </c>
      <c r="E44" s="87">
        <v>98.7</v>
      </c>
      <c r="F44" s="87">
        <v>36</v>
      </c>
      <c r="G44" s="15" t="s">
        <v>20</v>
      </c>
      <c r="H44" s="28" t="s">
        <v>511</v>
      </c>
      <c r="I44" s="17" t="s">
        <v>512</v>
      </c>
      <c r="J44" s="88"/>
      <c r="K44" s="80" t="str">
        <f t="shared" si="0"/>
        <v>C - 36</v>
      </c>
      <c r="L44" s="51"/>
      <c r="M44" s="51"/>
      <c r="N44" s="51"/>
      <c r="O44" s="51"/>
      <c r="P44" s="81"/>
      <c r="Q44" s="23" t="str">
        <f t="shared" ca="1" si="1"/>
        <v>-</v>
      </c>
      <c r="R44" s="23"/>
    </row>
    <row r="45" spans="1:18" ht="27" customHeight="1">
      <c r="A45" s="12">
        <v>58</v>
      </c>
      <c r="B45" s="85" t="s">
        <v>513</v>
      </c>
      <c r="C45" s="86" t="s">
        <v>412</v>
      </c>
      <c r="D45" s="87" t="s">
        <v>26</v>
      </c>
      <c r="E45" s="87">
        <v>102.7</v>
      </c>
      <c r="F45" s="87">
        <v>36</v>
      </c>
      <c r="G45" s="15" t="s">
        <v>20</v>
      </c>
      <c r="H45" s="28" t="s">
        <v>514</v>
      </c>
      <c r="I45" s="17" t="s">
        <v>515</v>
      </c>
      <c r="J45" s="88"/>
      <c r="K45" s="80" t="str">
        <f t="shared" si="0"/>
        <v>C - 58</v>
      </c>
      <c r="L45" s="51"/>
      <c r="M45" s="51"/>
      <c r="N45" s="51"/>
      <c r="O45" s="51"/>
      <c r="P45" s="81"/>
      <c r="Q45" s="23" t="str">
        <f t="shared" ca="1" si="1"/>
        <v>-</v>
      </c>
      <c r="R45" s="23"/>
    </row>
    <row r="46" spans="1:18" ht="27" customHeight="1">
      <c r="A46" s="93">
        <v>20</v>
      </c>
      <c r="B46" s="85" t="s">
        <v>516</v>
      </c>
      <c r="C46" s="86" t="s">
        <v>417</v>
      </c>
      <c r="D46" s="87" t="s">
        <v>26</v>
      </c>
      <c r="E46" s="87" t="s">
        <v>517</v>
      </c>
      <c r="F46" s="87">
        <v>43</v>
      </c>
      <c r="G46" s="15" t="s">
        <v>20</v>
      </c>
      <c r="H46" s="28" t="s">
        <v>518</v>
      </c>
      <c r="I46" s="17" t="s">
        <v>519</v>
      </c>
      <c r="J46" s="88"/>
      <c r="K46" s="80" t="str">
        <f t="shared" si="0"/>
        <v>C - 20</v>
      </c>
      <c r="L46" s="51"/>
      <c r="M46" s="51"/>
      <c r="N46" s="51"/>
      <c r="O46" s="51"/>
      <c r="P46" s="81"/>
      <c r="Q46" s="23" t="str">
        <f t="shared" ca="1" si="1"/>
        <v>-</v>
      </c>
      <c r="R46" s="23"/>
    </row>
    <row r="47" spans="1:18" ht="27" customHeight="1">
      <c r="A47" s="12">
        <v>116</v>
      </c>
      <c r="B47" s="85" t="s">
        <v>520</v>
      </c>
      <c r="C47" s="86" t="s">
        <v>417</v>
      </c>
      <c r="D47" s="87" t="s">
        <v>26</v>
      </c>
      <c r="E47" s="87" t="s">
        <v>521</v>
      </c>
      <c r="F47" s="87">
        <v>43</v>
      </c>
      <c r="G47" s="15" t="s">
        <v>20</v>
      </c>
      <c r="H47" s="28" t="s">
        <v>522</v>
      </c>
      <c r="I47" s="17" t="s">
        <v>523</v>
      </c>
      <c r="J47" s="88"/>
      <c r="K47" s="80" t="str">
        <f t="shared" si="0"/>
        <v>C - 116</v>
      </c>
      <c r="L47" s="51"/>
      <c r="M47" s="51"/>
      <c r="N47" s="51"/>
      <c r="O47" s="51"/>
      <c r="P47" s="81"/>
      <c r="Q47" s="23" t="str">
        <f t="shared" ca="1" si="1"/>
        <v>-</v>
      </c>
      <c r="R47" s="23"/>
    </row>
    <row r="48" spans="1:18" ht="27" customHeight="1">
      <c r="A48" s="93">
        <v>111</v>
      </c>
      <c r="B48" s="85" t="s">
        <v>524</v>
      </c>
      <c r="C48" s="86" t="s">
        <v>417</v>
      </c>
      <c r="D48" s="87" t="s">
        <v>26</v>
      </c>
      <c r="E48" s="86">
        <v>96.7</v>
      </c>
      <c r="F48" s="87">
        <v>44</v>
      </c>
      <c r="G48" s="15" t="s">
        <v>20</v>
      </c>
      <c r="H48" s="28" t="s">
        <v>525</v>
      </c>
      <c r="I48" s="17" t="s">
        <v>526</v>
      </c>
      <c r="J48" s="88"/>
      <c r="K48" s="80" t="str">
        <f t="shared" si="0"/>
        <v>C - 111</v>
      </c>
      <c r="L48" s="51"/>
      <c r="M48" s="51"/>
      <c r="N48" s="51"/>
      <c r="O48" s="51"/>
      <c r="P48" s="81"/>
      <c r="Q48" s="23" t="str">
        <f t="shared" ca="1" si="1"/>
        <v>-</v>
      </c>
      <c r="R48" s="23"/>
    </row>
    <row r="49" spans="1:18" ht="27" customHeight="1">
      <c r="A49" s="76">
        <v>83</v>
      </c>
      <c r="B49" s="100" t="s">
        <v>527</v>
      </c>
      <c r="C49" s="86" t="s">
        <v>417</v>
      </c>
      <c r="D49" s="87" t="s">
        <v>26</v>
      </c>
      <c r="E49" s="87">
        <v>93.3</v>
      </c>
      <c r="F49" s="87">
        <v>45</v>
      </c>
      <c r="G49" s="15" t="s">
        <v>20</v>
      </c>
      <c r="H49" s="28" t="s">
        <v>528</v>
      </c>
      <c r="I49" s="17" t="s">
        <v>523</v>
      </c>
      <c r="J49" s="88"/>
      <c r="K49" s="80" t="str">
        <f t="shared" si="0"/>
        <v>C - 83</v>
      </c>
      <c r="L49" s="51"/>
      <c r="M49" s="51"/>
      <c r="N49" s="51"/>
      <c r="O49" s="51"/>
      <c r="P49" s="81"/>
      <c r="Q49" s="23" t="str">
        <f t="shared" ca="1" si="1"/>
        <v>-</v>
      </c>
      <c r="R49" s="23"/>
    </row>
    <row r="50" spans="1:18" ht="27" customHeight="1">
      <c r="A50" s="93">
        <v>141</v>
      </c>
      <c r="B50" s="85" t="s">
        <v>529</v>
      </c>
      <c r="C50" s="86" t="s">
        <v>417</v>
      </c>
      <c r="D50" s="87" t="s">
        <v>26</v>
      </c>
      <c r="E50" s="87">
        <v>96.1</v>
      </c>
      <c r="F50" s="87">
        <v>45</v>
      </c>
      <c r="G50" s="15" t="s">
        <v>20</v>
      </c>
      <c r="H50" s="28" t="s">
        <v>530</v>
      </c>
      <c r="I50" s="17" t="s">
        <v>531</v>
      </c>
      <c r="J50" s="88"/>
      <c r="K50" s="80" t="str">
        <f t="shared" si="0"/>
        <v>C - 141</v>
      </c>
      <c r="L50" s="51"/>
      <c r="M50" s="51"/>
      <c r="N50" s="51"/>
      <c r="O50" s="51"/>
      <c r="P50" s="81"/>
      <c r="Q50" s="23" t="str">
        <f t="shared" ca="1" si="1"/>
        <v>-</v>
      </c>
      <c r="R50" s="23"/>
    </row>
    <row r="51" spans="1:18" ht="27" customHeight="1">
      <c r="A51" s="12">
        <v>19</v>
      </c>
      <c r="B51" s="85" t="s">
        <v>532</v>
      </c>
      <c r="C51" s="86" t="s">
        <v>417</v>
      </c>
      <c r="D51" s="87" t="s">
        <v>26</v>
      </c>
      <c r="E51" s="87" t="s">
        <v>533</v>
      </c>
      <c r="F51" s="87">
        <v>46</v>
      </c>
      <c r="G51" s="94" t="s">
        <v>223</v>
      </c>
      <c r="H51" s="28" t="s">
        <v>534</v>
      </c>
      <c r="I51" s="17" t="s">
        <v>535</v>
      </c>
      <c r="J51" s="88" t="s">
        <v>536</v>
      </c>
      <c r="K51" s="80" t="str">
        <f t="shared" si="0"/>
        <v>C - 19</v>
      </c>
      <c r="L51" s="101"/>
      <c r="M51" s="101"/>
      <c r="N51" s="51"/>
      <c r="O51" s="51"/>
      <c r="P51" s="81"/>
      <c r="Q51" s="23" t="str">
        <f t="shared" ca="1" si="1"/>
        <v>-</v>
      </c>
      <c r="R51" s="23"/>
    </row>
    <row r="52" spans="1:18" ht="27" customHeight="1">
      <c r="A52" s="93">
        <v>126</v>
      </c>
      <c r="B52" s="85" t="s">
        <v>537</v>
      </c>
      <c r="C52" s="86" t="s">
        <v>417</v>
      </c>
      <c r="D52" s="87" t="s">
        <v>26</v>
      </c>
      <c r="E52" s="87">
        <v>97.1</v>
      </c>
      <c r="F52" s="87">
        <v>46</v>
      </c>
      <c r="G52" s="90" t="s">
        <v>388</v>
      </c>
      <c r="H52" s="28" t="s">
        <v>538</v>
      </c>
      <c r="I52" s="17" t="s">
        <v>539</v>
      </c>
      <c r="J52" s="88"/>
      <c r="K52" s="80" t="str">
        <f t="shared" si="0"/>
        <v>C - 126</v>
      </c>
      <c r="L52" s="51"/>
      <c r="M52" s="51"/>
      <c r="N52" s="51"/>
      <c r="O52" s="51"/>
      <c r="P52" s="81"/>
      <c r="Q52" s="23" t="str">
        <f t="shared" ca="1" si="1"/>
        <v>-</v>
      </c>
      <c r="R52" s="23"/>
    </row>
    <row r="53" spans="1:18" ht="27" customHeight="1">
      <c r="A53" s="12">
        <v>138</v>
      </c>
      <c r="B53" s="85" t="s">
        <v>540</v>
      </c>
      <c r="C53" s="86" t="s">
        <v>412</v>
      </c>
      <c r="D53" s="87" t="s">
        <v>26</v>
      </c>
      <c r="E53" s="87">
        <v>90.1</v>
      </c>
      <c r="F53" s="87">
        <v>51</v>
      </c>
      <c r="G53" s="15" t="s">
        <v>20</v>
      </c>
      <c r="H53" s="28" t="s">
        <v>541</v>
      </c>
      <c r="I53" s="17" t="s">
        <v>542</v>
      </c>
      <c r="J53" s="88"/>
      <c r="K53" s="80" t="str">
        <f t="shared" si="0"/>
        <v>C - 138</v>
      </c>
      <c r="L53" s="51"/>
      <c r="M53" s="51"/>
      <c r="N53" s="51"/>
      <c r="O53" s="51"/>
      <c r="P53" s="81"/>
      <c r="Q53" s="23" t="str">
        <f t="shared" ca="1" si="1"/>
        <v>-</v>
      </c>
      <c r="R53" s="23"/>
    </row>
    <row r="54" spans="1:18" ht="27" customHeight="1">
      <c r="A54" s="76">
        <v>29</v>
      </c>
      <c r="B54" s="85" t="s">
        <v>543</v>
      </c>
      <c r="C54" s="86" t="s">
        <v>412</v>
      </c>
      <c r="D54" s="87" t="s">
        <v>26</v>
      </c>
      <c r="E54" s="87">
        <v>98.1</v>
      </c>
      <c r="F54" s="87">
        <v>52</v>
      </c>
      <c r="G54" s="15" t="s">
        <v>20</v>
      </c>
      <c r="H54" s="28" t="s">
        <v>544</v>
      </c>
      <c r="I54" s="17" t="s">
        <v>545</v>
      </c>
      <c r="J54" s="88"/>
      <c r="K54" s="80" t="str">
        <f t="shared" si="0"/>
        <v>C - 29</v>
      </c>
      <c r="L54" s="51"/>
      <c r="M54" s="51"/>
      <c r="N54" s="51"/>
      <c r="O54" s="51"/>
      <c r="P54" s="81"/>
      <c r="Q54" s="23" t="str">
        <f t="shared" ca="1" si="1"/>
        <v>-</v>
      </c>
      <c r="R54" s="23"/>
    </row>
    <row r="55" spans="1:18" ht="27" customHeight="1">
      <c r="A55" s="93">
        <v>35</v>
      </c>
      <c r="B55" s="59" t="s">
        <v>546</v>
      </c>
      <c r="C55" s="36" t="s">
        <v>412</v>
      </c>
      <c r="D55" s="41" t="s">
        <v>26</v>
      </c>
      <c r="E55" s="41" t="s">
        <v>547</v>
      </c>
      <c r="F55" s="41">
        <v>52</v>
      </c>
      <c r="G55" s="42" t="s">
        <v>20</v>
      </c>
      <c r="H55" s="43" t="s">
        <v>548</v>
      </c>
      <c r="I55" s="17" t="s">
        <v>549</v>
      </c>
      <c r="J55" s="88"/>
      <c r="K55" s="80" t="str">
        <f t="shared" si="0"/>
        <v>C - 35</v>
      </c>
      <c r="L55" s="51"/>
      <c r="M55" s="51"/>
      <c r="N55" s="51"/>
      <c r="O55" s="51"/>
      <c r="P55" s="81"/>
      <c r="Q55" s="23" t="str">
        <f t="shared" ca="1" si="1"/>
        <v>-</v>
      </c>
      <c r="R55" s="23"/>
    </row>
    <row r="56" spans="1:18" ht="27" customHeight="1">
      <c r="A56" s="76">
        <v>113</v>
      </c>
      <c r="B56" s="59" t="s">
        <v>550</v>
      </c>
      <c r="C56" s="36" t="s">
        <v>412</v>
      </c>
      <c r="D56" s="41" t="s">
        <v>26</v>
      </c>
      <c r="E56" s="41">
        <v>92.5</v>
      </c>
      <c r="F56" s="41">
        <v>52</v>
      </c>
      <c r="G56" s="42" t="s">
        <v>20</v>
      </c>
      <c r="H56" s="43" t="s">
        <v>551</v>
      </c>
      <c r="I56" s="17" t="s">
        <v>523</v>
      </c>
      <c r="J56" s="88"/>
      <c r="K56" s="80" t="str">
        <f t="shared" si="0"/>
        <v>C - 113</v>
      </c>
      <c r="L56" s="51"/>
      <c r="M56" s="51"/>
      <c r="N56" s="51"/>
      <c r="O56" s="51"/>
      <c r="P56" s="81"/>
      <c r="Q56" s="23" t="str">
        <f t="shared" ca="1" si="1"/>
        <v>-</v>
      </c>
      <c r="R56" s="23"/>
    </row>
    <row r="57" spans="1:18" ht="27" customHeight="1">
      <c r="A57" s="24">
        <v>121</v>
      </c>
      <c r="B57" s="59" t="s">
        <v>552</v>
      </c>
      <c r="C57" s="36" t="s">
        <v>412</v>
      </c>
      <c r="D57" s="41" t="s">
        <v>26</v>
      </c>
      <c r="E57" s="41">
        <v>90.9</v>
      </c>
      <c r="F57" s="41">
        <v>52</v>
      </c>
      <c r="G57" s="42" t="s">
        <v>20</v>
      </c>
      <c r="H57" s="43" t="s">
        <v>553</v>
      </c>
      <c r="I57" s="17" t="s">
        <v>549</v>
      </c>
      <c r="J57" s="88"/>
      <c r="K57" s="80" t="str">
        <f t="shared" si="0"/>
        <v>C - 121</v>
      </c>
      <c r="L57" s="51"/>
      <c r="M57" s="51"/>
      <c r="N57" s="51"/>
      <c r="O57" s="51"/>
      <c r="P57" s="81"/>
      <c r="Q57" s="23" t="str">
        <f t="shared" ca="1" si="1"/>
        <v>-</v>
      </c>
      <c r="R57" s="23"/>
    </row>
    <row r="58" spans="1:18" ht="27" customHeight="1">
      <c r="A58" s="12">
        <v>15</v>
      </c>
      <c r="B58" s="59" t="s">
        <v>554</v>
      </c>
      <c r="C58" s="36" t="s">
        <v>427</v>
      </c>
      <c r="D58" s="41" t="s">
        <v>26</v>
      </c>
      <c r="E58" s="41">
        <v>103.9</v>
      </c>
      <c r="F58" s="41">
        <v>60</v>
      </c>
      <c r="G58" s="42" t="s">
        <v>20</v>
      </c>
      <c r="H58" s="43" t="s">
        <v>555</v>
      </c>
      <c r="I58" s="17" t="s">
        <v>556</v>
      </c>
      <c r="J58" s="88"/>
      <c r="K58" s="80" t="str">
        <f t="shared" si="0"/>
        <v>C - 15</v>
      </c>
      <c r="L58" s="51"/>
      <c r="M58" s="51"/>
      <c r="N58" s="51"/>
      <c r="O58" s="51"/>
      <c r="P58" s="81"/>
      <c r="Q58" s="23" t="str">
        <f t="shared" ca="1" si="1"/>
        <v>-</v>
      </c>
      <c r="R58" s="23"/>
    </row>
    <row r="59" spans="1:18" ht="27" customHeight="1">
      <c r="A59" s="93">
        <v>16</v>
      </c>
      <c r="B59" s="59" t="s">
        <v>554</v>
      </c>
      <c r="C59" s="36" t="s">
        <v>427</v>
      </c>
      <c r="D59" s="41" t="s">
        <v>19</v>
      </c>
      <c r="E59" s="41">
        <v>12</v>
      </c>
      <c r="F59" s="41">
        <v>60</v>
      </c>
      <c r="G59" s="42" t="s">
        <v>20</v>
      </c>
      <c r="H59" s="43" t="s">
        <v>555</v>
      </c>
      <c r="I59" s="17" t="s">
        <v>556</v>
      </c>
      <c r="J59" s="88"/>
      <c r="K59" s="80" t="str">
        <f t="shared" si="0"/>
        <v>C - 16</v>
      </c>
      <c r="L59" s="51"/>
      <c r="M59" s="51"/>
      <c r="N59" s="51"/>
      <c r="O59" s="51"/>
      <c r="P59" s="81"/>
      <c r="Q59" s="23" t="str">
        <f t="shared" ca="1" si="1"/>
        <v>-</v>
      </c>
      <c r="R59" s="23"/>
    </row>
    <row r="60" spans="1:18" ht="27" customHeight="1">
      <c r="A60" s="12">
        <v>123</v>
      </c>
      <c r="B60" s="59" t="s">
        <v>557</v>
      </c>
      <c r="C60" s="36" t="s">
        <v>427</v>
      </c>
      <c r="D60" s="41" t="s">
        <v>26</v>
      </c>
      <c r="E60" s="41">
        <v>95.9</v>
      </c>
      <c r="F60" s="41">
        <v>60</v>
      </c>
      <c r="G60" s="42" t="s">
        <v>20</v>
      </c>
      <c r="H60" s="43" t="s">
        <v>558</v>
      </c>
      <c r="I60" s="17" t="s">
        <v>559</v>
      </c>
      <c r="J60" s="88"/>
      <c r="K60" s="80" t="str">
        <f t="shared" si="0"/>
        <v>C - 123</v>
      </c>
      <c r="L60" s="51"/>
      <c r="M60" s="51"/>
      <c r="N60" s="51"/>
      <c r="O60" s="51"/>
      <c r="P60" s="81"/>
      <c r="Q60" s="23" t="str">
        <f t="shared" ca="1" si="1"/>
        <v>-</v>
      </c>
      <c r="R60" s="23"/>
    </row>
    <row r="61" spans="1:18" ht="27" customHeight="1">
      <c r="A61" s="93">
        <v>124</v>
      </c>
      <c r="B61" s="59" t="s">
        <v>557</v>
      </c>
      <c r="C61" s="36" t="s">
        <v>427</v>
      </c>
      <c r="D61" s="41" t="s">
        <v>19</v>
      </c>
      <c r="E61" s="41">
        <v>12</v>
      </c>
      <c r="F61" s="41">
        <v>60</v>
      </c>
      <c r="G61" s="42" t="s">
        <v>20</v>
      </c>
      <c r="H61" s="43" t="s">
        <v>558</v>
      </c>
      <c r="I61" s="35" t="s">
        <v>559</v>
      </c>
      <c r="J61" s="88"/>
      <c r="K61" s="80" t="str">
        <f t="shared" si="0"/>
        <v>C - 124</v>
      </c>
      <c r="L61" s="51"/>
      <c r="M61" s="51"/>
      <c r="N61" s="51"/>
      <c r="O61" s="51"/>
      <c r="P61" s="81"/>
      <c r="Q61" s="23" t="str">
        <f t="shared" ca="1" si="1"/>
        <v>-</v>
      </c>
      <c r="R61" s="23"/>
    </row>
    <row r="62" spans="1:18" ht="27" customHeight="1">
      <c r="A62" s="76">
        <v>1</v>
      </c>
      <c r="B62" s="102" t="s">
        <v>560</v>
      </c>
      <c r="C62" s="36" t="s">
        <v>457</v>
      </c>
      <c r="D62" s="41" t="s">
        <v>26</v>
      </c>
      <c r="E62" s="41">
        <v>101.9</v>
      </c>
      <c r="F62" s="41">
        <v>63</v>
      </c>
      <c r="G62" s="42" t="s">
        <v>20</v>
      </c>
      <c r="H62" s="43" t="s">
        <v>561</v>
      </c>
      <c r="I62" s="50" t="s">
        <v>562</v>
      </c>
      <c r="J62" s="103" t="s">
        <v>563</v>
      </c>
      <c r="K62" s="80" t="str">
        <f t="shared" si="0"/>
        <v>C - 1</v>
      </c>
      <c r="L62" s="95"/>
      <c r="M62" s="95"/>
      <c r="N62" s="51"/>
      <c r="O62" s="51"/>
      <c r="P62" s="22"/>
      <c r="Q62" s="23" t="str">
        <f t="shared" ca="1" si="1"/>
        <v>-</v>
      </c>
      <c r="R62" s="23"/>
    </row>
    <row r="63" spans="1:18" ht="27" customHeight="1">
      <c r="A63" s="24">
        <v>47</v>
      </c>
      <c r="B63" s="59" t="s">
        <v>457</v>
      </c>
      <c r="C63" s="36" t="s">
        <v>457</v>
      </c>
      <c r="D63" s="41" t="s">
        <v>26</v>
      </c>
      <c r="E63" s="41">
        <v>101.1</v>
      </c>
      <c r="F63" s="41">
        <v>63</v>
      </c>
      <c r="G63" s="42" t="s">
        <v>20</v>
      </c>
      <c r="H63" s="43" t="s">
        <v>564</v>
      </c>
      <c r="I63" s="17" t="s">
        <v>562</v>
      </c>
      <c r="J63" s="51"/>
      <c r="K63" s="80" t="str">
        <f t="shared" si="0"/>
        <v>C - 47</v>
      </c>
      <c r="L63" s="51"/>
      <c r="M63" s="51"/>
      <c r="N63" s="51"/>
      <c r="O63" s="51"/>
      <c r="P63" s="81"/>
      <c r="Q63" s="23" t="str">
        <f t="shared" ca="1" si="1"/>
        <v>-</v>
      </c>
      <c r="R63" s="23"/>
    </row>
    <row r="64" spans="1:18" ht="27" customHeight="1">
      <c r="A64" s="12">
        <v>51</v>
      </c>
      <c r="B64" s="102" t="s">
        <v>565</v>
      </c>
      <c r="C64" s="36" t="s">
        <v>457</v>
      </c>
      <c r="D64" s="41" t="s">
        <v>26</v>
      </c>
      <c r="E64" s="41">
        <v>98.3</v>
      </c>
      <c r="F64" s="41">
        <v>63</v>
      </c>
      <c r="G64" s="42" t="s">
        <v>20</v>
      </c>
      <c r="H64" s="43" t="s">
        <v>566</v>
      </c>
      <c r="I64" s="17" t="s">
        <v>567</v>
      </c>
      <c r="J64" s="51"/>
      <c r="K64" s="80" t="str">
        <f t="shared" si="0"/>
        <v>C - 51</v>
      </c>
      <c r="L64" s="51"/>
      <c r="M64" s="51"/>
      <c r="N64" s="51"/>
      <c r="O64" s="51"/>
      <c r="P64" s="81"/>
      <c r="Q64" s="23" t="str">
        <f t="shared" ca="1" si="1"/>
        <v>-</v>
      </c>
      <c r="R64" s="23"/>
    </row>
    <row r="65" spans="1:18" ht="27" customHeight="1">
      <c r="A65" s="93">
        <v>74</v>
      </c>
      <c r="B65" s="59" t="s">
        <v>568</v>
      </c>
      <c r="C65" s="36" t="s">
        <v>457</v>
      </c>
      <c r="D65" s="41" t="s">
        <v>26</v>
      </c>
      <c r="E65" s="41">
        <v>106.3</v>
      </c>
      <c r="F65" s="41">
        <v>63</v>
      </c>
      <c r="G65" s="42" t="s">
        <v>20</v>
      </c>
      <c r="H65" s="43" t="s">
        <v>569</v>
      </c>
      <c r="I65" s="17" t="s">
        <v>570</v>
      </c>
      <c r="J65" s="51"/>
      <c r="K65" s="80" t="str">
        <f t="shared" si="0"/>
        <v>C - 74</v>
      </c>
      <c r="L65" s="51"/>
      <c r="M65" s="51"/>
      <c r="N65" s="51"/>
      <c r="O65" s="51"/>
      <c r="P65" s="81"/>
      <c r="Q65" s="23" t="str">
        <f t="shared" ca="1" si="1"/>
        <v>-</v>
      </c>
      <c r="R65" s="23"/>
    </row>
    <row r="66" spans="1:18" ht="27" customHeight="1">
      <c r="A66" s="12">
        <v>77</v>
      </c>
      <c r="B66" s="59" t="s">
        <v>571</v>
      </c>
      <c r="C66" s="36" t="s">
        <v>457</v>
      </c>
      <c r="D66" s="41" t="s">
        <v>26</v>
      </c>
      <c r="E66" s="41">
        <v>99.5</v>
      </c>
      <c r="F66" s="41">
        <v>63</v>
      </c>
      <c r="G66" s="57" t="s">
        <v>388</v>
      </c>
      <c r="H66" s="43" t="s">
        <v>572</v>
      </c>
      <c r="I66" s="17" t="s">
        <v>573</v>
      </c>
      <c r="J66" s="88"/>
      <c r="K66" s="80" t="str">
        <f t="shared" si="0"/>
        <v>C - 77</v>
      </c>
      <c r="L66" s="51"/>
      <c r="M66" s="51"/>
      <c r="N66" s="51"/>
      <c r="O66" s="51"/>
      <c r="P66" s="81"/>
      <c r="Q66" s="23" t="str">
        <f t="shared" ca="1" si="1"/>
        <v>-</v>
      </c>
      <c r="R66" s="23"/>
    </row>
    <row r="67" spans="1:18" ht="27" customHeight="1">
      <c r="A67" s="12">
        <v>142</v>
      </c>
      <c r="B67" s="59" t="s">
        <v>574</v>
      </c>
      <c r="C67" s="36" t="s">
        <v>457</v>
      </c>
      <c r="D67" s="41" t="s">
        <v>26</v>
      </c>
      <c r="E67" s="41">
        <v>100.7</v>
      </c>
      <c r="F67" s="41">
        <v>63</v>
      </c>
      <c r="G67" s="45" t="s">
        <v>223</v>
      </c>
      <c r="H67" s="43" t="s">
        <v>575</v>
      </c>
      <c r="I67" s="17" t="s">
        <v>576</v>
      </c>
      <c r="J67" s="88"/>
      <c r="K67" s="80" t="str">
        <f t="shared" si="0"/>
        <v>C - 142</v>
      </c>
      <c r="L67" s="51"/>
      <c r="M67" s="51"/>
      <c r="N67" s="51"/>
      <c r="O67" s="51"/>
      <c r="P67" s="81"/>
      <c r="Q67" s="23" t="str">
        <f t="shared" ca="1" si="1"/>
        <v>-</v>
      </c>
      <c r="R67" s="23"/>
    </row>
    <row r="68" spans="1:18" ht="27" customHeight="1">
      <c r="A68" s="93">
        <v>40</v>
      </c>
      <c r="B68" s="59" t="s">
        <v>577</v>
      </c>
      <c r="C68" s="36" t="s">
        <v>417</v>
      </c>
      <c r="D68" s="41" t="s">
        <v>26</v>
      </c>
      <c r="E68" s="41">
        <v>93.3</v>
      </c>
      <c r="F68" s="41">
        <v>64</v>
      </c>
      <c r="G68" s="42" t="s">
        <v>20</v>
      </c>
      <c r="H68" s="43" t="s">
        <v>578</v>
      </c>
      <c r="I68" s="17" t="s">
        <v>579</v>
      </c>
      <c r="J68" s="88"/>
      <c r="K68" s="80" t="str">
        <f t="shared" si="0"/>
        <v>C - 40</v>
      </c>
      <c r="L68" s="101" t="s">
        <v>55</v>
      </c>
      <c r="M68" s="101" t="s">
        <v>24</v>
      </c>
      <c r="N68" s="51"/>
      <c r="O68" s="51"/>
      <c r="P68" s="81"/>
      <c r="Q68" s="23" t="str">
        <f t="shared" ca="1" si="1"/>
        <v>-</v>
      </c>
      <c r="R68" s="23"/>
    </row>
    <row r="69" spans="1:18" ht="27" customHeight="1">
      <c r="A69" s="12">
        <v>64</v>
      </c>
      <c r="B69" s="59" t="s">
        <v>580</v>
      </c>
      <c r="C69" s="36" t="s">
        <v>417</v>
      </c>
      <c r="D69" s="41" t="s">
        <v>26</v>
      </c>
      <c r="E69" s="41">
        <v>97.5</v>
      </c>
      <c r="F69" s="41">
        <v>64</v>
      </c>
      <c r="G69" s="42" t="s">
        <v>20</v>
      </c>
      <c r="H69" s="43" t="s">
        <v>581</v>
      </c>
      <c r="I69" s="17" t="s">
        <v>559</v>
      </c>
      <c r="J69" s="88"/>
      <c r="K69" s="80" t="str">
        <f t="shared" si="0"/>
        <v>C - 64</v>
      </c>
      <c r="L69" s="51"/>
      <c r="M69" s="51"/>
      <c r="N69" s="51"/>
      <c r="O69" s="51"/>
      <c r="P69" s="81"/>
      <c r="Q69" s="23" t="str">
        <f t="shared" ca="1" si="1"/>
        <v>-</v>
      </c>
      <c r="R69" s="23"/>
    </row>
    <row r="70" spans="1:18" ht="27" customHeight="1">
      <c r="A70" s="93">
        <v>7</v>
      </c>
      <c r="B70" s="59" t="s">
        <v>582</v>
      </c>
      <c r="C70" s="36" t="s">
        <v>120</v>
      </c>
      <c r="D70" s="36" t="s">
        <v>26</v>
      </c>
      <c r="E70" s="36">
        <v>96.9</v>
      </c>
      <c r="F70" s="36">
        <v>70</v>
      </c>
      <c r="G70" s="57" t="s">
        <v>388</v>
      </c>
      <c r="H70" s="43" t="s">
        <v>583</v>
      </c>
      <c r="I70" s="17"/>
      <c r="J70" s="88"/>
      <c r="K70" s="80" t="str">
        <f t="shared" si="0"/>
        <v>C - 7</v>
      </c>
      <c r="L70" s="51"/>
      <c r="M70" s="51"/>
      <c r="N70" s="51"/>
      <c r="O70" s="51"/>
      <c r="P70" s="81"/>
      <c r="Q70" s="23" t="str">
        <f t="shared" ca="1" si="1"/>
        <v>-</v>
      </c>
      <c r="R70" s="23"/>
    </row>
    <row r="71" spans="1:18" ht="27" customHeight="1">
      <c r="A71" s="12">
        <v>32</v>
      </c>
      <c r="B71" s="59" t="s">
        <v>584</v>
      </c>
      <c r="C71" s="36" t="s">
        <v>120</v>
      </c>
      <c r="D71" s="41" t="s">
        <v>26</v>
      </c>
      <c r="E71" s="41">
        <v>94.5</v>
      </c>
      <c r="F71" s="41">
        <v>70</v>
      </c>
      <c r="G71" s="42" t="s">
        <v>20</v>
      </c>
      <c r="H71" s="43" t="s">
        <v>585</v>
      </c>
      <c r="I71" s="17" t="s">
        <v>586</v>
      </c>
      <c r="J71" s="88"/>
      <c r="K71" s="80" t="str">
        <f t="shared" si="0"/>
        <v>C - 32</v>
      </c>
      <c r="L71" s="51"/>
      <c r="M71" s="51"/>
      <c r="N71" s="51"/>
      <c r="O71" s="51"/>
      <c r="P71" s="81"/>
      <c r="Q71" s="23" t="str">
        <f t="shared" ca="1" si="1"/>
        <v>-</v>
      </c>
      <c r="R71" s="23"/>
    </row>
    <row r="72" spans="1:18" ht="27" customHeight="1">
      <c r="A72" s="93">
        <v>27</v>
      </c>
      <c r="B72" s="59" t="s">
        <v>587</v>
      </c>
      <c r="C72" s="36" t="s">
        <v>452</v>
      </c>
      <c r="D72" s="41" t="s">
        <v>19</v>
      </c>
      <c r="E72" s="41">
        <v>10</v>
      </c>
      <c r="F72" s="41">
        <v>71</v>
      </c>
      <c r="G72" s="42" t="s">
        <v>20</v>
      </c>
      <c r="H72" s="43" t="s">
        <v>588</v>
      </c>
      <c r="I72" s="17" t="s">
        <v>589</v>
      </c>
      <c r="J72" s="88"/>
      <c r="K72" s="80" t="str">
        <f t="shared" si="0"/>
        <v>C - 27</v>
      </c>
      <c r="L72" s="51"/>
      <c r="M72" s="51"/>
      <c r="N72" s="51"/>
      <c r="O72" s="51"/>
      <c r="P72" s="81"/>
      <c r="Q72" s="23" t="str">
        <f t="shared" ca="1" si="1"/>
        <v>-</v>
      </c>
      <c r="R72" s="23"/>
    </row>
    <row r="73" spans="1:18" ht="27" customHeight="1">
      <c r="A73" s="12">
        <v>28</v>
      </c>
      <c r="B73" s="59" t="s">
        <v>587</v>
      </c>
      <c r="C73" s="36" t="s">
        <v>452</v>
      </c>
      <c r="D73" s="41" t="s">
        <v>26</v>
      </c>
      <c r="E73" s="41">
        <v>94.9</v>
      </c>
      <c r="F73" s="41">
        <v>71</v>
      </c>
      <c r="G73" s="42" t="s">
        <v>20</v>
      </c>
      <c r="H73" s="43" t="s">
        <v>588</v>
      </c>
      <c r="I73" s="17" t="s">
        <v>589</v>
      </c>
      <c r="J73" s="88"/>
      <c r="K73" s="80" t="str">
        <f t="shared" si="0"/>
        <v>C - 28</v>
      </c>
      <c r="L73" s="51"/>
      <c r="M73" s="51"/>
      <c r="N73" s="51"/>
      <c r="O73" s="51"/>
      <c r="P73" s="81"/>
      <c r="Q73" s="23" t="str">
        <f t="shared" ca="1" si="1"/>
        <v>-</v>
      </c>
      <c r="R73" s="23"/>
    </row>
    <row r="74" spans="1:18" ht="27" customHeight="1">
      <c r="A74" s="24">
        <v>60</v>
      </c>
      <c r="B74" s="59" t="s">
        <v>590</v>
      </c>
      <c r="C74" s="36" t="s">
        <v>497</v>
      </c>
      <c r="D74" s="41" t="s">
        <v>26</v>
      </c>
      <c r="E74" s="41">
        <v>94.1</v>
      </c>
      <c r="F74" s="41">
        <v>71</v>
      </c>
      <c r="G74" s="42" t="s">
        <v>20</v>
      </c>
      <c r="H74" s="43" t="s">
        <v>591</v>
      </c>
      <c r="I74" s="17" t="s">
        <v>592</v>
      </c>
      <c r="J74" s="88"/>
      <c r="K74" s="80" t="str">
        <f t="shared" si="0"/>
        <v>C - 60</v>
      </c>
      <c r="L74" s="51"/>
      <c r="M74" s="51"/>
      <c r="N74" s="51"/>
      <c r="O74" s="51"/>
      <c r="P74" s="81"/>
      <c r="Q74" s="23" t="str">
        <f t="shared" ca="1" si="1"/>
        <v>-</v>
      </c>
      <c r="R74" s="23"/>
    </row>
    <row r="75" spans="1:18" ht="27" customHeight="1">
      <c r="A75" s="76">
        <v>65</v>
      </c>
      <c r="B75" s="59" t="s">
        <v>452</v>
      </c>
      <c r="C75" s="36" t="s">
        <v>452</v>
      </c>
      <c r="D75" s="41" t="s">
        <v>26</v>
      </c>
      <c r="E75" s="41">
        <v>91.9</v>
      </c>
      <c r="F75" s="41">
        <v>71</v>
      </c>
      <c r="G75" s="42" t="s">
        <v>20</v>
      </c>
      <c r="H75" s="43" t="s">
        <v>593</v>
      </c>
      <c r="I75" s="17" t="s">
        <v>589</v>
      </c>
      <c r="J75" s="88"/>
      <c r="K75" s="80" t="str">
        <f t="shared" si="0"/>
        <v>C - 65</v>
      </c>
      <c r="L75" s="51"/>
      <c r="M75" s="51"/>
      <c r="N75" s="51"/>
      <c r="O75" s="51"/>
      <c r="P75" s="81"/>
      <c r="Q75" s="23" t="str">
        <f t="shared" ca="1" si="1"/>
        <v>-</v>
      </c>
      <c r="R75" s="23"/>
    </row>
    <row r="76" spans="1:18" ht="27" customHeight="1">
      <c r="A76" s="24">
        <v>95</v>
      </c>
      <c r="B76" s="59" t="s">
        <v>594</v>
      </c>
      <c r="C76" s="36" t="s">
        <v>497</v>
      </c>
      <c r="D76" s="41" t="s">
        <v>26</v>
      </c>
      <c r="E76" s="41">
        <v>88.9</v>
      </c>
      <c r="F76" s="41">
        <v>71</v>
      </c>
      <c r="G76" s="42" t="s">
        <v>20</v>
      </c>
      <c r="H76" s="43" t="s">
        <v>595</v>
      </c>
      <c r="I76" s="17" t="s">
        <v>589</v>
      </c>
      <c r="J76" s="88"/>
      <c r="K76" s="80" t="str">
        <f t="shared" si="0"/>
        <v>C - 95</v>
      </c>
      <c r="L76" s="51"/>
      <c r="M76" s="51"/>
      <c r="N76" s="51"/>
      <c r="O76" s="51"/>
      <c r="P76" s="81"/>
      <c r="Q76" s="23" t="str">
        <f t="shared" ca="1" si="1"/>
        <v>-</v>
      </c>
      <c r="R76" s="23"/>
    </row>
    <row r="77" spans="1:18" ht="27" customHeight="1">
      <c r="A77" s="76">
        <v>96</v>
      </c>
      <c r="B77" s="59" t="s">
        <v>596</v>
      </c>
      <c r="C77" s="36" t="s">
        <v>497</v>
      </c>
      <c r="D77" s="41" t="s">
        <v>19</v>
      </c>
      <c r="E77" s="41">
        <v>9</v>
      </c>
      <c r="F77" s="41">
        <v>71</v>
      </c>
      <c r="G77" s="42" t="s">
        <v>20</v>
      </c>
      <c r="H77" s="43" t="s">
        <v>597</v>
      </c>
      <c r="I77" s="17" t="s">
        <v>589</v>
      </c>
      <c r="J77" s="88"/>
      <c r="K77" s="80" t="str">
        <f t="shared" si="0"/>
        <v>C - 96</v>
      </c>
      <c r="L77" s="51"/>
      <c r="M77" s="51"/>
      <c r="N77" s="51"/>
      <c r="O77" s="51"/>
      <c r="P77" s="81"/>
      <c r="Q77" s="23" t="str">
        <f t="shared" ca="1" si="1"/>
        <v>-</v>
      </c>
      <c r="R77" s="23"/>
    </row>
    <row r="78" spans="1:18" ht="27" customHeight="1">
      <c r="A78" s="24">
        <v>97</v>
      </c>
      <c r="B78" s="59" t="s">
        <v>596</v>
      </c>
      <c r="C78" s="36" t="s">
        <v>497</v>
      </c>
      <c r="D78" s="41" t="s">
        <v>26</v>
      </c>
      <c r="E78" s="41">
        <v>95.7</v>
      </c>
      <c r="F78" s="41">
        <v>71</v>
      </c>
      <c r="G78" s="42" t="s">
        <v>20</v>
      </c>
      <c r="H78" s="43" t="s">
        <v>597</v>
      </c>
      <c r="I78" s="17" t="s">
        <v>589</v>
      </c>
      <c r="J78" s="88"/>
      <c r="K78" s="80" t="str">
        <f t="shared" si="0"/>
        <v>C - 97</v>
      </c>
      <c r="L78" s="51"/>
      <c r="M78" s="51"/>
      <c r="N78" s="51"/>
      <c r="O78" s="51"/>
      <c r="P78" s="81"/>
      <c r="Q78" s="23" t="str">
        <f t="shared" ca="1" si="1"/>
        <v>-</v>
      </c>
      <c r="R78" s="23"/>
    </row>
    <row r="79" spans="1:18" ht="27" customHeight="1">
      <c r="A79" s="76">
        <v>3</v>
      </c>
      <c r="B79" s="102" t="s">
        <v>598</v>
      </c>
      <c r="C79" s="36" t="s">
        <v>460</v>
      </c>
      <c r="D79" s="41" t="s">
        <v>26</v>
      </c>
      <c r="E79" s="41">
        <v>102.1</v>
      </c>
      <c r="F79" s="41">
        <v>72</v>
      </c>
      <c r="G79" s="42" t="s">
        <v>20</v>
      </c>
      <c r="H79" s="43" t="s">
        <v>599</v>
      </c>
      <c r="I79" s="17" t="s">
        <v>600</v>
      </c>
      <c r="J79" s="88"/>
      <c r="K79" s="80" t="str">
        <f t="shared" si="0"/>
        <v>C - 3</v>
      </c>
      <c r="L79" s="101"/>
      <c r="M79" s="101"/>
      <c r="N79" s="51"/>
      <c r="O79" s="51"/>
      <c r="P79" s="81"/>
      <c r="Q79" s="23" t="str">
        <f t="shared" ca="1" si="1"/>
        <v>-</v>
      </c>
      <c r="R79" s="23"/>
    </row>
    <row r="80" spans="1:18" ht="27" customHeight="1">
      <c r="A80" s="12">
        <v>112</v>
      </c>
      <c r="B80" s="59" t="s">
        <v>601</v>
      </c>
      <c r="C80" s="36" t="s">
        <v>460</v>
      </c>
      <c r="D80" s="41" t="s">
        <v>26</v>
      </c>
      <c r="E80" s="41">
        <v>92.1</v>
      </c>
      <c r="F80" s="41">
        <v>72</v>
      </c>
      <c r="G80" s="42" t="s">
        <v>20</v>
      </c>
      <c r="H80" s="43" t="s">
        <v>602</v>
      </c>
      <c r="I80" s="17" t="s">
        <v>603</v>
      </c>
      <c r="J80" s="88"/>
      <c r="K80" s="80" t="str">
        <f t="shared" si="0"/>
        <v>C - 112</v>
      </c>
      <c r="L80" s="51"/>
      <c r="M80" s="51"/>
      <c r="N80" s="51"/>
      <c r="O80" s="51"/>
      <c r="P80" s="81"/>
      <c r="Q80" s="23" t="str">
        <f t="shared" ca="1" si="1"/>
        <v>-</v>
      </c>
      <c r="R80" s="23"/>
    </row>
    <row r="81" spans="1:18" ht="27" customHeight="1">
      <c r="A81" s="93">
        <v>66</v>
      </c>
      <c r="B81" s="59" t="s">
        <v>604</v>
      </c>
      <c r="C81" s="36" t="s">
        <v>452</v>
      </c>
      <c r="D81" s="41" t="s">
        <v>26</v>
      </c>
      <c r="E81" s="41">
        <v>92.1</v>
      </c>
      <c r="F81" s="41">
        <v>74</v>
      </c>
      <c r="G81" s="42" t="s">
        <v>20</v>
      </c>
      <c r="H81" s="43" t="s">
        <v>605</v>
      </c>
      <c r="I81" s="17" t="s">
        <v>606</v>
      </c>
      <c r="J81" s="88"/>
      <c r="K81" s="80" t="str">
        <f t="shared" si="0"/>
        <v>C - 66</v>
      </c>
      <c r="L81" s="51"/>
      <c r="M81" s="51"/>
      <c r="N81" s="51"/>
      <c r="O81" s="51"/>
      <c r="P81" s="81"/>
      <c r="Q81" s="23" t="str">
        <f t="shared" ca="1" si="1"/>
        <v>-</v>
      </c>
      <c r="R81" s="23"/>
    </row>
    <row r="82" spans="1:18" ht="27" customHeight="1">
      <c r="A82" s="12">
        <v>101</v>
      </c>
      <c r="B82" s="59" t="s">
        <v>607</v>
      </c>
      <c r="C82" s="36" t="s">
        <v>452</v>
      </c>
      <c r="D82" s="41" t="s">
        <v>26</v>
      </c>
      <c r="E82" s="41">
        <v>100.1</v>
      </c>
      <c r="F82" s="41">
        <v>74</v>
      </c>
      <c r="G82" s="42" t="s">
        <v>20</v>
      </c>
      <c r="H82" s="43" t="s">
        <v>608</v>
      </c>
      <c r="I82" s="17" t="s">
        <v>606</v>
      </c>
      <c r="J82" s="88"/>
      <c r="K82" s="80" t="str">
        <f t="shared" si="0"/>
        <v>C - 101</v>
      </c>
      <c r="L82" s="51"/>
      <c r="M82" s="51"/>
      <c r="N82" s="51"/>
      <c r="O82" s="51"/>
      <c r="P82" s="81"/>
      <c r="Q82" s="23" t="str">
        <f t="shared" ca="1" si="1"/>
        <v>-</v>
      </c>
      <c r="R82" s="23"/>
    </row>
    <row r="83" spans="1:18" ht="27" customHeight="1">
      <c r="A83" s="93">
        <v>102</v>
      </c>
      <c r="B83" s="59" t="s">
        <v>607</v>
      </c>
      <c r="C83" s="36" t="s">
        <v>452</v>
      </c>
      <c r="D83" s="41" t="s">
        <v>19</v>
      </c>
      <c r="E83" s="41">
        <v>10</v>
      </c>
      <c r="F83" s="41">
        <v>74</v>
      </c>
      <c r="G83" s="42" t="s">
        <v>20</v>
      </c>
      <c r="H83" s="43" t="s">
        <v>609</v>
      </c>
      <c r="I83" s="17" t="s">
        <v>606</v>
      </c>
      <c r="J83" s="88"/>
      <c r="K83" s="80" t="str">
        <f t="shared" si="0"/>
        <v>C - 102</v>
      </c>
      <c r="L83" s="51"/>
      <c r="M83" s="51"/>
      <c r="N83" s="51"/>
      <c r="O83" s="51"/>
      <c r="P83" s="81"/>
      <c r="Q83" s="23" t="str">
        <f t="shared" ca="1" si="1"/>
        <v>-</v>
      </c>
      <c r="R83" s="23"/>
    </row>
    <row r="84" spans="1:18" ht="27" customHeight="1">
      <c r="A84" s="76">
        <v>118</v>
      </c>
      <c r="B84" s="59" t="s">
        <v>610</v>
      </c>
      <c r="C84" s="36" t="s">
        <v>452</v>
      </c>
      <c r="D84" s="41" t="s">
        <v>26</v>
      </c>
      <c r="E84" s="41">
        <v>106.3</v>
      </c>
      <c r="F84" s="41">
        <v>74</v>
      </c>
      <c r="G84" s="42" t="s">
        <v>20</v>
      </c>
      <c r="H84" s="49" t="s">
        <v>611</v>
      </c>
      <c r="I84" s="17" t="s">
        <v>492</v>
      </c>
      <c r="J84" s="88"/>
      <c r="K84" s="80" t="str">
        <f t="shared" si="0"/>
        <v>C - 118</v>
      </c>
      <c r="L84" s="51"/>
      <c r="M84" s="51"/>
      <c r="N84" s="51"/>
      <c r="O84" s="51"/>
      <c r="P84" s="81"/>
      <c r="Q84" s="23" t="str">
        <f t="shared" ca="1" si="1"/>
        <v>-</v>
      </c>
      <c r="R84" s="23"/>
    </row>
    <row r="85" spans="1:18" ht="27" customHeight="1">
      <c r="A85" s="93">
        <v>79</v>
      </c>
      <c r="B85" s="102" t="s">
        <v>612</v>
      </c>
      <c r="C85" s="36" t="s">
        <v>452</v>
      </c>
      <c r="D85" s="41" t="s">
        <v>26</v>
      </c>
      <c r="E85" s="41">
        <v>104.5</v>
      </c>
      <c r="F85" s="41">
        <v>75</v>
      </c>
      <c r="G85" s="42" t="s">
        <v>20</v>
      </c>
      <c r="H85" s="43" t="s">
        <v>613</v>
      </c>
      <c r="I85" s="17" t="s">
        <v>559</v>
      </c>
      <c r="J85" s="88"/>
      <c r="K85" s="80" t="str">
        <f t="shared" si="0"/>
        <v>C - 79</v>
      </c>
      <c r="L85" s="51"/>
      <c r="M85" s="51"/>
      <c r="N85" s="51"/>
      <c r="O85" s="51"/>
      <c r="P85" s="81"/>
      <c r="Q85" s="23" t="str">
        <f t="shared" ca="1" si="1"/>
        <v>-</v>
      </c>
      <c r="R85" s="23"/>
    </row>
    <row r="86" spans="1:18" ht="27" customHeight="1">
      <c r="A86" s="12">
        <v>80</v>
      </c>
      <c r="B86" s="59" t="s">
        <v>612</v>
      </c>
      <c r="C86" s="36" t="s">
        <v>452</v>
      </c>
      <c r="D86" s="41" t="s">
        <v>19</v>
      </c>
      <c r="E86" s="41">
        <v>10</v>
      </c>
      <c r="F86" s="41">
        <v>75</v>
      </c>
      <c r="G86" s="42" t="s">
        <v>20</v>
      </c>
      <c r="H86" s="43" t="s">
        <v>613</v>
      </c>
      <c r="I86" s="17" t="s">
        <v>559</v>
      </c>
      <c r="J86" s="88"/>
      <c r="K86" s="80" t="str">
        <f t="shared" si="0"/>
        <v>C - 80</v>
      </c>
      <c r="L86" s="51"/>
      <c r="M86" s="51"/>
      <c r="N86" s="51"/>
      <c r="O86" s="51"/>
      <c r="P86" s="81"/>
      <c r="Q86" s="23" t="str">
        <f t="shared" ca="1" si="1"/>
        <v>-</v>
      </c>
      <c r="R86" s="23"/>
    </row>
    <row r="87" spans="1:18" ht="27" customHeight="1">
      <c r="A87" s="24">
        <v>93</v>
      </c>
      <c r="B87" s="59" t="s">
        <v>614</v>
      </c>
      <c r="C87" s="36" t="s">
        <v>452</v>
      </c>
      <c r="D87" s="41" t="s">
        <v>26</v>
      </c>
      <c r="E87" s="41">
        <v>90.9</v>
      </c>
      <c r="F87" s="41">
        <v>75</v>
      </c>
      <c r="G87" s="45" t="s">
        <v>223</v>
      </c>
      <c r="H87" s="43" t="s">
        <v>615</v>
      </c>
      <c r="I87" s="17" t="s">
        <v>616</v>
      </c>
      <c r="J87" s="88"/>
      <c r="K87" s="80" t="str">
        <f t="shared" si="0"/>
        <v>C - 93</v>
      </c>
      <c r="L87" s="95" t="s">
        <v>23</v>
      </c>
      <c r="M87" s="95" t="s">
        <v>24</v>
      </c>
      <c r="N87" s="51">
        <v>11200</v>
      </c>
      <c r="O87" s="51"/>
      <c r="P87" s="81"/>
      <c r="Q87" s="23" t="str">
        <f t="shared" ca="1" si="1"/>
        <v>-</v>
      </c>
      <c r="R87" s="23"/>
    </row>
    <row r="88" spans="1:18" ht="27" customHeight="1">
      <c r="A88" s="76">
        <v>94</v>
      </c>
      <c r="B88" s="59" t="s">
        <v>614</v>
      </c>
      <c r="C88" s="36" t="s">
        <v>452</v>
      </c>
      <c r="D88" s="41" t="s">
        <v>19</v>
      </c>
      <c r="E88" s="41">
        <v>7</v>
      </c>
      <c r="F88" s="41">
        <v>75</v>
      </c>
      <c r="G88" s="45" t="s">
        <v>223</v>
      </c>
      <c r="H88" s="43" t="s">
        <v>615</v>
      </c>
      <c r="I88" s="17" t="s">
        <v>617</v>
      </c>
      <c r="J88" s="88"/>
      <c r="K88" s="80" t="str">
        <f t="shared" si="0"/>
        <v>C - 94</v>
      </c>
      <c r="L88" s="51"/>
      <c r="M88" s="51"/>
      <c r="N88" s="51"/>
      <c r="O88" s="51"/>
      <c r="P88" s="81"/>
      <c r="Q88" s="23" t="str">
        <f t="shared" ca="1" si="1"/>
        <v>-</v>
      </c>
      <c r="R88" s="23"/>
    </row>
    <row r="89" spans="1:18" ht="27" customHeight="1">
      <c r="A89" s="93">
        <v>109</v>
      </c>
      <c r="B89" s="102" t="s">
        <v>618</v>
      </c>
      <c r="C89" s="36" t="s">
        <v>452</v>
      </c>
      <c r="D89" s="41" t="s">
        <v>26</v>
      </c>
      <c r="E89" s="41">
        <v>96.7</v>
      </c>
      <c r="F89" s="41">
        <v>75</v>
      </c>
      <c r="G89" s="42" t="s">
        <v>20</v>
      </c>
      <c r="H89" s="43" t="s">
        <v>619</v>
      </c>
      <c r="I89" s="17" t="s">
        <v>620</v>
      </c>
      <c r="J89" s="88"/>
      <c r="K89" s="80" t="str">
        <f t="shared" si="0"/>
        <v>C - 109</v>
      </c>
      <c r="L89" s="51"/>
      <c r="M89" s="51"/>
      <c r="N89" s="51"/>
      <c r="O89" s="51"/>
      <c r="P89" s="81"/>
      <c r="Q89" s="23" t="str">
        <f t="shared" ca="1" si="1"/>
        <v>-</v>
      </c>
      <c r="R89" s="23"/>
    </row>
    <row r="90" spans="1:18" ht="27" customHeight="1">
      <c r="A90" s="12">
        <v>2</v>
      </c>
      <c r="B90" s="102" t="s">
        <v>560</v>
      </c>
      <c r="C90" s="36" t="s">
        <v>452</v>
      </c>
      <c r="D90" s="41" t="s">
        <v>26</v>
      </c>
      <c r="E90" s="41">
        <v>98.9</v>
      </c>
      <c r="F90" s="41">
        <v>76</v>
      </c>
      <c r="G90" s="42" t="s">
        <v>20</v>
      </c>
      <c r="H90" s="43" t="s">
        <v>561</v>
      </c>
      <c r="I90" s="50" t="s">
        <v>559</v>
      </c>
      <c r="J90" s="104" t="s">
        <v>621</v>
      </c>
      <c r="K90" s="80" t="str">
        <f t="shared" si="0"/>
        <v>C - 2</v>
      </c>
      <c r="L90" s="95"/>
      <c r="M90" s="95"/>
      <c r="N90" s="51"/>
      <c r="O90" s="51"/>
      <c r="P90" s="81"/>
      <c r="Q90" s="23" t="str">
        <f t="shared" ca="1" si="1"/>
        <v>-</v>
      </c>
      <c r="R90" s="23"/>
    </row>
    <row r="91" spans="1:18" ht="27" customHeight="1">
      <c r="A91" s="93">
        <v>59</v>
      </c>
      <c r="B91" s="59" t="s">
        <v>622</v>
      </c>
      <c r="C91" s="36" t="s">
        <v>452</v>
      </c>
      <c r="D91" s="41" t="s">
        <v>26</v>
      </c>
      <c r="E91" s="41">
        <v>100.5</v>
      </c>
      <c r="F91" s="41">
        <v>76</v>
      </c>
      <c r="G91" s="42" t="s">
        <v>20</v>
      </c>
      <c r="H91" s="43" t="s">
        <v>623</v>
      </c>
      <c r="I91" s="17" t="s">
        <v>559</v>
      </c>
      <c r="J91" s="88"/>
      <c r="K91" s="80" t="str">
        <f t="shared" si="0"/>
        <v>C - 59</v>
      </c>
      <c r="L91" s="51"/>
      <c r="M91" s="51"/>
      <c r="N91" s="51"/>
      <c r="O91" s="51"/>
      <c r="P91" s="81"/>
      <c r="Q91" s="23" t="str">
        <f t="shared" ca="1" si="1"/>
        <v>-</v>
      </c>
      <c r="R91" s="23"/>
    </row>
    <row r="92" spans="1:18" ht="27" customHeight="1">
      <c r="A92" s="12">
        <v>67</v>
      </c>
      <c r="B92" s="59" t="s">
        <v>624</v>
      </c>
      <c r="C92" s="36" t="s">
        <v>452</v>
      </c>
      <c r="D92" s="41" t="s">
        <v>26</v>
      </c>
      <c r="E92" s="41">
        <v>90.9</v>
      </c>
      <c r="F92" s="41">
        <v>76</v>
      </c>
      <c r="G92" s="42" t="s">
        <v>20</v>
      </c>
      <c r="H92" s="43" t="s">
        <v>625</v>
      </c>
      <c r="I92" s="17" t="s">
        <v>559</v>
      </c>
      <c r="J92" s="88"/>
      <c r="K92" s="80" t="str">
        <f t="shared" si="0"/>
        <v>C - 67</v>
      </c>
      <c r="L92" s="51"/>
      <c r="M92" s="51"/>
      <c r="N92" s="51"/>
      <c r="O92" s="51"/>
      <c r="P92" s="81"/>
      <c r="Q92" s="23" t="str">
        <f t="shared" ca="1" si="1"/>
        <v>-</v>
      </c>
      <c r="R92" s="23"/>
    </row>
    <row r="93" spans="1:18" ht="27" customHeight="1">
      <c r="A93" s="76">
        <v>87</v>
      </c>
      <c r="B93" s="59" t="s">
        <v>626</v>
      </c>
      <c r="C93" s="36" t="s">
        <v>452</v>
      </c>
      <c r="D93" s="41" t="s">
        <v>26</v>
      </c>
      <c r="E93" s="41">
        <v>100.9</v>
      </c>
      <c r="F93" s="41">
        <v>76</v>
      </c>
      <c r="G93" s="42" t="s">
        <v>20</v>
      </c>
      <c r="H93" s="43" t="s">
        <v>627</v>
      </c>
      <c r="I93" s="17" t="s">
        <v>559</v>
      </c>
      <c r="J93" s="88"/>
      <c r="K93" s="80" t="str">
        <f t="shared" si="0"/>
        <v>C - 87</v>
      </c>
      <c r="L93" s="51"/>
      <c r="M93" s="51"/>
      <c r="N93" s="51"/>
      <c r="O93" s="51"/>
      <c r="P93" s="81"/>
      <c r="Q93" s="23" t="str">
        <f t="shared" ca="1" si="1"/>
        <v>-</v>
      </c>
      <c r="R93" s="23"/>
    </row>
    <row r="94" spans="1:18" ht="27" customHeight="1">
      <c r="A94" s="93">
        <v>117</v>
      </c>
      <c r="B94" s="59" t="s">
        <v>628</v>
      </c>
      <c r="C94" s="36" t="s">
        <v>452</v>
      </c>
      <c r="D94" s="41" t="s">
        <v>19</v>
      </c>
      <c r="E94" s="41">
        <v>9</v>
      </c>
      <c r="F94" s="41">
        <v>76</v>
      </c>
      <c r="G94" s="42" t="s">
        <v>20</v>
      </c>
      <c r="H94" s="43" t="s">
        <v>629</v>
      </c>
      <c r="I94" s="17" t="s">
        <v>559</v>
      </c>
      <c r="J94" s="88"/>
      <c r="K94" s="80" t="str">
        <f t="shared" si="0"/>
        <v>C - 117</v>
      </c>
      <c r="L94" s="51"/>
      <c r="M94" s="51"/>
      <c r="N94" s="51"/>
      <c r="O94" s="51"/>
      <c r="P94" s="81"/>
      <c r="Q94" s="23" t="str">
        <f t="shared" ca="1" si="1"/>
        <v>-</v>
      </c>
      <c r="R94" s="23"/>
    </row>
    <row r="95" spans="1:18" ht="27" customHeight="1">
      <c r="A95" s="76">
        <v>133</v>
      </c>
      <c r="B95" s="59" t="s">
        <v>630</v>
      </c>
      <c r="C95" s="36" t="s">
        <v>452</v>
      </c>
      <c r="D95" s="41" t="s">
        <v>19</v>
      </c>
      <c r="E95" s="41">
        <v>9</v>
      </c>
      <c r="F95" s="41">
        <v>76</v>
      </c>
      <c r="G95" s="45" t="s">
        <v>223</v>
      </c>
      <c r="H95" s="43" t="s">
        <v>631</v>
      </c>
      <c r="I95" s="17" t="s">
        <v>632</v>
      </c>
      <c r="J95" s="88"/>
      <c r="K95" s="80" t="str">
        <f t="shared" si="0"/>
        <v>C - 133</v>
      </c>
      <c r="L95" s="95" t="s">
        <v>23</v>
      </c>
      <c r="M95" s="95" t="s">
        <v>373</v>
      </c>
      <c r="N95" s="51" t="s">
        <v>633</v>
      </c>
      <c r="O95" s="51"/>
      <c r="P95" s="81"/>
      <c r="Q95" s="23" t="str">
        <f t="shared" ca="1" si="1"/>
        <v>-</v>
      </c>
      <c r="R95" s="23"/>
    </row>
    <row r="96" spans="1:18" ht="27" customHeight="1">
      <c r="A96" s="24">
        <v>134</v>
      </c>
      <c r="B96" s="59" t="s">
        <v>630</v>
      </c>
      <c r="C96" s="36" t="s">
        <v>452</v>
      </c>
      <c r="D96" s="41" t="s">
        <v>26</v>
      </c>
      <c r="E96" s="41">
        <v>98.5</v>
      </c>
      <c r="F96" s="41">
        <v>76</v>
      </c>
      <c r="G96" s="42" t="s">
        <v>20</v>
      </c>
      <c r="H96" s="43" t="s">
        <v>631</v>
      </c>
      <c r="I96" s="17" t="s">
        <v>589</v>
      </c>
      <c r="J96" s="88"/>
      <c r="K96" s="80" t="str">
        <f t="shared" si="0"/>
        <v>C - 134</v>
      </c>
      <c r="L96" s="51"/>
      <c r="M96" s="51"/>
      <c r="N96" s="51"/>
      <c r="O96" s="51"/>
      <c r="P96" s="81"/>
      <c r="Q96" s="23" t="str">
        <f t="shared" ca="1" si="1"/>
        <v>-</v>
      </c>
      <c r="R96" s="23"/>
    </row>
    <row r="97" spans="1:18" ht="27" customHeight="1">
      <c r="A97" s="12">
        <v>69</v>
      </c>
      <c r="B97" s="59" t="s">
        <v>634</v>
      </c>
      <c r="C97" s="36" t="s">
        <v>417</v>
      </c>
      <c r="D97" s="41" t="s">
        <v>26</v>
      </c>
      <c r="E97" s="41" t="s">
        <v>498</v>
      </c>
      <c r="F97" s="36">
        <v>79</v>
      </c>
      <c r="G97" s="42" t="s">
        <v>20</v>
      </c>
      <c r="H97" s="43" t="s">
        <v>635</v>
      </c>
      <c r="I97" s="17" t="s">
        <v>636</v>
      </c>
      <c r="J97" s="88"/>
      <c r="K97" s="80" t="str">
        <f t="shared" si="0"/>
        <v>C - 69</v>
      </c>
      <c r="L97" s="51"/>
      <c r="M97" s="51"/>
      <c r="N97" s="51"/>
      <c r="O97" s="51"/>
      <c r="P97" s="81"/>
      <c r="Q97" s="23" t="str">
        <f t="shared" ca="1" si="1"/>
        <v>-</v>
      </c>
      <c r="R97" s="23"/>
    </row>
    <row r="98" spans="1:18" ht="27" customHeight="1">
      <c r="A98" s="93">
        <v>146</v>
      </c>
      <c r="B98" s="59" t="s">
        <v>637</v>
      </c>
      <c r="C98" s="36" t="s">
        <v>417</v>
      </c>
      <c r="D98" s="41" t="s">
        <v>26</v>
      </c>
      <c r="E98" s="41">
        <v>96.1</v>
      </c>
      <c r="F98" s="41">
        <v>79</v>
      </c>
      <c r="G98" s="42" t="s">
        <v>20</v>
      </c>
      <c r="H98" s="43" t="s">
        <v>638</v>
      </c>
      <c r="I98" s="17" t="s">
        <v>636</v>
      </c>
      <c r="J98" s="88"/>
      <c r="K98" s="80" t="str">
        <f t="shared" si="0"/>
        <v>C - 146</v>
      </c>
      <c r="L98" s="51"/>
      <c r="M98" s="51"/>
      <c r="N98" s="51"/>
      <c r="O98" s="51"/>
      <c r="P98" s="81"/>
      <c r="Q98" s="23" t="str">
        <f t="shared" ca="1" si="1"/>
        <v>-</v>
      </c>
      <c r="R98" s="23"/>
    </row>
    <row r="99" spans="1:18" ht="27" customHeight="1">
      <c r="A99" s="12">
        <v>25</v>
      </c>
      <c r="B99" s="59" t="s">
        <v>639</v>
      </c>
      <c r="C99" s="36" t="s">
        <v>412</v>
      </c>
      <c r="D99" s="41" t="s">
        <v>26</v>
      </c>
      <c r="E99" s="41">
        <v>97.1</v>
      </c>
      <c r="F99" s="41">
        <v>85</v>
      </c>
      <c r="G99" s="45" t="s">
        <v>223</v>
      </c>
      <c r="H99" s="105" t="s">
        <v>640</v>
      </c>
      <c r="I99" s="17" t="s">
        <v>641</v>
      </c>
      <c r="J99" s="88"/>
      <c r="K99" s="80" t="str">
        <f t="shared" si="0"/>
        <v>C - 25</v>
      </c>
      <c r="L99" s="95"/>
      <c r="M99" s="95"/>
      <c r="N99" s="51"/>
      <c r="O99" s="51"/>
      <c r="P99" s="81"/>
      <c r="Q99" s="23" t="str">
        <f t="shared" ca="1" si="1"/>
        <v>-</v>
      </c>
      <c r="R99" s="23"/>
    </row>
    <row r="100" spans="1:18" ht="27" customHeight="1">
      <c r="A100" s="93">
        <v>26</v>
      </c>
      <c r="B100" s="59" t="s">
        <v>642</v>
      </c>
      <c r="C100" s="36" t="s">
        <v>412</v>
      </c>
      <c r="D100" s="41" t="s">
        <v>19</v>
      </c>
      <c r="E100" s="41">
        <v>6</v>
      </c>
      <c r="F100" s="41">
        <v>85</v>
      </c>
      <c r="G100" s="45" t="s">
        <v>223</v>
      </c>
      <c r="H100" s="43" t="s">
        <v>640</v>
      </c>
      <c r="I100" s="17" t="s">
        <v>643</v>
      </c>
      <c r="J100" s="88"/>
      <c r="K100" s="80" t="str">
        <f t="shared" si="0"/>
        <v>C - 26</v>
      </c>
      <c r="L100" s="51"/>
      <c r="M100" s="51"/>
      <c r="N100" s="51"/>
      <c r="O100" s="51"/>
      <c r="P100" s="81"/>
      <c r="Q100" s="23" t="str">
        <f t="shared" ca="1" si="1"/>
        <v>-</v>
      </c>
      <c r="R100" s="23"/>
    </row>
    <row r="101" spans="1:18" ht="27" customHeight="1">
      <c r="A101" s="12">
        <v>75</v>
      </c>
      <c r="B101" s="102" t="s">
        <v>644</v>
      </c>
      <c r="C101" s="36" t="s">
        <v>412</v>
      </c>
      <c r="D101" s="41" t="s">
        <v>26</v>
      </c>
      <c r="E101" s="41">
        <v>93.3</v>
      </c>
      <c r="F101" s="41">
        <v>85</v>
      </c>
      <c r="G101" s="42" t="s">
        <v>20</v>
      </c>
      <c r="H101" s="43" t="s">
        <v>645</v>
      </c>
      <c r="I101" s="17" t="s">
        <v>636</v>
      </c>
      <c r="J101" s="106"/>
      <c r="K101" s="80" t="str">
        <f t="shared" si="0"/>
        <v>C - 75</v>
      </c>
      <c r="L101" s="51"/>
      <c r="M101" s="51"/>
      <c r="N101" s="51"/>
      <c r="O101" s="51"/>
      <c r="P101" s="81"/>
      <c r="Q101" s="23" t="str">
        <f t="shared" ca="1" si="1"/>
        <v>-</v>
      </c>
      <c r="R101" s="23"/>
    </row>
    <row r="102" spans="1:18" ht="27" customHeight="1">
      <c r="A102" s="93">
        <v>143</v>
      </c>
      <c r="B102" s="59" t="s">
        <v>646</v>
      </c>
      <c r="C102" s="36" t="s">
        <v>412</v>
      </c>
      <c r="D102" s="41" t="s">
        <v>19</v>
      </c>
      <c r="E102" s="41">
        <v>9</v>
      </c>
      <c r="F102" s="41">
        <v>85</v>
      </c>
      <c r="G102" s="42" t="s">
        <v>20</v>
      </c>
      <c r="H102" s="43" t="s">
        <v>647</v>
      </c>
      <c r="I102" s="17" t="s">
        <v>636</v>
      </c>
      <c r="J102" s="88"/>
      <c r="K102" s="80" t="str">
        <f t="shared" si="0"/>
        <v>C - 143</v>
      </c>
      <c r="L102" s="51"/>
      <c r="M102" s="51"/>
      <c r="N102" s="51"/>
      <c r="O102" s="51"/>
      <c r="P102" s="81"/>
      <c r="Q102" s="23" t="str">
        <f t="shared" ca="1" si="1"/>
        <v>-</v>
      </c>
      <c r="R102" s="23"/>
    </row>
    <row r="103" spans="1:18" ht="27" customHeight="1">
      <c r="A103" s="76">
        <v>144</v>
      </c>
      <c r="B103" s="59" t="s">
        <v>646</v>
      </c>
      <c r="C103" s="36" t="s">
        <v>412</v>
      </c>
      <c r="D103" s="41" t="s">
        <v>26</v>
      </c>
      <c r="E103" s="41">
        <v>97.7</v>
      </c>
      <c r="F103" s="41">
        <v>85</v>
      </c>
      <c r="G103" s="42" t="s">
        <v>20</v>
      </c>
      <c r="H103" s="43" t="s">
        <v>647</v>
      </c>
      <c r="I103" s="17" t="s">
        <v>636</v>
      </c>
      <c r="J103" s="88"/>
      <c r="K103" s="80" t="str">
        <f t="shared" si="0"/>
        <v>C - 144</v>
      </c>
      <c r="L103" s="51"/>
      <c r="M103" s="51"/>
      <c r="N103" s="51"/>
      <c r="O103" s="51"/>
      <c r="P103" s="81"/>
      <c r="Q103" s="23" t="str">
        <f t="shared" ca="1" si="1"/>
        <v>-</v>
      </c>
      <c r="R103" s="23"/>
    </row>
    <row r="104" spans="1:18" ht="27" customHeight="1">
      <c r="A104" s="24">
        <v>43</v>
      </c>
      <c r="B104" s="59" t="s">
        <v>648</v>
      </c>
      <c r="C104" s="36" t="s">
        <v>417</v>
      </c>
      <c r="D104" s="41" t="s">
        <v>26</v>
      </c>
      <c r="E104" s="41" t="s">
        <v>649</v>
      </c>
      <c r="F104" s="41">
        <v>86</v>
      </c>
      <c r="G104" s="42" t="s">
        <v>20</v>
      </c>
      <c r="H104" s="43" t="s">
        <v>650</v>
      </c>
      <c r="I104" s="17" t="s">
        <v>651</v>
      </c>
      <c r="J104" s="88"/>
      <c r="K104" s="80" t="str">
        <f t="shared" si="0"/>
        <v>C - 43</v>
      </c>
      <c r="L104" s="51"/>
      <c r="M104" s="51"/>
      <c r="N104" s="51"/>
      <c r="O104" s="51"/>
      <c r="P104" s="81"/>
      <c r="Q104" s="23" t="str">
        <f t="shared" ca="1" si="1"/>
        <v>-</v>
      </c>
      <c r="R104" s="23"/>
    </row>
    <row r="105" spans="1:18" ht="27" customHeight="1">
      <c r="A105" s="76">
        <v>130</v>
      </c>
      <c r="B105" s="59" t="s">
        <v>652</v>
      </c>
      <c r="C105" s="36" t="s">
        <v>417</v>
      </c>
      <c r="D105" s="41" t="s">
        <v>26</v>
      </c>
      <c r="E105" s="41" t="s">
        <v>653</v>
      </c>
      <c r="F105" s="41">
        <v>86</v>
      </c>
      <c r="G105" s="42" t="s">
        <v>20</v>
      </c>
      <c r="H105" s="43" t="s">
        <v>654</v>
      </c>
      <c r="I105" s="17" t="s">
        <v>651</v>
      </c>
      <c r="J105" s="88"/>
      <c r="K105" s="80" t="str">
        <f t="shared" si="0"/>
        <v>C - 130</v>
      </c>
      <c r="L105" s="51"/>
      <c r="M105" s="51"/>
      <c r="N105" s="51"/>
      <c r="O105" s="51"/>
      <c r="P105" s="81"/>
      <c r="Q105" s="23" t="str">
        <f t="shared" ca="1" si="1"/>
        <v>-</v>
      </c>
      <c r="R105" s="23"/>
    </row>
    <row r="106" spans="1:18" ht="27" customHeight="1">
      <c r="A106" s="12">
        <v>4</v>
      </c>
      <c r="B106" s="59" t="s">
        <v>655</v>
      </c>
      <c r="C106" s="36" t="s">
        <v>120</v>
      </c>
      <c r="D106" s="41" t="s">
        <v>26</v>
      </c>
      <c r="E106" s="41">
        <v>102.1</v>
      </c>
      <c r="F106" s="41">
        <v>87</v>
      </c>
      <c r="G106" s="42" t="s">
        <v>20</v>
      </c>
      <c r="H106" s="43" t="s">
        <v>656</v>
      </c>
      <c r="I106" s="17" t="s">
        <v>657</v>
      </c>
      <c r="J106" s="88"/>
      <c r="K106" s="80" t="str">
        <f t="shared" si="0"/>
        <v>C - 4</v>
      </c>
      <c r="L106" s="51"/>
      <c r="M106" s="51"/>
      <c r="N106" s="51"/>
      <c r="O106" s="51"/>
      <c r="P106" s="81"/>
      <c r="Q106" s="23" t="str">
        <f t="shared" ca="1" si="1"/>
        <v>-</v>
      </c>
      <c r="R106" s="23"/>
    </row>
    <row r="107" spans="1:18" ht="27" customHeight="1">
      <c r="A107" s="93">
        <v>31</v>
      </c>
      <c r="B107" s="59" t="s">
        <v>658</v>
      </c>
      <c r="C107" s="36" t="s">
        <v>120</v>
      </c>
      <c r="D107" s="41" t="s">
        <v>26</v>
      </c>
      <c r="E107" s="41">
        <v>92.7</v>
      </c>
      <c r="F107" s="41">
        <v>87</v>
      </c>
      <c r="G107" s="42" t="s">
        <v>20</v>
      </c>
      <c r="H107" s="43" t="s">
        <v>659</v>
      </c>
      <c r="I107" s="17" t="s">
        <v>660</v>
      </c>
      <c r="J107" s="88"/>
      <c r="K107" s="80" t="str">
        <f t="shared" si="0"/>
        <v>C - 31</v>
      </c>
      <c r="L107" s="95" t="s">
        <v>23</v>
      </c>
      <c r="M107" s="95" t="s">
        <v>24</v>
      </c>
      <c r="N107" s="51"/>
      <c r="O107" s="51"/>
      <c r="P107" s="81"/>
      <c r="Q107" s="23" t="str">
        <f t="shared" ca="1" si="1"/>
        <v>-</v>
      </c>
      <c r="R107" s="23"/>
    </row>
    <row r="108" spans="1:18" ht="27" customHeight="1">
      <c r="A108" s="76">
        <v>57</v>
      </c>
      <c r="B108" s="59" t="s">
        <v>661</v>
      </c>
      <c r="C108" s="36" t="s">
        <v>497</v>
      </c>
      <c r="D108" s="41" t="s">
        <v>26</v>
      </c>
      <c r="E108" s="41">
        <v>91.9</v>
      </c>
      <c r="F108" s="41">
        <v>87</v>
      </c>
      <c r="G108" s="42" t="s">
        <v>20</v>
      </c>
      <c r="H108" s="43" t="s">
        <v>662</v>
      </c>
      <c r="I108" s="17" t="s">
        <v>657</v>
      </c>
      <c r="J108" s="88"/>
      <c r="K108" s="80" t="str">
        <f t="shared" si="0"/>
        <v>C - 57</v>
      </c>
      <c r="L108" s="51"/>
      <c r="M108" s="51"/>
      <c r="N108" s="51"/>
      <c r="O108" s="51"/>
      <c r="P108" s="81"/>
      <c r="Q108" s="23" t="str">
        <f t="shared" ca="1" si="1"/>
        <v>-</v>
      </c>
      <c r="R108" s="23"/>
    </row>
    <row r="109" spans="1:18" ht="27" customHeight="1">
      <c r="A109" s="93">
        <v>24</v>
      </c>
      <c r="B109" s="59" t="s">
        <v>663</v>
      </c>
      <c r="C109" s="36" t="s">
        <v>412</v>
      </c>
      <c r="D109" s="41" t="s">
        <v>26</v>
      </c>
      <c r="E109" s="41">
        <v>97.7</v>
      </c>
      <c r="F109" s="41">
        <v>88</v>
      </c>
      <c r="G109" s="42" t="s">
        <v>20</v>
      </c>
      <c r="H109" s="43" t="s">
        <v>664</v>
      </c>
      <c r="I109" s="17" t="s">
        <v>665</v>
      </c>
      <c r="J109" s="88"/>
      <c r="K109" s="80" t="str">
        <f t="shared" si="0"/>
        <v>C - 24</v>
      </c>
      <c r="L109" s="101"/>
      <c r="M109" s="101"/>
      <c r="N109" s="51"/>
      <c r="O109" s="51"/>
      <c r="P109" s="81"/>
      <c r="Q109" s="23" t="str">
        <f t="shared" ca="1" si="1"/>
        <v>-</v>
      </c>
      <c r="R109" s="23"/>
    </row>
    <row r="110" spans="1:18" ht="27" customHeight="1">
      <c r="A110" s="12">
        <v>125</v>
      </c>
      <c r="B110" s="59" t="s">
        <v>666</v>
      </c>
      <c r="C110" s="36" t="s">
        <v>412</v>
      </c>
      <c r="D110" s="41" t="s">
        <v>26</v>
      </c>
      <c r="E110" s="41">
        <v>94.5</v>
      </c>
      <c r="F110" s="41">
        <v>88</v>
      </c>
      <c r="G110" s="45" t="s">
        <v>223</v>
      </c>
      <c r="H110" s="43" t="s">
        <v>667</v>
      </c>
      <c r="I110" s="17" t="s">
        <v>668</v>
      </c>
      <c r="J110" s="88"/>
      <c r="K110" s="80" t="str">
        <f t="shared" si="0"/>
        <v>C - 125</v>
      </c>
      <c r="L110" s="101"/>
      <c r="M110" s="101"/>
      <c r="N110" s="51"/>
      <c r="O110" s="51"/>
      <c r="P110" s="81"/>
      <c r="Q110" s="23" t="str">
        <f t="shared" ca="1" si="1"/>
        <v>-</v>
      </c>
      <c r="R110" s="23"/>
    </row>
    <row r="111" spans="1:18" ht="27" customHeight="1">
      <c r="A111" s="93">
        <v>55</v>
      </c>
      <c r="B111" s="59" t="s">
        <v>669</v>
      </c>
      <c r="C111" s="36" t="s">
        <v>412</v>
      </c>
      <c r="D111" s="41" t="s">
        <v>26</v>
      </c>
      <c r="E111" s="41" t="s">
        <v>670</v>
      </c>
      <c r="F111" s="41">
        <v>91</v>
      </c>
      <c r="G111" s="42" t="s">
        <v>20</v>
      </c>
      <c r="H111" s="43" t="s">
        <v>671</v>
      </c>
      <c r="I111" s="17" t="s">
        <v>672</v>
      </c>
      <c r="J111" s="88"/>
      <c r="K111" s="80" t="str">
        <f t="shared" si="0"/>
        <v>C - 55</v>
      </c>
      <c r="L111" s="51"/>
      <c r="M111" s="51"/>
      <c r="N111" s="51"/>
      <c r="O111" s="51"/>
      <c r="P111" s="81"/>
      <c r="Q111" s="23" t="str">
        <f t="shared" ca="1" si="1"/>
        <v>-</v>
      </c>
      <c r="R111" s="23"/>
    </row>
    <row r="112" spans="1:18" ht="27" customHeight="1">
      <c r="A112" s="12">
        <v>56</v>
      </c>
      <c r="B112" s="102" t="s">
        <v>669</v>
      </c>
      <c r="C112" s="36" t="s">
        <v>412</v>
      </c>
      <c r="D112" s="41" t="s">
        <v>31</v>
      </c>
      <c r="E112" s="41">
        <v>35</v>
      </c>
      <c r="F112" s="41">
        <v>91</v>
      </c>
      <c r="G112" s="42" t="s">
        <v>20</v>
      </c>
      <c r="H112" s="43" t="s">
        <v>671</v>
      </c>
      <c r="I112" s="17" t="s">
        <v>672</v>
      </c>
      <c r="J112" s="88"/>
      <c r="K112" s="80" t="str">
        <f t="shared" si="0"/>
        <v>C - 56</v>
      </c>
      <c r="L112" s="51"/>
      <c r="M112" s="51"/>
      <c r="N112" s="51"/>
      <c r="O112" s="51"/>
      <c r="P112" s="81"/>
      <c r="Q112" s="23" t="str">
        <f t="shared" ca="1" si="1"/>
        <v>-</v>
      </c>
      <c r="R112" s="23"/>
    </row>
    <row r="113" spans="1:18" ht="27" customHeight="1">
      <c r="A113" s="93">
        <v>33</v>
      </c>
      <c r="B113" s="102" t="s">
        <v>673</v>
      </c>
      <c r="C113" s="36" t="s">
        <v>457</v>
      </c>
      <c r="D113" s="41" t="s">
        <v>26</v>
      </c>
      <c r="E113" s="41">
        <v>104.7</v>
      </c>
      <c r="F113" s="41">
        <v>96</v>
      </c>
      <c r="G113" s="42" t="s">
        <v>20</v>
      </c>
      <c r="H113" s="43" t="s">
        <v>674</v>
      </c>
      <c r="I113" s="17" t="s">
        <v>589</v>
      </c>
      <c r="J113" s="88"/>
      <c r="K113" s="80" t="str">
        <f t="shared" si="0"/>
        <v>C - 33</v>
      </c>
      <c r="L113" s="51"/>
      <c r="M113" s="51"/>
      <c r="N113" s="51"/>
      <c r="O113" s="51"/>
      <c r="P113" s="81"/>
      <c r="Q113" s="23" t="str">
        <f t="shared" ca="1" si="1"/>
        <v>-</v>
      </c>
      <c r="R113" s="23"/>
    </row>
    <row r="114" spans="1:18" ht="27" customHeight="1">
      <c r="A114" s="12">
        <v>38</v>
      </c>
      <c r="B114" s="59" t="s">
        <v>675</v>
      </c>
      <c r="C114" s="36" t="s">
        <v>457</v>
      </c>
      <c r="D114" s="41" t="s">
        <v>19</v>
      </c>
      <c r="E114" s="41">
        <v>8</v>
      </c>
      <c r="F114" s="41">
        <v>96</v>
      </c>
      <c r="G114" s="42" t="s">
        <v>20</v>
      </c>
      <c r="H114" s="43" t="s">
        <v>676</v>
      </c>
      <c r="I114" s="17" t="s">
        <v>589</v>
      </c>
      <c r="J114" s="107" t="s">
        <v>536</v>
      </c>
      <c r="K114" s="80" t="str">
        <f t="shared" si="0"/>
        <v>C - 38</v>
      </c>
      <c r="L114" s="51"/>
      <c r="M114" s="51"/>
      <c r="N114" s="51"/>
      <c r="O114" s="51"/>
      <c r="P114" s="81"/>
      <c r="Q114" s="23" t="str">
        <f t="shared" ca="1" si="1"/>
        <v>-</v>
      </c>
      <c r="R114" s="23"/>
    </row>
    <row r="115" spans="1:18" ht="27" customHeight="1">
      <c r="A115" s="24">
        <v>90</v>
      </c>
      <c r="B115" s="59" t="s">
        <v>677</v>
      </c>
      <c r="C115" s="36" t="s">
        <v>457</v>
      </c>
      <c r="D115" s="41" t="s">
        <v>26</v>
      </c>
      <c r="E115" s="41">
        <v>101.9</v>
      </c>
      <c r="F115" s="41">
        <v>96</v>
      </c>
      <c r="G115" s="42" t="s">
        <v>20</v>
      </c>
      <c r="H115" s="43" t="s">
        <v>678</v>
      </c>
      <c r="I115" s="17" t="s">
        <v>589</v>
      </c>
      <c r="J115" s="88"/>
      <c r="K115" s="80" t="str">
        <f t="shared" si="0"/>
        <v>C - 90</v>
      </c>
      <c r="L115" s="51"/>
      <c r="M115" s="51"/>
      <c r="N115" s="51"/>
      <c r="O115" s="51"/>
      <c r="P115" s="81"/>
      <c r="Q115" s="23" t="str">
        <f t="shared" ca="1" si="1"/>
        <v>-</v>
      </c>
      <c r="R115" s="23"/>
    </row>
    <row r="116" spans="1:18" ht="27" customHeight="1">
      <c r="A116" s="76">
        <v>91</v>
      </c>
      <c r="B116" s="59" t="s">
        <v>677</v>
      </c>
      <c r="C116" s="36" t="s">
        <v>457</v>
      </c>
      <c r="D116" s="41" t="s">
        <v>19</v>
      </c>
      <c r="E116" s="41">
        <v>2</v>
      </c>
      <c r="F116" s="41">
        <v>96</v>
      </c>
      <c r="G116" s="42" t="s">
        <v>20</v>
      </c>
      <c r="H116" s="43" t="s">
        <v>679</v>
      </c>
      <c r="I116" s="17" t="s">
        <v>589</v>
      </c>
      <c r="J116" s="88"/>
      <c r="K116" s="80" t="str">
        <f t="shared" si="0"/>
        <v>C - 91</v>
      </c>
      <c r="L116" s="51"/>
      <c r="M116" s="51"/>
      <c r="N116" s="51"/>
      <c r="O116" s="51"/>
      <c r="P116" s="81"/>
      <c r="Q116" s="23" t="str">
        <f t="shared" ca="1" si="1"/>
        <v>-</v>
      </c>
      <c r="R116" s="23"/>
    </row>
    <row r="117" spans="1:18" ht="27" customHeight="1">
      <c r="A117" s="93">
        <v>92</v>
      </c>
      <c r="B117" s="59" t="s">
        <v>680</v>
      </c>
      <c r="C117" s="36" t="s">
        <v>457</v>
      </c>
      <c r="D117" s="41" t="s">
        <v>26</v>
      </c>
      <c r="E117" s="41">
        <v>96.3</v>
      </c>
      <c r="F117" s="41">
        <v>96</v>
      </c>
      <c r="G117" s="42" t="s">
        <v>20</v>
      </c>
      <c r="H117" s="43" t="s">
        <v>681</v>
      </c>
      <c r="I117" s="17" t="s">
        <v>589</v>
      </c>
      <c r="J117" s="88"/>
      <c r="K117" s="80" t="str">
        <f t="shared" si="0"/>
        <v>C - 92</v>
      </c>
      <c r="L117" s="51"/>
      <c r="M117" s="51"/>
      <c r="N117" s="51"/>
      <c r="O117" s="51"/>
      <c r="P117" s="81"/>
      <c r="Q117" s="23" t="str">
        <f t="shared" ca="1" si="1"/>
        <v>-</v>
      </c>
      <c r="R117" s="23"/>
    </row>
    <row r="118" spans="1:18" ht="27" customHeight="1">
      <c r="A118" s="76">
        <v>9</v>
      </c>
      <c r="B118" s="102" t="s">
        <v>682</v>
      </c>
      <c r="C118" s="36" t="s">
        <v>427</v>
      </c>
      <c r="D118" s="41" t="s">
        <v>26</v>
      </c>
      <c r="E118" s="41">
        <v>101.7</v>
      </c>
      <c r="F118" s="41">
        <v>99</v>
      </c>
      <c r="G118" s="42" t="s">
        <v>20</v>
      </c>
      <c r="H118" s="43" t="s">
        <v>683</v>
      </c>
      <c r="I118" s="17" t="s">
        <v>684</v>
      </c>
      <c r="J118" s="88"/>
      <c r="K118" s="80" t="str">
        <f t="shared" si="0"/>
        <v>C - 9</v>
      </c>
      <c r="L118" s="51"/>
      <c r="M118" s="51"/>
      <c r="N118" s="51"/>
      <c r="O118" s="51"/>
      <c r="P118" s="81"/>
      <c r="Q118" s="23" t="str">
        <f t="shared" ca="1" si="1"/>
        <v>-</v>
      </c>
      <c r="R118" s="23"/>
    </row>
    <row r="119" spans="1:18" ht="27" customHeight="1">
      <c r="A119" s="12">
        <v>41</v>
      </c>
      <c r="B119" s="59" t="s">
        <v>685</v>
      </c>
      <c r="C119" s="36" t="s">
        <v>427</v>
      </c>
      <c r="D119" s="41" t="s">
        <v>26</v>
      </c>
      <c r="E119" s="41">
        <v>95.9</v>
      </c>
      <c r="F119" s="41">
        <v>99</v>
      </c>
      <c r="G119" s="42" t="s">
        <v>20</v>
      </c>
      <c r="H119" s="43" t="s">
        <v>686</v>
      </c>
      <c r="I119" s="17" t="s">
        <v>559</v>
      </c>
      <c r="J119" s="88"/>
      <c r="K119" s="80" t="str">
        <f t="shared" si="0"/>
        <v>C - 41</v>
      </c>
      <c r="L119" s="51"/>
      <c r="M119" s="51"/>
      <c r="N119" s="51"/>
      <c r="O119" s="51"/>
      <c r="P119" s="81"/>
      <c r="Q119" s="23" t="str">
        <f t="shared" ca="1" si="1"/>
        <v>-</v>
      </c>
      <c r="R119" s="23"/>
    </row>
    <row r="120" spans="1:18" ht="27" customHeight="1">
      <c r="A120" s="93">
        <v>42</v>
      </c>
      <c r="B120" s="59" t="s">
        <v>685</v>
      </c>
      <c r="C120" s="36" t="s">
        <v>427</v>
      </c>
      <c r="D120" s="41" t="s">
        <v>19</v>
      </c>
      <c r="E120" s="41">
        <v>9</v>
      </c>
      <c r="F120" s="41">
        <v>99</v>
      </c>
      <c r="G120" s="42" t="s">
        <v>20</v>
      </c>
      <c r="H120" s="43" t="s">
        <v>686</v>
      </c>
      <c r="I120" s="17" t="s">
        <v>559</v>
      </c>
      <c r="J120" s="88"/>
      <c r="K120" s="80" t="str">
        <f t="shared" si="0"/>
        <v>C - 42</v>
      </c>
      <c r="L120" s="51"/>
      <c r="M120" s="51"/>
      <c r="N120" s="51"/>
      <c r="O120" s="51"/>
      <c r="P120" s="81"/>
      <c r="Q120" s="23" t="str">
        <f t="shared" ca="1" si="1"/>
        <v>-</v>
      </c>
      <c r="R120" s="23"/>
    </row>
    <row r="121" spans="1:18" ht="27" customHeight="1">
      <c r="A121" s="76">
        <v>98</v>
      </c>
      <c r="B121" s="59" t="s">
        <v>687</v>
      </c>
      <c r="C121" s="36" t="s">
        <v>427</v>
      </c>
      <c r="D121" s="41" t="s">
        <v>26</v>
      </c>
      <c r="E121" s="41">
        <v>96.1</v>
      </c>
      <c r="F121" s="41">
        <v>99</v>
      </c>
      <c r="G121" s="45" t="s">
        <v>223</v>
      </c>
      <c r="H121" s="43" t="s">
        <v>688</v>
      </c>
      <c r="I121" s="108" t="s">
        <v>689</v>
      </c>
      <c r="J121" s="88"/>
      <c r="K121" s="80" t="str">
        <f t="shared" si="0"/>
        <v>C - 98</v>
      </c>
      <c r="L121" s="51"/>
      <c r="M121" s="51"/>
      <c r="N121" s="51"/>
      <c r="O121" s="51"/>
      <c r="P121" s="81"/>
      <c r="Q121" s="23" t="str">
        <f t="shared" ca="1" si="1"/>
        <v>-</v>
      </c>
      <c r="R121" s="23"/>
    </row>
    <row r="122" spans="1:18" ht="27" customHeight="1">
      <c r="A122" s="24">
        <v>110</v>
      </c>
      <c r="B122" s="59" t="s">
        <v>690</v>
      </c>
      <c r="C122" s="36" t="s">
        <v>427</v>
      </c>
      <c r="D122" s="41" t="s">
        <v>26</v>
      </c>
      <c r="E122" s="41">
        <v>99.3</v>
      </c>
      <c r="F122" s="41">
        <v>99</v>
      </c>
      <c r="G122" s="42" t="s">
        <v>20</v>
      </c>
      <c r="H122" s="43" t="s">
        <v>691</v>
      </c>
      <c r="I122" s="17" t="s">
        <v>692</v>
      </c>
      <c r="J122" s="88"/>
      <c r="K122" s="80" t="str">
        <f t="shared" si="0"/>
        <v>C - 110</v>
      </c>
      <c r="L122" s="51"/>
      <c r="M122" s="51"/>
      <c r="N122" s="51"/>
      <c r="O122" s="51"/>
      <c r="P122" s="81"/>
      <c r="Q122" s="23" t="str">
        <f t="shared" ca="1" si="1"/>
        <v>-</v>
      </c>
      <c r="R122" s="23"/>
    </row>
    <row r="123" spans="1:18" ht="27" customHeight="1">
      <c r="A123" s="76">
        <v>81</v>
      </c>
      <c r="B123" s="59" t="s">
        <v>693</v>
      </c>
      <c r="C123" s="36" t="s">
        <v>417</v>
      </c>
      <c r="D123" s="41" t="s">
        <v>26</v>
      </c>
      <c r="E123" s="41">
        <v>98.5</v>
      </c>
      <c r="F123" s="41">
        <v>103</v>
      </c>
      <c r="G123" s="42" t="s">
        <v>20</v>
      </c>
      <c r="H123" s="43" t="s">
        <v>694</v>
      </c>
      <c r="I123" s="17" t="s">
        <v>695</v>
      </c>
      <c r="J123" s="88"/>
      <c r="K123" s="80" t="str">
        <f t="shared" si="0"/>
        <v>C - 81</v>
      </c>
      <c r="L123" s="51"/>
      <c r="M123" s="51"/>
      <c r="N123" s="51"/>
      <c r="O123" s="51"/>
      <c r="P123" s="81"/>
      <c r="Q123" s="23" t="str">
        <f t="shared" ca="1" si="1"/>
        <v>-</v>
      </c>
      <c r="R123" s="23"/>
    </row>
    <row r="124" spans="1:18" ht="27" customHeight="1">
      <c r="A124" s="93">
        <v>100</v>
      </c>
      <c r="B124" s="102" t="s">
        <v>696</v>
      </c>
      <c r="C124" s="36" t="s">
        <v>417</v>
      </c>
      <c r="D124" s="41" t="s">
        <v>26</v>
      </c>
      <c r="E124" s="41" t="s">
        <v>697</v>
      </c>
      <c r="F124" s="41">
        <v>103</v>
      </c>
      <c r="G124" s="42" t="s">
        <v>20</v>
      </c>
      <c r="H124" s="43" t="s">
        <v>698</v>
      </c>
      <c r="I124" s="17" t="s">
        <v>695</v>
      </c>
      <c r="J124" s="88"/>
      <c r="K124" s="80" t="str">
        <f t="shared" si="0"/>
        <v>C - 100</v>
      </c>
      <c r="L124" s="51"/>
      <c r="M124" s="51"/>
      <c r="N124" s="51"/>
      <c r="O124" s="51"/>
      <c r="P124" s="81"/>
      <c r="Q124" s="23" t="str">
        <f t="shared" ca="1" si="1"/>
        <v>-</v>
      </c>
      <c r="R124" s="23"/>
    </row>
    <row r="125" spans="1:18" ht="27" customHeight="1">
      <c r="A125" s="76">
        <v>120</v>
      </c>
      <c r="B125" s="59" t="s">
        <v>699</v>
      </c>
      <c r="C125" s="36" t="s">
        <v>417</v>
      </c>
      <c r="D125" s="41" t="s">
        <v>26</v>
      </c>
      <c r="E125" s="41">
        <v>97.7</v>
      </c>
      <c r="F125" s="41">
        <v>103</v>
      </c>
      <c r="G125" s="42" t="s">
        <v>20</v>
      </c>
      <c r="H125" s="43" t="s">
        <v>700</v>
      </c>
      <c r="I125" s="17" t="s">
        <v>695</v>
      </c>
      <c r="J125" s="88"/>
      <c r="K125" s="80" t="str">
        <f t="shared" si="0"/>
        <v>C - 120</v>
      </c>
      <c r="L125" s="51"/>
      <c r="M125" s="51"/>
      <c r="N125" s="51"/>
      <c r="O125" s="51"/>
      <c r="P125" s="81"/>
      <c r="Q125" s="23" t="str">
        <f t="shared" ca="1" si="1"/>
        <v>-</v>
      </c>
      <c r="R125" s="23"/>
    </row>
    <row r="126" spans="1:18" ht="27" customHeight="1">
      <c r="A126" s="24">
        <v>17</v>
      </c>
      <c r="B126" s="59" t="s">
        <v>701</v>
      </c>
      <c r="C126" s="36" t="s">
        <v>412</v>
      </c>
      <c r="D126" s="41" t="s">
        <v>19</v>
      </c>
      <c r="E126" s="41">
        <v>5</v>
      </c>
      <c r="F126" s="41">
        <v>109</v>
      </c>
      <c r="G126" s="42" t="s">
        <v>20</v>
      </c>
      <c r="H126" s="43" t="s">
        <v>702</v>
      </c>
      <c r="I126" s="17" t="s">
        <v>703</v>
      </c>
      <c r="J126" s="88"/>
      <c r="K126" s="80" t="str">
        <f t="shared" si="0"/>
        <v>C - 17</v>
      </c>
      <c r="L126" s="51"/>
      <c r="M126" s="51"/>
      <c r="N126" s="51"/>
      <c r="O126" s="51"/>
      <c r="P126" s="81"/>
      <c r="Q126" s="23" t="str">
        <f t="shared" ca="1" si="1"/>
        <v>-</v>
      </c>
      <c r="R126" s="23"/>
    </row>
    <row r="127" spans="1:18" ht="27" customHeight="1">
      <c r="A127" s="76">
        <v>18</v>
      </c>
      <c r="B127" s="59" t="s">
        <v>701</v>
      </c>
      <c r="C127" s="36" t="s">
        <v>412</v>
      </c>
      <c r="D127" s="41" t="s">
        <v>26</v>
      </c>
      <c r="E127" s="41">
        <v>97.5</v>
      </c>
      <c r="F127" s="41">
        <v>109</v>
      </c>
      <c r="G127" s="42" t="s">
        <v>20</v>
      </c>
      <c r="H127" s="43" t="s">
        <v>702</v>
      </c>
      <c r="I127" s="17" t="s">
        <v>703</v>
      </c>
      <c r="J127" s="88"/>
      <c r="K127" s="80" t="str">
        <f t="shared" si="0"/>
        <v>C - 18</v>
      </c>
      <c r="L127" s="51"/>
      <c r="M127" s="51"/>
      <c r="N127" s="51"/>
      <c r="O127" s="51"/>
      <c r="P127" s="81"/>
      <c r="Q127" s="23" t="str">
        <f t="shared" ca="1" si="1"/>
        <v>-</v>
      </c>
      <c r="R127" s="23"/>
    </row>
    <row r="128" spans="1:18" ht="27" customHeight="1">
      <c r="A128" s="24">
        <v>10</v>
      </c>
      <c r="B128" s="59" t="s">
        <v>704</v>
      </c>
      <c r="C128" s="36" t="s">
        <v>120</v>
      </c>
      <c r="D128" s="41" t="s">
        <v>26</v>
      </c>
      <c r="E128" s="41">
        <v>97.7</v>
      </c>
      <c r="F128" s="41">
        <v>112</v>
      </c>
      <c r="G128" s="42" t="s">
        <v>20</v>
      </c>
      <c r="H128" s="43" t="s">
        <v>705</v>
      </c>
      <c r="I128" s="17" t="s">
        <v>706</v>
      </c>
      <c r="J128" s="88"/>
      <c r="K128" s="80" t="str">
        <f t="shared" si="0"/>
        <v>C - 10</v>
      </c>
      <c r="L128" s="51"/>
      <c r="M128" s="51"/>
      <c r="N128" s="51"/>
      <c r="O128" s="51"/>
      <c r="P128" s="81"/>
      <c r="Q128" s="23" t="str">
        <f t="shared" ca="1" si="1"/>
        <v>-</v>
      </c>
      <c r="R128" s="23"/>
    </row>
    <row r="129" spans="1:18" ht="27" customHeight="1">
      <c r="A129" s="76">
        <v>11</v>
      </c>
      <c r="B129" s="59" t="s">
        <v>704</v>
      </c>
      <c r="C129" s="36" t="s">
        <v>120</v>
      </c>
      <c r="D129" s="41" t="s">
        <v>19</v>
      </c>
      <c r="E129" s="41">
        <v>13</v>
      </c>
      <c r="F129" s="41">
        <v>112</v>
      </c>
      <c r="G129" s="42" t="s">
        <v>20</v>
      </c>
      <c r="H129" s="43" t="s">
        <v>705</v>
      </c>
      <c r="I129" s="17" t="s">
        <v>706</v>
      </c>
      <c r="J129" s="88"/>
      <c r="K129" s="80" t="str">
        <f t="shared" si="0"/>
        <v>C - 11</v>
      </c>
      <c r="L129" s="51"/>
      <c r="M129" s="51"/>
      <c r="N129" s="51"/>
      <c r="O129" s="51"/>
      <c r="P129" s="81"/>
      <c r="Q129" s="23" t="str">
        <f t="shared" ca="1" si="1"/>
        <v>-</v>
      </c>
      <c r="R129" s="23"/>
    </row>
    <row r="130" spans="1:18" ht="27" customHeight="1">
      <c r="A130" s="24">
        <v>34</v>
      </c>
      <c r="B130" s="59" t="s">
        <v>707</v>
      </c>
      <c r="C130" s="36" t="s">
        <v>45</v>
      </c>
      <c r="D130" s="41" t="s">
        <v>26</v>
      </c>
      <c r="E130" s="41">
        <v>98.9</v>
      </c>
      <c r="F130" s="41">
        <v>113</v>
      </c>
      <c r="G130" s="42" t="s">
        <v>20</v>
      </c>
      <c r="H130" s="43" t="s">
        <v>708</v>
      </c>
      <c r="I130" s="17" t="s">
        <v>709</v>
      </c>
      <c r="J130" s="107"/>
      <c r="K130" s="80" t="str">
        <f t="shared" si="0"/>
        <v>C - 34</v>
      </c>
      <c r="L130" s="51"/>
      <c r="M130" s="51"/>
      <c r="N130" s="51"/>
      <c r="O130" s="51"/>
      <c r="P130" s="81"/>
      <c r="Q130" s="23" t="str">
        <f t="shared" ca="1" si="1"/>
        <v>-</v>
      </c>
      <c r="R130" s="23"/>
    </row>
    <row r="131" spans="1:18" ht="27" customHeight="1">
      <c r="A131" s="76">
        <v>68</v>
      </c>
      <c r="B131" s="59" t="s">
        <v>710</v>
      </c>
      <c r="C131" s="36" t="s">
        <v>120</v>
      </c>
      <c r="D131" s="41" t="s">
        <v>26</v>
      </c>
      <c r="E131" s="41">
        <v>94.7</v>
      </c>
      <c r="F131" s="41">
        <v>113</v>
      </c>
      <c r="G131" s="42" t="s">
        <v>20</v>
      </c>
      <c r="H131" s="43" t="s">
        <v>711</v>
      </c>
      <c r="I131" s="17" t="s">
        <v>712</v>
      </c>
      <c r="J131" s="88"/>
      <c r="K131" s="80" t="str">
        <f t="shared" si="0"/>
        <v>C - 68</v>
      </c>
      <c r="L131" s="95" t="s">
        <v>23</v>
      </c>
      <c r="M131" s="95" t="s">
        <v>24</v>
      </c>
      <c r="N131" s="51"/>
      <c r="O131" s="51"/>
      <c r="P131" s="81"/>
      <c r="Q131" s="23" t="str">
        <f t="shared" ca="1" si="1"/>
        <v>-</v>
      </c>
      <c r="R131" s="23"/>
    </row>
    <row r="132" spans="1:18" ht="27" customHeight="1">
      <c r="A132" s="76">
        <v>85</v>
      </c>
      <c r="B132" s="59" t="s">
        <v>713</v>
      </c>
      <c r="C132" s="36" t="s">
        <v>497</v>
      </c>
      <c r="D132" s="41" t="s">
        <v>26</v>
      </c>
      <c r="E132" s="41">
        <v>106.5</v>
      </c>
      <c r="F132" s="41">
        <v>118</v>
      </c>
      <c r="G132" s="42" t="s">
        <v>20</v>
      </c>
      <c r="H132" s="43" t="s">
        <v>714</v>
      </c>
      <c r="I132" s="17" t="s">
        <v>715</v>
      </c>
      <c r="J132" s="88"/>
      <c r="K132" s="80" t="str">
        <f t="shared" si="0"/>
        <v>C - 85</v>
      </c>
      <c r="L132" s="51"/>
      <c r="M132" s="51"/>
      <c r="N132" s="51"/>
      <c r="O132" s="51"/>
      <c r="P132" s="81"/>
      <c r="Q132" s="23" t="str">
        <f t="shared" ca="1" si="1"/>
        <v>-</v>
      </c>
      <c r="R132" s="23"/>
    </row>
    <row r="133" spans="1:18" ht="27" customHeight="1">
      <c r="A133" s="93">
        <v>104</v>
      </c>
      <c r="B133" s="59" t="s">
        <v>716</v>
      </c>
      <c r="C133" s="36" t="s">
        <v>497</v>
      </c>
      <c r="D133" s="41" t="s">
        <v>26</v>
      </c>
      <c r="E133" s="41">
        <v>97.9</v>
      </c>
      <c r="F133" s="41">
        <v>118</v>
      </c>
      <c r="G133" s="42" t="s">
        <v>20</v>
      </c>
      <c r="H133" s="43" t="s">
        <v>717</v>
      </c>
      <c r="I133" s="17" t="s">
        <v>715</v>
      </c>
      <c r="J133" s="88"/>
      <c r="K133" s="80" t="str">
        <f t="shared" si="0"/>
        <v>C - 104</v>
      </c>
      <c r="L133" s="51"/>
      <c r="M133" s="51"/>
      <c r="N133" s="51"/>
      <c r="O133" s="51"/>
      <c r="P133" s="81"/>
      <c r="Q133" s="23" t="str">
        <f t="shared" ca="1" si="1"/>
        <v>-</v>
      </c>
      <c r="R133" s="23"/>
    </row>
    <row r="134" spans="1:18" ht="27" customHeight="1">
      <c r="A134" s="76">
        <v>139</v>
      </c>
      <c r="B134" s="59" t="s">
        <v>718</v>
      </c>
      <c r="C134" s="36" t="s">
        <v>497</v>
      </c>
      <c r="D134" s="41" t="s">
        <v>26</v>
      </c>
      <c r="E134" s="41">
        <v>96.9</v>
      </c>
      <c r="F134" s="41">
        <v>118</v>
      </c>
      <c r="G134" s="42" t="s">
        <v>20</v>
      </c>
      <c r="H134" s="43" t="s">
        <v>719</v>
      </c>
      <c r="I134" s="17" t="s">
        <v>715</v>
      </c>
      <c r="J134" s="107"/>
      <c r="K134" s="80" t="str">
        <f t="shared" si="0"/>
        <v>C - 139</v>
      </c>
      <c r="L134" s="51"/>
      <c r="M134" s="51"/>
      <c r="N134" s="51"/>
      <c r="O134" s="51"/>
      <c r="P134" s="81"/>
      <c r="Q134" s="23" t="str">
        <f t="shared" ca="1" si="1"/>
        <v>-</v>
      </c>
      <c r="R134" s="23"/>
    </row>
    <row r="135" spans="1:18" ht="27" customHeight="1">
      <c r="A135" s="24">
        <v>140</v>
      </c>
      <c r="B135" s="59" t="s">
        <v>718</v>
      </c>
      <c r="C135" s="36" t="s">
        <v>497</v>
      </c>
      <c r="D135" s="41" t="s">
        <v>19</v>
      </c>
      <c r="E135" s="41">
        <v>7</v>
      </c>
      <c r="F135" s="41">
        <v>118</v>
      </c>
      <c r="G135" s="42" t="s">
        <v>20</v>
      </c>
      <c r="H135" s="43" t="s">
        <v>720</v>
      </c>
      <c r="I135" s="17" t="s">
        <v>715</v>
      </c>
      <c r="J135" s="88"/>
      <c r="K135" s="80" t="str">
        <f t="shared" si="0"/>
        <v>C - 140</v>
      </c>
      <c r="L135" s="51"/>
      <c r="M135" s="51"/>
      <c r="N135" s="51"/>
      <c r="O135" s="51"/>
      <c r="P135" s="81"/>
      <c r="Q135" s="23" t="str">
        <f t="shared" ca="1" si="1"/>
        <v>-</v>
      </c>
      <c r="R135" s="23"/>
    </row>
    <row r="136" spans="1:18" ht="27" customHeight="1">
      <c r="A136" s="76">
        <v>63</v>
      </c>
      <c r="B136" s="59" t="s">
        <v>721</v>
      </c>
      <c r="C136" s="36" t="s">
        <v>452</v>
      </c>
      <c r="D136" s="41" t="s">
        <v>26</v>
      </c>
      <c r="E136" s="41">
        <v>93.9</v>
      </c>
      <c r="F136" s="41">
        <v>129</v>
      </c>
      <c r="G136" s="42" t="s">
        <v>20</v>
      </c>
      <c r="H136" s="43" t="s">
        <v>722</v>
      </c>
      <c r="I136" s="17" t="s">
        <v>723</v>
      </c>
      <c r="J136" s="88"/>
      <c r="K136" s="80" t="str">
        <f t="shared" si="0"/>
        <v>C - 63</v>
      </c>
      <c r="L136" s="51"/>
      <c r="M136" s="51"/>
      <c r="N136" s="51"/>
      <c r="O136" s="51"/>
      <c r="P136" s="81"/>
      <c r="Q136" s="23" t="str">
        <f t="shared" ca="1" si="1"/>
        <v>-</v>
      </c>
      <c r="R136" s="23"/>
    </row>
    <row r="137" spans="1:18" ht="27" customHeight="1">
      <c r="A137" s="24">
        <v>62</v>
      </c>
      <c r="B137" s="59" t="s">
        <v>724</v>
      </c>
      <c r="C137" s="36" t="s">
        <v>417</v>
      </c>
      <c r="D137" s="41" t="s">
        <v>26</v>
      </c>
      <c r="E137" s="41">
        <v>97.5</v>
      </c>
      <c r="F137" s="41">
        <v>133</v>
      </c>
      <c r="G137" s="42" t="s">
        <v>20</v>
      </c>
      <c r="H137" s="43" t="s">
        <v>725</v>
      </c>
      <c r="I137" s="17" t="s">
        <v>726</v>
      </c>
      <c r="J137" s="88"/>
      <c r="K137" s="80" t="str">
        <f t="shared" si="0"/>
        <v>C - 62</v>
      </c>
      <c r="L137" s="51"/>
      <c r="M137" s="51"/>
      <c r="N137" s="51"/>
      <c r="O137" s="51"/>
      <c r="P137" s="81"/>
      <c r="Q137" s="23" t="str">
        <f t="shared" ca="1" si="1"/>
        <v>-</v>
      </c>
      <c r="R137" s="23"/>
    </row>
    <row r="138" spans="1:18" ht="27" customHeight="1">
      <c r="A138" s="12">
        <v>145</v>
      </c>
      <c r="B138" s="59" t="s">
        <v>727</v>
      </c>
      <c r="C138" s="36" t="s">
        <v>417</v>
      </c>
      <c r="D138" s="41" t="s">
        <v>26</v>
      </c>
      <c r="E138" s="41">
        <v>93.1</v>
      </c>
      <c r="F138" s="41">
        <v>133</v>
      </c>
      <c r="G138" s="42" t="s">
        <v>20</v>
      </c>
      <c r="H138" s="43" t="s">
        <v>728</v>
      </c>
      <c r="I138" s="17" t="s">
        <v>729</v>
      </c>
      <c r="J138" s="88" t="s">
        <v>730</v>
      </c>
      <c r="K138" s="80" t="str">
        <f t="shared" si="0"/>
        <v>C - 145</v>
      </c>
      <c r="L138" s="51"/>
      <c r="M138" s="51"/>
      <c r="N138" s="51"/>
      <c r="O138" s="51"/>
      <c r="P138" s="81"/>
      <c r="Q138" s="23" t="str">
        <f t="shared" ca="1" si="1"/>
        <v>-</v>
      </c>
      <c r="R138" s="23"/>
    </row>
    <row r="139" spans="1:18" ht="27" customHeight="1">
      <c r="A139" s="93">
        <v>76</v>
      </c>
      <c r="B139" s="59" t="s">
        <v>731</v>
      </c>
      <c r="C139" s="36" t="s">
        <v>412</v>
      </c>
      <c r="D139" s="41" t="s">
        <v>26</v>
      </c>
      <c r="E139" s="41">
        <v>97.7</v>
      </c>
      <c r="F139" s="41">
        <v>134</v>
      </c>
      <c r="G139" s="42" t="s">
        <v>20</v>
      </c>
      <c r="H139" s="43" t="s">
        <v>732</v>
      </c>
      <c r="I139" s="17" t="s">
        <v>733</v>
      </c>
      <c r="J139" s="88"/>
      <c r="K139" s="80" t="str">
        <f t="shared" si="0"/>
        <v>C - 76</v>
      </c>
      <c r="L139" s="51"/>
      <c r="M139" s="51"/>
      <c r="N139" s="51"/>
      <c r="O139" s="51"/>
      <c r="P139" s="81"/>
      <c r="Q139" s="23" t="str">
        <f t="shared" ca="1" si="1"/>
        <v>-</v>
      </c>
      <c r="R139" s="23"/>
    </row>
    <row r="140" spans="1:18" ht="27" customHeight="1">
      <c r="A140" s="76">
        <v>22</v>
      </c>
      <c r="B140" s="102" t="s">
        <v>734</v>
      </c>
      <c r="C140" s="36" t="s">
        <v>460</v>
      </c>
      <c r="D140" s="41" t="s">
        <v>26</v>
      </c>
      <c r="E140" s="41">
        <v>93.3</v>
      </c>
      <c r="F140" s="41">
        <v>136</v>
      </c>
      <c r="G140" s="48" t="s">
        <v>20</v>
      </c>
      <c r="H140" s="43" t="s">
        <v>735</v>
      </c>
      <c r="I140" s="17" t="s">
        <v>736</v>
      </c>
      <c r="J140" s="88"/>
      <c r="K140" s="80" t="str">
        <f t="shared" si="0"/>
        <v>C - 22</v>
      </c>
      <c r="L140" s="51"/>
      <c r="M140" s="51"/>
      <c r="N140" s="51"/>
      <c r="O140" s="51"/>
      <c r="P140" s="81"/>
      <c r="Q140" s="23" t="str">
        <f t="shared" ca="1" si="1"/>
        <v>-</v>
      </c>
      <c r="R140" s="23"/>
    </row>
    <row r="141" spans="1:18" ht="27" customHeight="1">
      <c r="A141" s="24">
        <v>84</v>
      </c>
      <c r="B141" s="59" t="s">
        <v>737</v>
      </c>
      <c r="C141" s="36" t="s">
        <v>460</v>
      </c>
      <c r="D141" s="41" t="s">
        <v>26</v>
      </c>
      <c r="E141" s="41">
        <v>98.1</v>
      </c>
      <c r="F141" s="36">
        <v>136</v>
      </c>
      <c r="G141" s="42" t="s">
        <v>20</v>
      </c>
      <c r="H141" s="43" t="s">
        <v>738</v>
      </c>
      <c r="I141" s="17" t="s">
        <v>739</v>
      </c>
      <c r="J141" s="88" t="s">
        <v>536</v>
      </c>
      <c r="K141" s="80" t="str">
        <f t="shared" si="0"/>
        <v>C - 84</v>
      </c>
      <c r="L141" s="51"/>
      <c r="M141" s="51"/>
      <c r="N141" s="51"/>
      <c r="O141" s="51"/>
      <c r="P141" s="81"/>
      <c r="Q141" s="23" t="str">
        <f t="shared" ca="1" si="1"/>
        <v>-</v>
      </c>
      <c r="R141" s="23"/>
    </row>
    <row r="142" spans="1:18" ht="27" customHeight="1">
      <c r="A142" s="76">
        <v>5</v>
      </c>
      <c r="B142" s="59" t="s">
        <v>740</v>
      </c>
      <c r="C142" s="36" t="s">
        <v>412</v>
      </c>
      <c r="D142" s="41" t="s">
        <v>26</v>
      </c>
      <c r="E142" s="41">
        <v>103.1</v>
      </c>
      <c r="F142" s="41">
        <v>147</v>
      </c>
      <c r="G142" s="42" t="s">
        <v>20</v>
      </c>
      <c r="H142" s="43" t="s">
        <v>741</v>
      </c>
      <c r="I142" s="17" t="s">
        <v>742</v>
      </c>
      <c r="J142" s="30"/>
      <c r="K142" s="80" t="str">
        <f t="shared" si="0"/>
        <v>C - 5</v>
      </c>
      <c r="L142" s="101"/>
      <c r="M142" s="101"/>
      <c r="N142" s="51"/>
      <c r="O142" s="51"/>
      <c r="P142" s="81"/>
      <c r="Q142" s="23" t="str">
        <f t="shared" ca="1" si="1"/>
        <v>-</v>
      </c>
      <c r="R142" s="23"/>
    </row>
    <row r="143" spans="1:18" ht="27" customHeight="1">
      <c r="A143" s="24">
        <v>86</v>
      </c>
      <c r="B143" s="102" t="s">
        <v>743</v>
      </c>
      <c r="C143" s="36" t="s">
        <v>412</v>
      </c>
      <c r="D143" s="41" t="s">
        <v>26</v>
      </c>
      <c r="E143" s="41">
        <v>95.3</v>
      </c>
      <c r="F143" s="36">
        <v>147</v>
      </c>
      <c r="G143" s="42" t="s">
        <v>20</v>
      </c>
      <c r="H143" s="43" t="s">
        <v>744</v>
      </c>
      <c r="I143" s="17" t="s">
        <v>745</v>
      </c>
      <c r="J143" s="88"/>
      <c r="K143" s="80" t="str">
        <f t="shared" si="0"/>
        <v>C - 86</v>
      </c>
      <c r="L143" s="101"/>
      <c r="M143" s="101"/>
      <c r="N143" s="51"/>
      <c r="O143" s="51"/>
      <c r="P143" s="81"/>
      <c r="Q143" s="23" t="str">
        <f t="shared" ca="1" si="1"/>
        <v>-</v>
      </c>
      <c r="R143" s="23"/>
    </row>
    <row r="144" spans="1:18" ht="27" customHeight="1">
      <c r="A144" s="12">
        <v>129</v>
      </c>
      <c r="B144" s="59" t="s">
        <v>746</v>
      </c>
      <c r="C144" s="36" t="s">
        <v>412</v>
      </c>
      <c r="D144" s="41" t="s">
        <v>26</v>
      </c>
      <c r="E144" s="41">
        <v>97.1</v>
      </c>
      <c r="F144" s="41">
        <v>147</v>
      </c>
      <c r="G144" s="42" t="s">
        <v>20</v>
      </c>
      <c r="H144" s="43" t="s">
        <v>747</v>
      </c>
      <c r="I144" s="17" t="s">
        <v>748</v>
      </c>
      <c r="J144" s="88" t="s">
        <v>536</v>
      </c>
      <c r="K144" s="80" t="str">
        <f t="shared" si="0"/>
        <v>C - 129</v>
      </c>
      <c r="L144" s="101"/>
      <c r="M144" s="101"/>
      <c r="N144" s="51"/>
      <c r="O144" s="51"/>
      <c r="P144" s="81"/>
      <c r="Q144" s="23" t="str">
        <f t="shared" ca="1" si="1"/>
        <v>-</v>
      </c>
      <c r="R144" s="23"/>
    </row>
    <row r="145" spans="1:18" ht="27" customHeight="1">
      <c r="A145" s="76">
        <v>137</v>
      </c>
      <c r="B145" s="59" t="s">
        <v>749</v>
      </c>
      <c r="C145" s="36" t="s">
        <v>120</v>
      </c>
      <c r="D145" s="41" t="s">
        <v>26</v>
      </c>
      <c r="E145" s="41">
        <v>97.3</v>
      </c>
      <c r="F145" s="41">
        <v>149</v>
      </c>
      <c r="G145" s="42" t="s">
        <v>20</v>
      </c>
      <c r="H145" s="43" t="s">
        <v>750</v>
      </c>
      <c r="I145" s="17" t="s">
        <v>751</v>
      </c>
      <c r="J145" s="88"/>
      <c r="K145" s="80" t="str">
        <f t="shared" si="0"/>
        <v>C - 137</v>
      </c>
      <c r="L145" s="51"/>
      <c r="M145" s="51"/>
      <c r="N145" s="51"/>
      <c r="O145" s="51"/>
      <c r="P145" s="81"/>
      <c r="Q145" s="23" t="str">
        <f t="shared" ca="1" si="1"/>
        <v>-</v>
      </c>
      <c r="R145" s="23"/>
    </row>
    <row r="146" spans="1:18" ht="27" customHeight="1">
      <c r="A146" s="24">
        <v>8</v>
      </c>
      <c r="B146" s="102" t="s">
        <v>752</v>
      </c>
      <c r="C146" s="36" t="s">
        <v>460</v>
      </c>
      <c r="D146" s="41" t="s">
        <v>26</v>
      </c>
      <c r="E146" s="41">
        <v>96.1</v>
      </c>
      <c r="F146" s="36">
        <v>155</v>
      </c>
      <c r="G146" s="42" t="s">
        <v>20</v>
      </c>
      <c r="H146" s="43" t="s">
        <v>753</v>
      </c>
      <c r="I146" s="17" t="s">
        <v>754</v>
      </c>
      <c r="J146" s="88"/>
      <c r="K146" s="80" t="str">
        <f t="shared" si="0"/>
        <v>C - 8</v>
      </c>
      <c r="L146" s="51"/>
      <c r="M146" s="51"/>
      <c r="N146" s="51"/>
      <c r="O146" s="51"/>
      <c r="P146" s="81"/>
      <c r="Q146" s="23" t="str">
        <f t="shared" ca="1" si="1"/>
        <v>-</v>
      </c>
      <c r="R146" s="23"/>
    </row>
    <row r="147" spans="1:18" ht="27" customHeight="1">
      <c r="A147" s="12">
        <v>6</v>
      </c>
      <c r="B147" s="59" t="s">
        <v>755</v>
      </c>
      <c r="C147" s="36" t="s">
        <v>756</v>
      </c>
      <c r="D147" s="36" t="s">
        <v>26</v>
      </c>
      <c r="E147" s="36">
        <v>91.7</v>
      </c>
      <c r="F147" s="41"/>
      <c r="G147" s="57" t="s">
        <v>388</v>
      </c>
      <c r="H147" s="43" t="s">
        <v>757</v>
      </c>
      <c r="I147" s="17"/>
      <c r="J147" s="30"/>
      <c r="K147" s="80" t="str">
        <f t="shared" si="0"/>
        <v>C - 6</v>
      </c>
      <c r="L147" s="51"/>
      <c r="M147" s="51"/>
      <c r="N147" s="51"/>
      <c r="O147" s="51"/>
      <c r="P147" s="81"/>
      <c r="Q147" s="23" t="str">
        <f t="shared" ca="1" si="1"/>
        <v>-</v>
      </c>
      <c r="R147" s="23"/>
    </row>
    <row r="148" spans="1:18" ht="27" customHeight="1">
      <c r="A148" s="24"/>
      <c r="B148" s="62"/>
      <c r="C148" s="109"/>
      <c r="D148" s="110"/>
      <c r="E148" s="110"/>
      <c r="F148" s="110"/>
      <c r="G148" s="111"/>
      <c r="H148" s="65"/>
      <c r="I148" s="66"/>
      <c r="J148" s="111"/>
      <c r="K148" s="65"/>
      <c r="L148" s="65"/>
      <c r="M148" s="65"/>
      <c r="N148" s="65"/>
      <c r="O148" s="65"/>
      <c r="P148" s="81"/>
      <c r="Q148" s="65"/>
      <c r="R148" s="65"/>
    </row>
    <row r="149" spans="1:18" ht="27" customHeight="1">
      <c r="A149" s="61"/>
      <c r="B149" s="62"/>
      <c r="C149" s="109"/>
      <c r="D149" s="110"/>
      <c r="E149" s="110"/>
      <c r="F149" s="110"/>
      <c r="G149" s="111"/>
      <c r="H149" s="65"/>
      <c r="I149" s="66"/>
      <c r="J149" s="111"/>
      <c r="K149" s="65"/>
      <c r="L149" s="65"/>
      <c r="M149" s="65"/>
      <c r="N149" s="65"/>
      <c r="O149" s="65"/>
      <c r="P149" s="81"/>
      <c r="Q149" s="65"/>
      <c r="R149" s="65"/>
    </row>
    <row r="150" spans="1:18" ht="27" customHeight="1">
      <c r="A150" s="61"/>
      <c r="B150" s="62"/>
      <c r="C150" s="109"/>
      <c r="D150" s="110"/>
      <c r="E150" s="110"/>
      <c r="F150" s="110"/>
      <c r="G150" s="111"/>
      <c r="H150" s="65"/>
      <c r="I150" s="66"/>
      <c r="J150" s="111"/>
      <c r="K150" s="65"/>
      <c r="L150" s="65"/>
      <c r="M150" s="65"/>
      <c r="N150" s="65"/>
      <c r="O150" s="65"/>
      <c r="P150" s="81"/>
      <c r="Q150" s="65"/>
      <c r="R150" s="65"/>
    </row>
    <row r="151" spans="1:18" ht="27" customHeight="1">
      <c r="A151" s="112"/>
      <c r="B151" s="62"/>
      <c r="C151" s="63"/>
      <c r="D151" s="63"/>
      <c r="E151" s="63"/>
      <c r="F151" s="63"/>
      <c r="G151" s="63"/>
      <c r="H151" s="63"/>
      <c r="I151" s="113"/>
      <c r="J151" s="114"/>
      <c r="K151" s="114"/>
      <c r="L151" s="114"/>
      <c r="M151" s="114"/>
      <c r="N151" s="114"/>
      <c r="O151" s="114"/>
      <c r="P151" s="115"/>
      <c r="Q151" s="114"/>
      <c r="R151" s="114"/>
    </row>
    <row r="152" spans="1:18" ht="27" customHeight="1">
      <c r="A152" s="112"/>
      <c r="B152" s="62"/>
      <c r="C152" s="63"/>
      <c r="D152" s="63"/>
      <c r="E152" s="63"/>
      <c r="F152" s="63"/>
      <c r="G152" s="63"/>
      <c r="H152" s="63"/>
      <c r="I152" s="113"/>
      <c r="J152" s="114"/>
      <c r="K152" s="114"/>
      <c r="L152" s="114"/>
      <c r="M152" s="114"/>
      <c r="N152" s="114"/>
      <c r="O152" s="114"/>
      <c r="P152" s="115"/>
      <c r="Q152" s="114"/>
      <c r="R152" s="114"/>
    </row>
    <row r="153" spans="1:18" ht="27" customHeight="1">
      <c r="A153" s="112"/>
      <c r="B153" s="62"/>
      <c r="C153" s="63"/>
      <c r="D153" s="63"/>
      <c r="E153" s="63"/>
      <c r="F153" s="63"/>
      <c r="G153" s="63"/>
      <c r="H153" s="63"/>
      <c r="I153" s="113"/>
      <c r="J153" s="114"/>
      <c r="K153" s="114"/>
      <c r="L153" s="114"/>
      <c r="M153" s="114"/>
      <c r="N153" s="114"/>
      <c r="O153" s="114"/>
      <c r="P153" s="115"/>
      <c r="Q153" s="114"/>
      <c r="R153" s="114"/>
    </row>
    <row r="154" spans="1:18" ht="27" customHeight="1">
      <c r="A154" s="112"/>
      <c r="B154" s="62"/>
      <c r="C154" s="63"/>
      <c r="D154" s="63"/>
      <c r="E154" s="63"/>
      <c r="F154" s="63"/>
      <c r="G154" s="63"/>
      <c r="H154" s="63"/>
      <c r="I154" s="113"/>
      <c r="J154" s="114"/>
      <c r="K154" s="114"/>
      <c r="L154" s="114"/>
      <c r="M154" s="114"/>
      <c r="N154" s="114"/>
      <c r="O154" s="114"/>
      <c r="P154" s="115"/>
      <c r="Q154" s="114"/>
      <c r="R154" s="114"/>
    </row>
  </sheetData>
  <autoFilter ref="A1:R147" xr:uid="{00000000-0009-0000-0000-000002000000}"/>
  <customSheetViews>
    <customSheetView guid="{5A9BE03D-05A2-486B-93CC-9E1D106790C4}" filter="1" showAutoFilter="1">
      <pageMargins left="0.7" right="0.7" top="0.75" bottom="0.75" header="0.3" footer="0.3"/>
      <autoFilter ref="A1:G85" xr:uid="{0FEAE1C7-A69B-48B6-A36E-98DA9AC27F50}">
        <filterColumn colId="3">
          <filters>
            <filter val="AM"/>
            <filter val="OM"/>
            <filter val="UHF"/>
            <filter val="VHF"/>
          </filters>
        </filterColumn>
      </autoFilter>
    </customSheetView>
  </customSheetViews>
  <conditionalFormatting sqref="G1:G154">
    <cfRule type="cellIs" dxfId="6" priority="1" operator="equal">
      <formula>"A.A"</formula>
    </cfRule>
  </conditionalFormatting>
  <conditionalFormatting sqref="G1:G154">
    <cfRule type="cellIs" dxfId="5" priority="2" operator="equal">
      <formula>"F.A"</formula>
    </cfRule>
  </conditionalFormatting>
  <conditionalFormatting sqref="G1:G154">
    <cfRule type="cellIs" dxfId="4" priority="3" operator="equal">
      <formula>"N.I"</formula>
    </cfRule>
  </conditionalFormatting>
  <hyperlinks>
    <hyperlink ref="B2" r:id="rId1" xr:uid="{00000000-0004-0000-0200-000000000000}"/>
    <hyperlink ref="H2" r:id="rId2" xr:uid="{00000000-0004-0000-0200-000001000000}"/>
    <hyperlink ref="B4" r:id="rId3" xr:uid="{00000000-0004-0000-0200-000002000000}"/>
    <hyperlink ref="H4" r:id="rId4" xr:uid="{00000000-0004-0000-0200-000003000000}"/>
    <hyperlink ref="B6" r:id="rId5" xr:uid="{00000000-0004-0000-0200-000004000000}"/>
    <hyperlink ref="H6" r:id="rId6" xr:uid="{00000000-0004-0000-0200-000005000000}"/>
    <hyperlink ref="B7" r:id="rId7" xr:uid="{00000000-0004-0000-0200-000006000000}"/>
    <hyperlink ref="H7" r:id="rId8" xr:uid="{00000000-0004-0000-0200-000007000000}"/>
    <hyperlink ref="B8" r:id="rId9" xr:uid="{00000000-0004-0000-0200-000008000000}"/>
    <hyperlink ref="H8" r:id="rId10" xr:uid="{00000000-0004-0000-0200-000009000000}"/>
    <hyperlink ref="B9" r:id="rId11" xr:uid="{00000000-0004-0000-0200-00000A000000}"/>
    <hyperlink ref="H9" r:id="rId12" xr:uid="{00000000-0004-0000-0200-00000B000000}"/>
    <hyperlink ref="B10" r:id="rId13" xr:uid="{00000000-0004-0000-0200-00000C000000}"/>
    <hyperlink ref="H10" r:id="rId14" xr:uid="{00000000-0004-0000-0200-00000D000000}"/>
    <hyperlink ref="B11" r:id="rId15" xr:uid="{00000000-0004-0000-0200-00000E000000}"/>
    <hyperlink ref="H11" r:id="rId16" xr:uid="{00000000-0004-0000-0200-00000F000000}"/>
    <hyperlink ref="B12" r:id="rId17" xr:uid="{00000000-0004-0000-0200-000010000000}"/>
    <hyperlink ref="H12" r:id="rId18" xr:uid="{00000000-0004-0000-0200-000011000000}"/>
    <hyperlink ref="B13" r:id="rId19" xr:uid="{00000000-0004-0000-0200-000012000000}"/>
    <hyperlink ref="H13" r:id="rId20" xr:uid="{00000000-0004-0000-0200-000013000000}"/>
    <hyperlink ref="B14" r:id="rId21" xr:uid="{00000000-0004-0000-0200-000014000000}"/>
    <hyperlink ref="H14" r:id="rId22" xr:uid="{00000000-0004-0000-0200-000015000000}"/>
    <hyperlink ref="B15" r:id="rId23" xr:uid="{00000000-0004-0000-0200-000016000000}"/>
    <hyperlink ref="H15" r:id="rId24" xr:uid="{00000000-0004-0000-0200-000017000000}"/>
    <hyperlink ref="B16" r:id="rId25" xr:uid="{00000000-0004-0000-0200-000018000000}"/>
    <hyperlink ref="H16" r:id="rId26" xr:uid="{00000000-0004-0000-0200-000019000000}"/>
    <hyperlink ref="B17" r:id="rId27" xr:uid="{00000000-0004-0000-0200-00001A000000}"/>
    <hyperlink ref="H17" r:id="rId28" xr:uid="{00000000-0004-0000-0200-00001B000000}"/>
    <hyperlink ref="B18" r:id="rId29" xr:uid="{00000000-0004-0000-0200-00001C000000}"/>
    <hyperlink ref="H18" r:id="rId30" xr:uid="{00000000-0004-0000-0200-00001D000000}"/>
    <hyperlink ref="B19" r:id="rId31" xr:uid="{00000000-0004-0000-0200-00001E000000}"/>
    <hyperlink ref="H19" r:id="rId32" xr:uid="{00000000-0004-0000-0200-00001F000000}"/>
    <hyperlink ref="B20" r:id="rId33" xr:uid="{00000000-0004-0000-0200-000020000000}"/>
    <hyperlink ref="H20" r:id="rId34" xr:uid="{00000000-0004-0000-0200-000021000000}"/>
    <hyperlink ref="B21" r:id="rId35" xr:uid="{00000000-0004-0000-0200-000022000000}"/>
    <hyperlink ref="H21" r:id="rId36" xr:uid="{00000000-0004-0000-0200-000023000000}"/>
    <hyperlink ref="B22" r:id="rId37" xr:uid="{00000000-0004-0000-0200-000024000000}"/>
    <hyperlink ref="H22" r:id="rId38" xr:uid="{00000000-0004-0000-0200-000025000000}"/>
    <hyperlink ref="B23" r:id="rId39" xr:uid="{00000000-0004-0000-0200-000026000000}"/>
    <hyperlink ref="H23" r:id="rId40" xr:uid="{00000000-0004-0000-0200-000027000000}"/>
    <hyperlink ref="B24" r:id="rId41" xr:uid="{00000000-0004-0000-0200-000028000000}"/>
    <hyperlink ref="H24" r:id="rId42" xr:uid="{00000000-0004-0000-0200-000029000000}"/>
    <hyperlink ref="B25" r:id="rId43" xr:uid="{00000000-0004-0000-0200-00002A000000}"/>
    <hyperlink ref="H25" r:id="rId44" xr:uid="{00000000-0004-0000-0200-00002B000000}"/>
    <hyperlink ref="B26" r:id="rId45" xr:uid="{00000000-0004-0000-0200-00002C000000}"/>
    <hyperlink ref="H26" r:id="rId46" xr:uid="{00000000-0004-0000-0200-00002D000000}"/>
    <hyperlink ref="B27" r:id="rId47" xr:uid="{00000000-0004-0000-0200-00002E000000}"/>
    <hyperlink ref="H27" r:id="rId48" xr:uid="{00000000-0004-0000-0200-00002F000000}"/>
    <hyperlink ref="B28" r:id="rId49" xr:uid="{00000000-0004-0000-0200-000030000000}"/>
    <hyperlink ref="H28" r:id="rId50" xr:uid="{00000000-0004-0000-0200-000031000000}"/>
    <hyperlink ref="B29" r:id="rId51" xr:uid="{00000000-0004-0000-0200-000032000000}"/>
    <hyperlink ref="H29" r:id="rId52" xr:uid="{00000000-0004-0000-0200-000033000000}"/>
    <hyperlink ref="B30" r:id="rId53" xr:uid="{00000000-0004-0000-0200-000034000000}"/>
    <hyperlink ref="H30" r:id="rId54" xr:uid="{00000000-0004-0000-0200-000035000000}"/>
    <hyperlink ref="B31" r:id="rId55" xr:uid="{00000000-0004-0000-0200-000036000000}"/>
    <hyperlink ref="H31" r:id="rId56" xr:uid="{00000000-0004-0000-0200-000037000000}"/>
    <hyperlink ref="B32" r:id="rId57" xr:uid="{00000000-0004-0000-0200-000038000000}"/>
    <hyperlink ref="H32" r:id="rId58" xr:uid="{00000000-0004-0000-0200-000039000000}"/>
    <hyperlink ref="B33" r:id="rId59" xr:uid="{00000000-0004-0000-0200-00003A000000}"/>
    <hyperlink ref="H33" r:id="rId60" xr:uid="{00000000-0004-0000-0200-00003B000000}"/>
    <hyperlink ref="B34" r:id="rId61" xr:uid="{00000000-0004-0000-0200-00003C000000}"/>
    <hyperlink ref="H34" r:id="rId62" xr:uid="{00000000-0004-0000-0200-00003D000000}"/>
    <hyperlink ref="B35" r:id="rId63" xr:uid="{00000000-0004-0000-0200-00003E000000}"/>
    <hyperlink ref="H35" r:id="rId64" xr:uid="{00000000-0004-0000-0200-00003F000000}"/>
    <hyperlink ref="B36" r:id="rId65" xr:uid="{00000000-0004-0000-0200-000040000000}"/>
    <hyperlink ref="H36" r:id="rId66" xr:uid="{00000000-0004-0000-0200-000041000000}"/>
    <hyperlink ref="B37" r:id="rId67" xr:uid="{00000000-0004-0000-0200-000042000000}"/>
    <hyperlink ref="H37" r:id="rId68" xr:uid="{00000000-0004-0000-0200-000043000000}"/>
    <hyperlink ref="B38" r:id="rId69" xr:uid="{00000000-0004-0000-0200-000044000000}"/>
    <hyperlink ref="H38" r:id="rId70" xr:uid="{00000000-0004-0000-0200-000045000000}"/>
    <hyperlink ref="B39" r:id="rId71" xr:uid="{00000000-0004-0000-0200-000046000000}"/>
    <hyperlink ref="H39" r:id="rId72" xr:uid="{00000000-0004-0000-0200-000047000000}"/>
    <hyperlink ref="B40" r:id="rId73" xr:uid="{00000000-0004-0000-0200-000048000000}"/>
    <hyperlink ref="H40" r:id="rId74" xr:uid="{00000000-0004-0000-0200-000049000000}"/>
    <hyperlink ref="B41" r:id="rId75" xr:uid="{00000000-0004-0000-0200-00004A000000}"/>
    <hyperlink ref="H41" r:id="rId76" xr:uid="{00000000-0004-0000-0200-00004B000000}"/>
    <hyperlink ref="B42" r:id="rId77" xr:uid="{00000000-0004-0000-0200-00004C000000}"/>
    <hyperlink ref="H42" r:id="rId78" xr:uid="{00000000-0004-0000-0200-00004D000000}"/>
    <hyperlink ref="B43" r:id="rId79" xr:uid="{00000000-0004-0000-0200-00004E000000}"/>
    <hyperlink ref="H43" r:id="rId80" xr:uid="{00000000-0004-0000-0200-00004F000000}"/>
    <hyperlink ref="B44" r:id="rId81" xr:uid="{00000000-0004-0000-0200-000050000000}"/>
    <hyperlink ref="H44" r:id="rId82" xr:uid="{00000000-0004-0000-0200-000051000000}"/>
    <hyperlink ref="B45" r:id="rId83" xr:uid="{00000000-0004-0000-0200-000052000000}"/>
    <hyperlink ref="H45" r:id="rId84" xr:uid="{00000000-0004-0000-0200-000053000000}"/>
    <hyperlink ref="B46" r:id="rId85" xr:uid="{00000000-0004-0000-0200-000054000000}"/>
    <hyperlink ref="H46" r:id="rId86" xr:uid="{00000000-0004-0000-0200-000055000000}"/>
    <hyperlink ref="B47" r:id="rId87" xr:uid="{00000000-0004-0000-0200-000056000000}"/>
    <hyperlink ref="H47" r:id="rId88" xr:uid="{00000000-0004-0000-0200-000057000000}"/>
    <hyperlink ref="B48" r:id="rId89" xr:uid="{00000000-0004-0000-0200-000058000000}"/>
    <hyperlink ref="H48" r:id="rId90" xr:uid="{00000000-0004-0000-0200-000059000000}"/>
    <hyperlink ref="B49" r:id="rId91" xr:uid="{00000000-0004-0000-0200-00005A000000}"/>
    <hyperlink ref="H49" r:id="rId92" xr:uid="{00000000-0004-0000-0200-00005B000000}"/>
    <hyperlink ref="B50" r:id="rId93" xr:uid="{00000000-0004-0000-0200-00005C000000}"/>
    <hyperlink ref="H50" r:id="rId94" xr:uid="{00000000-0004-0000-0200-00005D000000}"/>
    <hyperlink ref="B51" r:id="rId95" xr:uid="{00000000-0004-0000-0200-00005E000000}"/>
    <hyperlink ref="H51" r:id="rId96" xr:uid="{00000000-0004-0000-0200-00005F000000}"/>
    <hyperlink ref="B52" r:id="rId97" xr:uid="{00000000-0004-0000-0200-000060000000}"/>
    <hyperlink ref="H52" r:id="rId98" xr:uid="{00000000-0004-0000-0200-000061000000}"/>
    <hyperlink ref="B53" r:id="rId99" xr:uid="{00000000-0004-0000-0200-000062000000}"/>
    <hyperlink ref="H53" r:id="rId100" xr:uid="{00000000-0004-0000-0200-000063000000}"/>
    <hyperlink ref="B54" r:id="rId101" xr:uid="{00000000-0004-0000-0200-000064000000}"/>
    <hyperlink ref="H54" r:id="rId102" xr:uid="{00000000-0004-0000-0200-000065000000}"/>
    <hyperlink ref="B55" r:id="rId103" xr:uid="{00000000-0004-0000-0200-000066000000}"/>
    <hyperlink ref="H55" r:id="rId104" xr:uid="{00000000-0004-0000-0200-000067000000}"/>
    <hyperlink ref="B56" r:id="rId105" xr:uid="{00000000-0004-0000-0200-000068000000}"/>
    <hyperlink ref="H56" r:id="rId106" xr:uid="{00000000-0004-0000-0200-000069000000}"/>
    <hyperlink ref="B57" r:id="rId107" xr:uid="{00000000-0004-0000-0200-00006A000000}"/>
    <hyperlink ref="H57" r:id="rId108" xr:uid="{00000000-0004-0000-0200-00006B000000}"/>
    <hyperlink ref="B58" r:id="rId109" xr:uid="{00000000-0004-0000-0200-00006C000000}"/>
    <hyperlink ref="H58" r:id="rId110" xr:uid="{00000000-0004-0000-0200-00006D000000}"/>
    <hyperlink ref="B59" r:id="rId111" xr:uid="{00000000-0004-0000-0200-00006E000000}"/>
    <hyperlink ref="H59" r:id="rId112" xr:uid="{00000000-0004-0000-0200-00006F000000}"/>
    <hyperlink ref="B60" r:id="rId113" xr:uid="{00000000-0004-0000-0200-000070000000}"/>
    <hyperlink ref="H60" r:id="rId114" xr:uid="{00000000-0004-0000-0200-000071000000}"/>
    <hyperlink ref="B61" r:id="rId115" xr:uid="{00000000-0004-0000-0200-000072000000}"/>
    <hyperlink ref="H61" r:id="rId116" xr:uid="{00000000-0004-0000-0200-000073000000}"/>
    <hyperlink ref="B62" r:id="rId117" xr:uid="{00000000-0004-0000-0200-000074000000}"/>
    <hyperlink ref="H62" r:id="rId118" xr:uid="{00000000-0004-0000-0200-000075000000}"/>
    <hyperlink ref="B63" r:id="rId119" xr:uid="{00000000-0004-0000-0200-000076000000}"/>
    <hyperlink ref="H63" r:id="rId120" xr:uid="{00000000-0004-0000-0200-000077000000}"/>
    <hyperlink ref="B64" r:id="rId121" xr:uid="{00000000-0004-0000-0200-000078000000}"/>
    <hyperlink ref="H64" r:id="rId122" xr:uid="{00000000-0004-0000-0200-000079000000}"/>
    <hyperlink ref="B65" r:id="rId123" xr:uid="{00000000-0004-0000-0200-00007A000000}"/>
    <hyperlink ref="H65" r:id="rId124" xr:uid="{00000000-0004-0000-0200-00007B000000}"/>
    <hyperlink ref="B66" r:id="rId125" xr:uid="{00000000-0004-0000-0200-00007C000000}"/>
    <hyperlink ref="H66" r:id="rId126" xr:uid="{00000000-0004-0000-0200-00007D000000}"/>
    <hyperlink ref="B67" r:id="rId127" xr:uid="{00000000-0004-0000-0200-00007E000000}"/>
    <hyperlink ref="H67" r:id="rId128" xr:uid="{00000000-0004-0000-0200-00007F000000}"/>
    <hyperlink ref="B68" r:id="rId129" xr:uid="{00000000-0004-0000-0200-000080000000}"/>
    <hyperlink ref="H68" r:id="rId130" xr:uid="{00000000-0004-0000-0200-000081000000}"/>
    <hyperlink ref="B69" r:id="rId131" xr:uid="{00000000-0004-0000-0200-000082000000}"/>
    <hyperlink ref="H69" r:id="rId132" xr:uid="{00000000-0004-0000-0200-000083000000}"/>
    <hyperlink ref="B70" r:id="rId133" xr:uid="{00000000-0004-0000-0200-000084000000}"/>
    <hyperlink ref="H70" r:id="rId134" xr:uid="{00000000-0004-0000-0200-000085000000}"/>
    <hyperlink ref="B71" r:id="rId135" xr:uid="{00000000-0004-0000-0200-000086000000}"/>
    <hyperlink ref="H71" r:id="rId136" xr:uid="{00000000-0004-0000-0200-000087000000}"/>
    <hyperlink ref="B72" r:id="rId137" xr:uid="{00000000-0004-0000-0200-000088000000}"/>
    <hyperlink ref="H72" r:id="rId138" xr:uid="{00000000-0004-0000-0200-000089000000}"/>
    <hyperlink ref="B73" r:id="rId139" xr:uid="{00000000-0004-0000-0200-00008A000000}"/>
    <hyperlink ref="H73" r:id="rId140" xr:uid="{00000000-0004-0000-0200-00008B000000}"/>
    <hyperlink ref="B74" r:id="rId141" xr:uid="{00000000-0004-0000-0200-00008C000000}"/>
    <hyperlink ref="H74" r:id="rId142" xr:uid="{00000000-0004-0000-0200-00008D000000}"/>
    <hyperlink ref="B75" r:id="rId143" xr:uid="{00000000-0004-0000-0200-00008E000000}"/>
    <hyperlink ref="H75" r:id="rId144" xr:uid="{00000000-0004-0000-0200-00008F000000}"/>
    <hyperlink ref="B76" r:id="rId145" xr:uid="{00000000-0004-0000-0200-000090000000}"/>
    <hyperlink ref="H76" r:id="rId146" xr:uid="{00000000-0004-0000-0200-000091000000}"/>
    <hyperlink ref="B77" r:id="rId147" xr:uid="{00000000-0004-0000-0200-000092000000}"/>
    <hyperlink ref="H77" r:id="rId148" xr:uid="{00000000-0004-0000-0200-000093000000}"/>
    <hyperlink ref="B78" r:id="rId149" xr:uid="{00000000-0004-0000-0200-000094000000}"/>
    <hyperlink ref="H78" r:id="rId150" xr:uid="{00000000-0004-0000-0200-000095000000}"/>
    <hyperlink ref="B79" r:id="rId151" xr:uid="{00000000-0004-0000-0200-000096000000}"/>
    <hyperlink ref="H79" r:id="rId152" xr:uid="{00000000-0004-0000-0200-000097000000}"/>
    <hyperlink ref="B80" r:id="rId153" xr:uid="{00000000-0004-0000-0200-000098000000}"/>
    <hyperlink ref="H80" r:id="rId154" xr:uid="{00000000-0004-0000-0200-000099000000}"/>
    <hyperlink ref="B81" r:id="rId155" xr:uid="{00000000-0004-0000-0200-00009A000000}"/>
    <hyperlink ref="H81" r:id="rId156" xr:uid="{00000000-0004-0000-0200-00009B000000}"/>
    <hyperlink ref="B82" r:id="rId157" xr:uid="{00000000-0004-0000-0200-00009C000000}"/>
    <hyperlink ref="H82" r:id="rId158" xr:uid="{00000000-0004-0000-0200-00009D000000}"/>
    <hyperlink ref="B83" r:id="rId159" xr:uid="{00000000-0004-0000-0200-00009E000000}"/>
    <hyperlink ref="H83" r:id="rId160" xr:uid="{00000000-0004-0000-0200-00009F000000}"/>
    <hyperlink ref="B84" r:id="rId161" xr:uid="{00000000-0004-0000-0200-0000A0000000}"/>
    <hyperlink ref="H84" r:id="rId162" xr:uid="{00000000-0004-0000-0200-0000A1000000}"/>
    <hyperlink ref="B85" r:id="rId163" xr:uid="{00000000-0004-0000-0200-0000A2000000}"/>
    <hyperlink ref="H85" r:id="rId164" xr:uid="{00000000-0004-0000-0200-0000A3000000}"/>
    <hyperlink ref="B86" r:id="rId165" xr:uid="{00000000-0004-0000-0200-0000A4000000}"/>
    <hyperlink ref="H86" r:id="rId166" xr:uid="{00000000-0004-0000-0200-0000A5000000}"/>
    <hyperlink ref="B87" r:id="rId167" xr:uid="{00000000-0004-0000-0200-0000A6000000}"/>
    <hyperlink ref="H87" r:id="rId168" xr:uid="{00000000-0004-0000-0200-0000A7000000}"/>
    <hyperlink ref="B88" r:id="rId169" xr:uid="{00000000-0004-0000-0200-0000A8000000}"/>
    <hyperlink ref="H88" r:id="rId170" xr:uid="{00000000-0004-0000-0200-0000A9000000}"/>
    <hyperlink ref="B89" r:id="rId171" xr:uid="{00000000-0004-0000-0200-0000AA000000}"/>
    <hyperlink ref="H89" r:id="rId172" xr:uid="{00000000-0004-0000-0200-0000AB000000}"/>
    <hyperlink ref="B90" r:id="rId173" xr:uid="{00000000-0004-0000-0200-0000AC000000}"/>
    <hyperlink ref="H90" r:id="rId174" xr:uid="{00000000-0004-0000-0200-0000AD000000}"/>
    <hyperlink ref="B91" r:id="rId175" xr:uid="{00000000-0004-0000-0200-0000AE000000}"/>
    <hyperlink ref="H91" r:id="rId176" xr:uid="{00000000-0004-0000-0200-0000AF000000}"/>
    <hyperlink ref="B92" r:id="rId177" xr:uid="{00000000-0004-0000-0200-0000B0000000}"/>
    <hyperlink ref="H92" r:id="rId178" xr:uid="{00000000-0004-0000-0200-0000B1000000}"/>
    <hyperlink ref="B93" r:id="rId179" xr:uid="{00000000-0004-0000-0200-0000B2000000}"/>
    <hyperlink ref="H93" r:id="rId180" xr:uid="{00000000-0004-0000-0200-0000B3000000}"/>
    <hyperlink ref="B94" r:id="rId181" xr:uid="{00000000-0004-0000-0200-0000B4000000}"/>
    <hyperlink ref="H94" r:id="rId182" xr:uid="{00000000-0004-0000-0200-0000B5000000}"/>
    <hyperlink ref="B95" r:id="rId183" xr:uid="{00000000-0004-0000-0200-0000B6000000}"/>
    <hyperlink ref="H95" r:id="rId184" xr:uid="{00000000-0004-0000-0200-0000B7000000}"/>
    <hyperlink ref="B96" r:id="rId185" xr:uid="{00000000-0004-0000-0200-0000B8000000}"/>
    <hyperlink ref="H96" r:id="rId186" xr:uid="{00000000-0004-0000-0200-0000B9000000}"/>
    <hyperlink ref="B97" r:id="rId187" xr:uid="{00000000-0004-0000-0200-0000BA000000}"/>
    <hyperlink ref="H97" r:id="rId188" xr:uid="{00000000-0004-0000-0200-0000BB000000}"/>
    <hyperlink ref="B98" r:id="rId189" xr:uid="{00000000-0004-0000-0200-0000BC000000}"/>
    <hyperlink ref="H98" r:id="rId190" xr:uid="{00000000-0004-0000-0200-0000BD000000}"/>
    <hyperlink ref="B99" r:id="rId191" xr:uid="{00000000-0004-0000-0200-0000BE000000}"/>
    <hyperlink ref="H99" r:id="rId192" xr:uid="{00000000-0004-0000-0200-0000BF000000}"/>
    <hyperlink ref="B100" r:id="rId193" xr:uid="{00000000-0004-0000-0200-0000C0000000}"/>
    <hyperlink ref="H100" r:id="rId194" xr:uid="{00000000-0004-0000-0200-0000C1000000}"/>
    <hyperlink ref="B101" r:id="rId195" xr:uid="{00000000-0004-0000-0200-0000C2000000}"/>
    <hyperlink ref="H101" r:id="rId196" xr:uid="{00000000-0004-0000-0200-0000C3000000}"/>
    <hyperlink ref="B102" r:id="rId197" xr:uid="{00000000-0004-0000-0200-0000C4000000}"/>
    <hyperlink ref="H102" r:id="rId198" xr:uid="{00000000-0004-0000-0200-0000C5000000}"/>
    <hyperlink ref="B103" r:id="rId199" xr:uid="{00000000-0004-0000-0200-0000C6000000}"/>
    <hyperlink ref="H103" r:id="rId200" xr:uid="{00000000-0004-0000-0200-0000C7000000}"/>
    <hyperlink ref="B104" r:id="rId201" xr:uid="{00000000-0004-0000-0200-0000C8000000}"/>
    <hyperlink ref="H104" r:id="rId202" xr:uid="{00000000-0004-0000-0200-0000C9000000}"/>
    <hyperlink ref="B105" r:id="rId203" xr:uid="{00000000-0004-0000-0200-0000CA000000}"/>
    <hyperlink ref="H105" r:id="rId204" xr:uid="{00000000-0004-0000-0200-0000CB000000}"/>
    <hyperlink ref="B106" r:id="rId205" xr:uid="{00000000-0004-0000-0200-0000CC000000}"/>
    <hyperlink ref="H106" r:id="rId206" xr:uid="{00000000-0004-0000-0200-0000CD000000}"/>
    <hyperlink ref="B107" r:id="rId207" xr:uid="{00000000-0004-0000-0200-0000CE000000}"/>
    <hyperlink ref="H107" r:id="rId208" xr:uid="{00000000-0004-0000-0200-0000CF000000}"/>
    <hyperlink ref="B108" r:id="rId209" xr:uid="{00000000-0004-0000-0200-0000D0000000}"/>
    <hyperlink ref="H108" r:id="rId210" xr:uid="{00000000-0004-0000-0200-0000D1000000}"/>
    <hyperlink ref="B109" r:id="rId211" xr:uid="{00000000-0004-0000-0200-0000D2000000}"/>
    <hyperlink ref="H109" r:id="rId212" xr:uid="{00000000-0004-0000-0200-0000D3000000}"/>
    <hyperlink ref="B110" r:id="rId213" xr:uid="{00000000-0004-0000-0200-0000D4000000}"/>
    <hyperlink ref="H110" r:id="rId214" xr:uid="{00000000-0004-0000-0200-0000D5000000}"/>
    <hyperlink ref="B111" r:id="rId215" xr:uid="{00000000-0004-0000-0200-0000D6000000}"/>
    <hyperlink ref="H111" r:id="rId216" xr:uid="{00000000-0004-0000-0200-0000D7000000}"/>
    <hyperlink ref="B112" r:id="rId217" xr:uid="{00000000-0004-0000-0200-0000D8000000}"/>
    <hyperlink ref="H112" r:id="rId218" xr:uid="{00000000-0004-0000-0200-0000D9000000}"/>
    <hyperlink ref="B113" r:id="rId219" xr:uid="{00000000-0004-0000-0200-0000DA000000}"/>
    <hyperlink ref="H113" r:id="rId220" xr:uid="{00000000-0004-0000-0200-0000DB000000}"/>
    <hyperlink ref="B114" r:id="rId221" xr:uid="{00000000-0004-0000-0200-0000DC000000}"/>
    <hyperlink ref="H114" r:id="rId222" xr:uid="{00000000-0004-0000-0200-0000DD000000}"/>
    <hyperlink ref="B115" r:id="rId223" xr:uid="{00000000-0004-0000-0200-0000DE000000}"/>
    <hyperlink ref="H115" r:id="rId224" xr:uid="{00000000-0004-0000-0200-0000DF000000}"/>
    <hyperlink ref="B116" r:id="rId225" xr:uid="{00000000-0004-0000-0200-0000E0000000}"/>
    <hyperlink ref="H116" r:id="rId226" xr:uid="{00000000-0004-0000-0200-0000E1000000}"/>
    <hyperlink ref="B117" r:id="rId227" xr:uid="{00000000-0004-0000-0200-0000E2000000}"/>
    <hyperlink ref="H117" r:id="rId228" xr:uid="{00000000-0004-0000-0200-0000E3000000}"/>
    <hyperlink ref="B118" r:id="rId229" xr:uid="{00000000-0004-0000-0200-0000E4000000}"/>
    <hyperlink ref="H118" r:id="rId230" xr:uid="{00000000-0004-0000-0200-0000E5000000}"/>
    <hyperlink ref="B119" r:id="rId231" xr:uid="{00000000-0004-0000-0200-0000E6000000}"/>
    <hyperlink ref="H119" r:id="rId232" xr:uid="{00000000-0004-0000-0200-0000E7000000}"/>
    <hyperlink ref="B120" r:id="rId233" xr:uid="{00000000-0004-0000-0200-0000E8000000}"/>
    <hyperlink ref="H120" r:id="rId234" xr:uid="{00000000-0004-0000-0200-0000E9000000}"/>
    <hyperlink ref="B121" r:id="rId235" xr:uid="{00000000-0004-0000-0200-0000EA000000}"/>
    <hyperlink ref="H121" r:id="rId236" xr:uid="{00000000-0004-0000-0200-0000EB000000}"/>
    <hyperlink ref="B122" r:id="rId237" xr:uid="{00000000-0004-0000-0200-0000EC000000}"/>
    <hyperlink ref="H122" r:id="rId238" xr:uid="{00000000-0004-0000-0200-0000ED000000}"/>
    <hyperlink ref="B123" r:id="rId239" xr:uid="{00000000-0004-0000-0200-0000EE000000}"/>
    <hyperlink ref="H123" r:id="rId240" xr:uid="{00000000-0004-0000-0200-0000EF000000}"/>
    <hyperlink ref="B124" r:id="rId241" xr:uid="{00000000-0004-0000-0200-0000F0000000}"/>
    <hyperlink ref="H124" r:id="rId242" xr:uid="{00000000-0004-0000-0200-0000F1000000}"/>
    <hyperlink ref="B125" r:id="rId243" xr:uid="{00000000-0004-0000-0200-0000F2000000}"/>
    <hyperlink ref="H125" r:id="rId244" xr:uid="{00000000-0004-0000-0200-0000F3000000}"/>
    <hyperlink ref="B126" r:id="rId245" xr:uid="{00000000-0004-0000-0200-0000F4000000}"/>
    <hyperlink ref="H126" r:id="rId246" xr:uid="{00000000-0004-0000-0200-0000F5000000}"/>
    <hyperlink ref="B127" r:id="rId247" xr:uid="{00000000-0004-0000-0200-0000F6000000}"/>
    <hyperlink ref="H127" r:id="rId248" xr:uid="{00000000-0004-0000-0200-0000F7000000}"/>
    <hyperlink ref="B128" r:id="rId249" xr:uid="{00000000-0004-0000-0200-0000F8000000}"/>
    <hyperlink ref="H128" r:id="rId250" xr:uid="{00000000-0004-0000-0200-0000F9000000}"/>
    <hyperlink ref="B129" r:id="rId251" xr:uid="{00000000-0004-0000-0200-0000FA000000}"/>
    <hyperlink ref="H129" r:id="rId252" xr:uid="{00000000-0004-0000-0200-0000FB000000}"/>
    <hyperlink ref="B130" r:id="rId253" xr:uid="{00000000-0004-0000-0200-0000FC000000}"/>
    <hyperlink ref="H130" r:id="rId254" xr:uid="{00000000-0004-0000-0200-0000FD000000}"/>
    <hyperlink ref="B131" r:id="rId255" xr:uid="{00000000-0004-0000-0200-0000FE000000}"/>
    <hyperlink ref="H131" r:id="rId256" xr:uid="{00000000-0004-0000-0200-0000FF000000}"/>
    <hyperlink ref="B132" r:id="rId257" xr:uid="{00000000-0004-0000-0200-000000010000}"/>
    <hyperlink ref="H132" r:id="rId258" xr:uid="{00000000-0004-0000-0200-000001010000}"/>
    <hyperlink ref="B133" r:id="rId259" xr:uid="{00000000-0004-0000-0200-000002010000}"/>
    <hyperlink ref="H133" r:id="rId260" xr:uid="{00000000-0004-0000-0200-000003010000}"/>
    <hyperlink ref="B134" r:id="rId261" xr:uid="{00000000-0004-0000-0200-000004010000}"/>
    <hyperlink ref="H134" r:id="rId262" xr:uid="{00000000-0004-0000-0200-000005010000}"/>
    <hyperlink ref="B135" r:id="rId263" xr:uid="{00000000-0004-0000-0200-000006010000}"/>
    <hyperlink ref="H135" r:id="rId264" xr:uid="{00000000-0004-0000-0200-000007010000}"/>
    <hyperlink ref="B136" r:id="rId265" xr:uid="{00000000-0004-0000-0200-000008010000}"/>
    <hyperlink ref="H136" r:id="rId266" xr:uid="{00000000-0004-0000-0200-000009010000}"/>
    <hyperlink ref="B137" r:id="rId267" xr:uid="{00000000-0004-0000-0200-00000A010000}"/>
    <hyperlink ref="H137" r:id="rId268" xr:uid="{00000000-0004-0000-0200-00000B010000}"/>
    <hyperlink ref="B138" r:id="rId269" xr:uid="{00000000-0004-0000-0200-00000C010000}"/>
    <hyperlink ref="H138" r:id="rId270" xr:uid="{00000000-0004-0000-0200-00000D010000}"/>
    <hyperlink ref="B139" r:id="rId271" xr:uid="{00000000-0004-0000-0200-00000E010000}"/>
    <hyperlink ref="H139" r:id="rId272" xr:uid="{00000000-0004-0000-0200-00000F010000}"/>
    <hyperlink ref="B140" r:id="rId273" xr:uid="{00000000-0004-0000-0200-000010010000}"/>
    <hyperlink ref="H140" r:id="rId274" xr:uid="{00000000-0004-0000-0200-000011010000}"/>
    <hyperlink ref="B141" r:id="rId275" xr:uid="{00000000-0004-0000-0200-000012010000}"/>
    <hyperlink ref="H141" r:id="rId276" xr:uid="{00000000-0004-0000-0200-000013010000}"/>
    <hyperlink ref="B142" r:id="rId277" xr:uid="{00000000-0004-0000-0200-000014010000}"/>
    <hyperlink ref="H142" r:id="rId278" xr:uid="{00000000-0004-0000-0200-000015010000}"/>
    <hyperlink ref="B143" r:id="rId279" xr:uid="{00000000-0004-0000-0200-000016010000}"/>
    <hyperlink ref="H143" r:id="rId280" xr:uid="{00000000-0004-0000-0200-000017010000}"/>
    <hyperlink ref="B144" r:id="rId281" xr:uid="{00000000-0004-0000-0200-000018010000}"/>
    <hyperlink ref="H144" r:id="rId282" xr:uid="{00000000-0004-0000-0200-000019010000}"/>
    <hyperlink ref="B145" r:id="rId283" xr:uid="{00000000-0004-0000-0200-00001A010000}"/>
    <hyperlink ref="H145" r:id="rId284" xr:uid="{00000000-0004-0000-0200-00001B010000}"/>
    <hyperlink ref="B146" r:id="rId285" xr:uid="{00000000-0004-0000-0200-00001C010000}"/>
    <hyperlink ref="H146" r:id="rId286" xr:uid="{00000000-0004-0000-0200-00001D010000}"/>
    <hyperlink ref="B147" r:id="rId287" xr:uid="{00000000-0004-0000-0200-00001E010000}"/>
    <hyperlink ref="H147" r:id="rId288" xr:uid="{00000000-0004-0000-0200-00001F01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64D79"/>
  </sheetPr>
  <dimension ref="A1:R158"/>
  <sheetViews>
    <sheetView workbookViewId="0">
      <pane ySplit="1" topLeftCell="A2" activePane="bottomLeft" state="frozen"/>
      <selection pane="bottomLeft" activeCell="B3" sqref="B3"/>
    </sheetView>
  </sheetViews>
  <sheetFormatPr baseColWidth="10" defaultColWidth="14.44140625" defaultRowHeight="15" customHeight="1"/>
  <cols>
    <col min="1" max="1" width="5" customWidth="1"/>
    <col min="2" max="2" width="25.88671875" customWidth="1"/>
    <col min="3" max="3" width="17.6640625" customWidth="1"/>
    <col min="4" max="4" width="9.5546875" customWidth="1"/>
    <col min="5" max="5" width="10" customWidth="1"/>
    <col min="6" max="6" width="14.109375" customWidth="1"/>
    <col min="7" max="7" width="13.6640625" customWidth="1"/>
    <col min="8" max="8" width="20.5546875" customWidth="1"/>
    <col min="9" max="9" width="70.5546875" customWidth="1"/>
    <col min="10" max="10" width="26.5546875" customWidth="1"/>
    <col min="11" max="11" width="8.33203125" customWidth="1"/>
    <col min="12" max="12" width="20" customWidth="1"/>
    <col min="13" max="16" width="13.109375" customWidth="1"/>
    <col min="17" max="18" width="21.44140625" customWidth="1"/>
  </cols>
  <sheetData>
    <row r="1" spans="1:18" ht="24.75" customHeight="1">
      <c r="A1" s="68" t="s">
        <v>758</v>
      </c>
      <c r="B1" s="116" t="s">
        <v>0</v>
      </c>
      <c r="C1" s="70" t="s">
        <v>409</v>
      </c>
      <c r="D1" s="70" t="s">
        <v>2</v>
      </c>
      <c r="E1" s="70" t="s">
        <v>3</v>
      </c>
      <c r="F1" s="70" t="s">
        <v>4</v>
      </c>
      <c r="G1" s="71" t="s">
        <v>5</v>
      </c>
      <c r="H1" s="68" t="s">
        <v>6</v>
      </c>
      <c r="I1" s="117" t="s">
        <v>7</v>
      </c>
      <c r="J1" s="68" t="s">
        <v>8</v>
      </c>
      <c r="K1" s="71" t="s">
        <v>9</v>
      </c>
      <c r="L1" s="8" t="s">
        <v>10</v>
      </c>
      <c r="M1" s="8" t="s">
        <v>11</v>
      </c>
      <c r="N1" s="9" t="s">
        <v>12</v>
      </c>
      <c r="O1" s="9" t="s">
        <v>13</v>
      </c>
      <c r="P1" s="10" t="s">
        <v>14</v>
      </c>
      <c r="Q1" s="9" t="s">
        <v>15</v>
      </c>
      <c r="R1" s="11" t="s">
        <v>16</v>
      </c>
    </row>
    <row r="2" spans="1:18" ht="24.75" customHeight="1">
      <c r="A2" s="118">
        <v>1</v>
      </c>
      <c r="B2" s="119" t="s">
        <v>759</v>
      </c>
      <c r="C2" s="120" t="s">
        <v>760</v>
      </c>
      <c r="D2" s="120" t="s">
        <v>26</v>
      </c>
      <c r="E2" s="120" t="s">
        <v>761</v>
      </c>
      <c r="F2" s="120">
        <v>67</v>
      </c>
      <c r="G2" s="15" t="s">
        <v>20</v>
      </c>
      <c r="H2" s="121" t="s">
        <v>762</v>
      </c>
      <c r="I2" s="122" t="s">
        <v>763</v>
      </c>
      <c r="J2" s="123"/>
      <c r="K2" s="123" t="str">
        <f t="shared" ref="K2:K150" si="0">"E - "&amp;A2</f>
        <v>E - 1</v>
      </c>
      <c r="L2" s="95" t="s">
        <v>23</v>
      </c>
      <c r="M2" s="95" t="s">
        <v>24</v>
      </c>
      <c r="N2" s="65"/>
      <c r="O2" s="65"/>
      <c r="P2" s="22"/>
      <c r="Q2" s="23" t="str">
        <f t="shared" ref="Q2:Q150" ca="1" si="1">IF(P2="","-", IF(DATEDIF(P2,TODAY(),"Y")=0,"",IF(DATEDIF(P2,TODAY(),"Y")=1,DATEDIF(P2,TODAY(),"Y")&amp;" año con ",DATEDIF(P2,TODAY(),"Y")&amp;" años con "))&amp;IF(DATEDIF(P2,TODAY(),"YM")=0,"",IF(DATEDIF(P2,TODAY(),"YM")=1,DATEDIF(P2,TODAY(),"YM")&amp;" mes y ",DATEDIF(P2,TODAY(),"YM")&amp;" meses y "))&amp;IF(DATEDIF(P2,TODAY(),"MD")=0,"",IF(DATEDIF(P2,TODAY(),"MD")=1,DATEDIF(P2,TODAY(),"MD")&amp;" día",DATEDIF(P2,TODAY(),"MD")&amp;" días")))</f>
        <v>-</v>
      </c>
      <c r="R2" s="23"/>
    </row>
    <row r="3" spans="1:18" ht="24.75" customHeight="1">
      <c r="A3" s="24">
        <v>2</v>
      </c>
      <c r="B3" s="124" t="s">
        <v>764</v>
      </c>
      <c r="C3" s="120" t="s">
        <v>760</v>
      </c>
      <c r="D3" s="120" t="s">
        <v>31</v>
      </c>
      <c r="E3" s="120">
        <v>33</v>
      </c>
      <c r="F3" s="120">
        <v>67</v>
      </c>
      <c r="G3" s="15" t="s">
        <v>20</v>
      </c>
      <c r="H3" s="125" t="s">
        <v>762</v>
      </c>
      <c r="I3" s="122" t="s">
        <v>763</v>
      </c>
      <c r="J3" s="126"/>
      <c r="K3" s="123" t="str">
        <f t="shared" si="0"/>
        <v>E - 2</v>
      </c>
      <c r="L3" s="95" t="s">
        <v>23</v>
      </c>
      <c r="M3" s="95" t="s">
        <v>24</v>
      </c>
      <c r="N3" s="65"/>
      <c r="O3" s="65"/>
      <c r="P3" s="81"/>
      <c r="Q3" s="23" t="str">
        <f t="shared" ca="1" si="1"/>
        <v>-</v>
      </c>
      <c r="R3" s="23"/>
    </row>
    <row r="4" spans="1:18" ht="24.75" customHeight="1">
      <c r="A4" s="118">
        <v>3</v>
      </c>
      <c r="B4" s="124" t="s">
        <v>765</v>
      </c>
      <c r="C4" s="120" t="s">
        <v>766</v>
      </c>
      <c r="D4" s="120" t="s">
        <v>26</v>
      </c>
      <c r="E4" s="120" t="s">
        <v>767</v>
      </c>
      <c r="F4" s="120">
        <v>65</v>
      </c>
      <c r="G4" s="15" t="s">
        <v>20</v>
      </c>
      <c r="H4" s="99" t="s">
        <v>768</v>
      </c>
      <c r="I4" s="122" t="s">
        <v>769</v>
      </c>
      <c r="J4" s="92"/>
      <c r="K4" s="123" t="str">
        <f t="shared" si="0"/>
        <v>E - 3</v>
      </c>
      <c r="L4" s="95"/>
      <c r="M4" s="95"/>
      <c r="N4" s="65"/>
      <c r="O4" s="65"/>
      <c r="P4" s="81"/>
      <c r="Q4" s="23" t="str">
        <f t="shared" ca="1" si="1"/>
        <v>-</v>
      </c>
      <c r="R4" s="23"/>
    </row>
    <row r="5" spans="1:18" ht="24.75" customHeight="1">
      <c r="A5" s="24">
        <v>4</v>
      </c>
      <c r="B5" s="119" t="s">
        <v>770</v>
      </c>
      <c r="C5" s="120" t="s">
        <v>771</v>
      </c>
      <c r="D5" s="120" t="s">
        <v>26</v>
      </c>
      <c r="E5" s="120" t="s">
        <v>772</v>
      </c>
      <c r="F5" s="120">
        <v>34</v>
      </c>
      <c r="G5" s="15" t="s">
        <v>20</v>
      </c>
      <c r="H5" s="99" t="s">
        <v>773</v>
      </c>
      <c r="I5" s="122" t="s">
        <v>774</v>
      </c>
      <c r="J5" s="92"/>
      <c r="K5" s="123" t="str">
        <f t="shared" si="0"/>
        <v>E - 4</v>
      </c>
      <c r="L5" s="95"/>
      <c r="M5" s="95"/>
      <c r="N5" s="65"/>
      <c r="O5" s="65"/>
      <c r="P5" s="81"/>
      <c r="Q5" s="23" t="str">
        <f t="shared" ca="1" si="1"/>
        <v>-</v>
      </c>
      <c r="R5" s="23"/>
    </row>
    <row r="6" spans="1:18" ht="24.75" customHeight="1">
      <c r="A6" s="118">
        <v>5</v>
      </c>
      <c r="B6" s="119" t="s">
        <v>775</v>
      </c>
      <c r="C6" s="120" t="s">
        <v>771</v>
      </c>
      <c r="D6" s="120" t="s">
        <v>26</v>
      </c>
      <c r="E6" s="127">
        <v>100.5</v>
      </c>
      <c r="F6" s="120">
        <v>34</v>
      </c>
      <c r="G6" s="15" t="s">
        <v>20</v>
      </c>
      <c r="H6" s="99" t="s">
        <v>776</v>
      </c>
      <c r="I6" s="122" t="s">
        <v>777</v>
      </c>
      <c r="J6" s="92"/>
      <c r="K6" s="123" t="str">
        <f t="shared" si="0"/>
        <v>E - 5</v>
      </c>
      <c r="L6" s="95"/>
      <c r="M6" s="95"/>
      <c r="N6" s="65"/>
      <c r="O6" s="65"/>
      <c r="P6" s="81"/>
      <c r="Q6" s="23" t="str">
        <f t="shared" ca="1" si="1"/>
        <v>-</v>
      </c>
      <c r="R6" s="23"/>
    </row>
    <row r="7" spans="1:18" ht="24.75" customHeight="1">
      <c r="A7" s="24">
        <v>6</v>
      </c>
      <c r="B7" s="119" t="s">
        <v>778</v>
      </c>
      <c r="C7" s="120" t="s">
        <v>779</v>
      </c>
      <c r="D7" s="120" t="s">
        <v>26</v>
      </c>
      <c r="E7" s="120" t="s">
        <v>780</v>
      </c>
      <c r="F7" s="120">
        <v>31</v>
      </c>
      <c r="G7" s="15" t="s">
        <v>20</v>
      </c>
      <c r="H7" s="99" t="s">
        <v>781</v>
      </c>
      <c r="I7" s="122" t="s">
        <v>782</v>
      </c>
      <c r="J7" s="92"/>
      <c r="K7" s="123" t="str">
        <f t="shared" si="0"/>
        <v>E - 6</v>
      </c>
      <c r="L7" s="123"/>
      <c r="M7" s="123"/>
      <c r="N7" s="65"/>
      <c r="O7" s="65"/>
      <c r="P7" s="81"/>
      <c r="Q7" s="23" t="str">
        <f t="shared" ca="1" si="1"/>
        <v>-</v>
      </c>
      <c r="R7" s="23"/>
    </row>
    <row r="8" spans="1:18" ht="30.75" customHeight="1">
      <c r="A8" s="118">
        <v>7</v>
      </c>
      <c r="B8" s="119" t="s">
        <v>783</v>
      </c>
      <c r="C8" s="120" t="s">
        <v>766</v>
      </c>
      <c r="D8" s="120" t="s">
        <v>26</v>
      </c>
      <c r="E8" s="120" t="s">
        <v>784</v>
      </c>
      <c r="F8" s="120">
        <v>125</v>
      </c>
      <c r="G8" s="94" t="s">
        <v>223</v>
      </c>
      <c r="H8" s="99" t="s">
        <v>785</v>
      </c>
      <c r="I8" s="122" t="s">
        <v>786</v>
      </c>
      <c r="J8" s="88" t="s">
        <v>787</v>
      </c>
      <c r="K8" s="123" t="str">
        <f t="shared" si="0"/>
        <v>E - 7</v>
      </c>
      <c r="L8" s="95" t="s">
        <v>23</v>
      </c>
      <c r="M8" s="95" t="s">
        <v>24</v>
      </c>
      <c r="N8" s="65"/>
      <c r="O8" s="65"/>
      <c r="P8" s="81">
        <v>45744</v>
      </c>
      <c r="Q8" s="23" t="str">
        <f t="shared" ca="1" si="1"/>
        <v>8 meses y 10 días</v>
      </c>
      <c r="R8" s="23"/>
    </row>
    <row r="9" spans="1:18" ht="24.75" customHeight="1">
      <c r="A9" s="24">
        <v>8</v>
      </c>
      <c r="B9" s="119" t="s">
        <v>788</v>
      </c>
      <c r="C9" s="120" t="s">
        <v>760</v>
      </c>
      <c r="D9" s="120" t="s">
        <v>26</v>
      </c>
      <c r="E9" s="120" t="s">
        <v>789</v>
      </c>
      <c r="F9" s="120">
        <v>22</v>
      </c>
      <c r="G9" s="15" t="s">
        <v>20</v>
      </c>
      <c r="H9" s="99" t="s">
        <v>790</v>
      </c>
      <c r="I9" s="122" t="s">
        <v>791</v>
      </c>
      <c r="J9" s="88"/>
      <c r="K9" s="123" t="str">
        <f t="shared" si="0"/>
        <v>E - 8</v>
      </c>
      <c r="L9" s="95" t="s">
        <v>23</v>
      </c>
      <c r="M9" s="95" t="s">
        <v>24</v>
      </c>
      <c r="N9" s="128"/>
      <c r="O9" s="65"/>
      <c r="P9" s="81"/>
      <c r="Q9" s="23" t="str">
        <f t="shared" ca="1" si="1"/>
        <v>-</v>
      </c>
      <c r="R9" s="23"/>
    </row>
    <row r="10" spans="1:18" ht="24.75" customHeight="1">
      <c r="A10" s="118">
        <v>9</v>
      </c>
      <c r="B10" s="124" t="s">
        <v>788</v>
      </c>
      <c r="C10" s="120" t="s">
        <v>760</v>
      </c>
      <c r="D10" s="120" t="s">
        <v>19</v>
      </c>
      <c r="E10" s="120">
        <v>9</v>
      </c>
      <c r="F10" s="120">
        <v>22</v>
      </c>
      <c r="G10" s="15" t="s">
        <v>20</v>
      </c>
      <c r="H10" s="129" t="s">
        <v>792</v>
      </c>
      <c r="I10" s="122" t="s">
        <v>791</v>
      </c>
      <c r="J10" s="88"/>
      <c r="K10" s="123" t="str">
        <f t="shared" si="0"/>
        <v>E - 9</v>
      </c>
      <c r="L10" s="95" t="s">
        <v>23</v>
      </c>
      <c r="M10" s="95" t="s">
        <v>24</v>
      </c>
      <c r="N10" s="128"/>
      <c r="O10" s="65"/>
      <c r="P10" s="81"/>
      <c r="Q10" s="23" t="str">
        <f t="shared" ca="1" si="1"/>
        <v>-</v>
      </c>
      <c r="R10" s="23"/>
    </row>
    <row r="11" spans="1:18" ht="24.75" customHeight="1">
      <c r="A11" s="24">
        <v>10</v>
      </c>
      <c r="B11" s="124" t="s">
        <v>793</v>
      </c>
      <c r="C11" s="120" t="s">
        <v>794</v>
      </c>
      <c r="D11" s="120" t="s">
        <v>26</v>
      </c>
      <c r="E11" s="120" t="s">
        <v>795</v>
      </c>
      <c r="F11" s="120">
        <v>124</v>
      </c>
      <c r="G11" s="15" t="s">
        <v>20</v>
      </c>
      <c r="H11" s="99" t="s">
        <v>796</v>
      </c>
      <c r="I11" s="130" t="s">
        <v>797</v>
      </c>
      <c r="J11" s="92"/>
      <c r="K11" s="123" t="str">
        <f t="shared" si="0"/>
        <v>E - 10</v>
      </c>
      <c r="L11" s="123"/>
      <c r="M11" s="123"/>
      <c r="N11" s="128"/>
      <c r="O11" s="65"/>
      <c r="P11" s="81"/>
      <c r="Q11" s="23" t="str">
        <f t="shared" ca="1" si="1"/>
        <v>-</v>
      </c>
      <c r="R11" s="23"/>
    </row>
    <row r="12" spans="1:18" ht="24.75" customHeight="1">
      <c r="A12" s="118">
        <v>11</v>
      </c>
      <c r="B12" s="119" t="s">
        <v>798</v>
      </c>
      <c r="C12" s="120" t="s">
        <v>760</v>
      </c>
      <c r="D12" s="120" t="s">
        <v>26</v>
      </c>
      <c r="E12" s="120" t="s">
        <v>799</v>
      </c>
      <c r="F12" s="120">
        <v>67</v>
      </c>
      <c r="G12" s="15" t="s">
        <v>20</v>
      </c>
      <c r="H12" s="99" t="s">
        <v>800</v>
      </c>
      <c r="I12" s="122" t="s">
        <v>801</v>
      </c>
      <c r="J12" s="92"/>
      <c r="K12" s="123" t="str">
        <f t="shared" si="0"/>
        <v>E - 11</v>
      </c>
      <c r="L12" s="123"/>
      <c r="M12" s="123"/>
      <c r="N12" s="128"/>
      <c r="O12" s="65"/>
      <c r="P12" s="81"/>
      <c r="Q12" s="23" t="str">
        <f t="shared" ca="1" si="1"/>
        <v>-</v>
      </c>
      <c r="R12" s="23"/>
    </row>
    <row r="13" spans="1:18" ht="24.75" customHeight="1">
      <c r="A13" s="24">
        <v>12</v>
      </c>
      <c r="B13" s="131" t="s">
        <v>798</v>
      </c>
      <c r="C13" s="120" t="s">
        <v>760</v>
      </c>
      <c r="D13" s="120" t="s">
        <v>19</v>
      </c>
      <c r="E13" s="120">
        <v>7</v>
      </c>
      <c r="F13" s="120">
        <v>67</v>
      </c>
      <c r="G13" s="94" t="s">
        <v>223</v>
      </c>
      <c r="H13" s="99" t="s">
        <v>802</v>
      </c>
      <c r="I13" s="122" t="s">
        <v>803</v>
      </c>
      <c r="J13" s="132" t="s">
        <v>804</v>
      </c>
      <c r="K13" s="123" t="str">
        <f t="shared" si="0"/>
        <v>E - 12</v>
      </c>
      <c r="L13" s="95"/>
      <c r="M13" s="95"/>
      <c r="N13" s="128"/>
      <c r="O13" s="65"/>
      <c r="P13" s="81">
        <v>45873</v>
      </c>
      <c r="Q13" s="23" t="str">
        <f t="shared" ca="1" si="1"/>
        <v>4 meses y 4 días</v>
      </c>
      <c r="R13" s="23"/>
    </row>
    <row r="14" spans="1:18" ht="24.75" customHeight="1">
      <c r="A14" s="118">
        <v>13</v>
      </c>
      <c r="B14" s="119" t="s">
        <v>805</v>
      </c>
      <c r="C14" s="120" t="s">
        <v>766</v>
      </c>
      <c r="D14" s="120" t="s">
        <v>26</v>
      </c>
      <c r="E14" s="120" t="s">
        <v>806</v>
      </c>
      <c r="F14" s="120">
        <v>39</v>
      </c>
      <c r="G14" s="15" t="s">
        <v>20</v>
      </c>
      <c r="H14" s="99" t="s">
        <v>807</v>
      </c>
      <c r="I14" s="122" t="s">
        <v>808</v>
      </c>
      <c r="J14" s="92"/>
      <c r="K14" s="123" t="str">
        <f t="shared" si="0"/>
        <v>E - 13</v>
      </c>
      <c r="L14" s="95"/>
      <c r="M14" s="95"/>
      <c r="N14" s="128"/>
      <c r="O14" s="65"/>
      <c r="P14" s="81"/>
      <c r="Q14" s="23" t="str">
        <f t="shared" ca="1" si="1"/>
        <v>-</v>
      </c>
      <c r="R14" s="23"/>
    </row>
    <row r="15" spans="1:18" ht="24.75" customHeight="1">
      <c r="A15" s="24">
        <v>14</v>
      </c>
      <c r="B15" s="119" t="s">
        <v>766</v>
      </c>
      <c r="C15" s="120" t="s">
        <v>766</v>
      </c>
      <c r="D15" s="120" t="s">
        <v>100</v>
      </c>
      <c r="E15" s="120">
        <v>1050</v>
      </c>
      <c r="F15" s="120">
        <v>3</v>
      </c>
      <c r="G15" s="15" t="s">
        <v>20</v>
      </c>
      <c r="H15" s="99" t="s">
        <v>809</v>
      </c>
      <c r="I15" s="122" t="s">
        <v>810</v>
      </c>
      <c r="J15" s="88" t="s">
        <v>430</v>
      </c>
      <c r="K15" s="123" t="str">
        <f t="shared" si="0"/>
        <v>E - 14</v>
      </c>
      <c r="L15" s="95"/>
      <c r="M15" s="95"/>
      <c r="N15" s="128"/>
      <c r="O15" s="65"/>
      <c r="P15" s="81"/>
      <c r="Q15" s="23" t="str">
        <f t="shared" ca="1" si="1"/>
        <v>-</v>
      </c>
      <c r="R15" s="23"/>
    </row>
    <row r="16" spans="1:18" ht="24.75" customHeight="1">
      <c r="A16" s="118">
        <v>15</v>
      </c>
      <c r="B16" s="119" t="s">
        <v>766</v>
      </c>
      <c r="C16" s="120" t="s">
        <v>766</v>
      </c>
      <c r="D16" s="120" t="s">
        <v>100</v>
      </c>
      <c r="E16" s="120">
        <v>770</v>
      </c>
      <c r="F16" s="120">
        <v>3</v>
      </c>
      <c r="G16" s="15" t="s">
        <v>20</v>
      </c>
      <c r="H16" s="99" t="s">
        <v>809</v>
      </c>
      <c r="I16" s="122" t="s">
        <v>810</v>
      </c>
      <c r="J16" s="92"/>
      <c r="K16" s="123" t="str">
        <f t="shared" si="0"/>
        <v>E - 15</v>
      </c>
      <c r="L16" s="95"/>
      <c r="M16" s="95"/>
      <c r="N16" s="128"/>
      <c r="O16" s="65"/>
      <c r="P16" s="81"/>
      <c r="Q16" s="23" t="str">
        <f t="shared" ca="1" si="1"/>
        <v>-</v>
      </c>
      <c r="R16" s="23"/>
    </row>
    <row r="17" spans="1:18" ht="24.75" customHeight="1">
      <c r="A17" s="24">
        <v>16</v>
      </c>
      <c r="B17" s="119" t="s">
        <v>766</v>
      </c>
      <c r="C17" s="120" t="s">
        <v>766</v>
      </c>
      <c r="D17" s="120" t="s">
        <v>26</v>
      </c>
      <c r="E17" s="120" t="s">
        <v>811</v>
      </c>
      <c r="F17" s="120">
        <v>3</v>
      </c>
      <c r="G17" s="15" t="s">
        <v>20</v>
      </c>
      <c r="H17" s="99" t="s">
        <v>809</v>
      </c>
      <c r="I17" s="122" t="s">
        <v>810</v>
      </c>
      <c r="J17" s="92"/>
      <c r="K17" s="123" t="str">
        <f t="shared" si="0"/>
        <v>E - 16</v>
      </c>
      <c r="L17" s="95"/>
      <c r="M17" s="95"/>
      <c r="N17" s="128"/>
      <c r="O17" s="65"/>
      <c r="P17" s="81"/>
      <c r="Q17" s="23" t="str">
        <f t="shared" ca="1" si="1"/>
        <v>-</v>
      </c>
      <c r="R17" s="23"/>
    </row>
    <row r="18" spans="1:18" ht="24.75" customHeight="1">
      <c r="A18" s="118">
        <v>17</v>
      </c>
      <c r="B18" s="119" t="s">
        <v>812</v>
      </c>
      <c r="C18" s="120" t="s">
        <v>766</v>
      </c>
      <c r="D18" s="120" t="s">
        <v>31</v>
      </c>
      <c r="E18" s="120" t="s">
        <v>813</v>
      </c>
      <c r="F18" s="120">
        <v>3</v>
      </c>
      <c r="G18" s="15" t="s">
        <v>20</v>
      </c>
      <c r="H18" s="99" t="s">
        <v>814</v>
      </c>
      <c r="I18" s="130" t="s">
        <v>810</v>
      </c>
      <c r="J18" s="92"/>
      <c r="K18" s="123" t="str">
        <f t="shared" si="0"/>
        <v>E - 17</v>
      </c>
      <c r="L18" s="95"/>
      <c r="M18" s="95"/>
      <c r="N18" s="128"/>
      <c r="O18" s="65"/>
      <c r="P18" s="81"/>
      <c r="Q18" s="23" t="str">
        <f t="shared" ca="1" si="1"/>
        <v>-</v>
      </c>
      <c r="R18" s="23"/>
    </row>
    <row r="19" spans="1:18" ht="24.75" customHeight="1">
      <c r="A19" s="24">
        <v>18</v>
      </c>
      <c r="B19" s="119" t="s">
        <v>815</v>
      </c>
      <c r="C19" s="120" t="s">
        <v>766</v>
      </c>
      <c r="D19" s="120" t="s">
        <v>26</v>
      </c>
      <c r="E19" s="120" t="s">
        <v>816</v>
      </c>
      <c r="F19" s="120">
        <v>40</v>
      </c>
      <c r="G19" s="15" t="s">
        <v>20</v>
      </c>
      <c r="H19" s="99" t="s">
        <v>817</v>
      </c>
      <c r="I19" s="122" t="s">
        <v>818</v>
      </c>
      <c r="J19" s="92"/>
      <c r="K19" s="123" t="str">
        <f t="shared" si="0"/>
        <v>E - 18</v>
      </c>
      <c r="L19" s="95"/>
      <c r="M19" s="95"/>
      <c r="N19" s="128"/>
      <c r="O19" s="65"/>
      <c r="P19" s="81"/>
      <c r="Q19" s="23" t="str">
        <f t="shared" ca="1" si="1"/>
        <v>-</v>
      </c>
      <c r="R19" s="23"/>
    </row>
    <row r="20" spans="1:18" ht="24.75" customHeight="1">
      <c r="A20" s="118">
        <v>19</v>
      </c>
      <c r="B20" s="119" t="s">
        <v>819</v>
      </c>
      <c r="C20" s="120" t="s">
        <v>779</v>
      </c>
      <c r="D20" s="120" t="s">
        <v>26</v>
      </c>
      <c r="E20" s="120" t="s">
        <v>820</v>
      </c>
      <c r="F20" s="120">
        <v>138</v>
      </c>
      <c r="G20" s="94" t="s">
        <v>223</v>
      </c>
      <c r="H20" s="99" t="s">
        <v>821</v>
      </c>
      <c r="I20" s="122" t="s">
        <v>822</v>
      </c>
      <c r="J20" s="88" t="s">
        <v>823</v>
      </c>
      <c r="K20" s="123" t="str">
        <f t="shared" si="0"/>
        <v>E - 19</v>
      </c>
      <c r="L20" s="95" t="s">
        <v>368</v>
      </c>
      <c r="M20" s="95" t="s">
        <v>373</v>
      </c>
      <c r="N20" s="128"/>
      <c r="O20" s="65"/>
      <c r="P20" s="81">
        <v>45901</v>
      </c>
      <c r="Q20" s="23" t="str">
        <f t="shared" ca="1" si="1"/>
        <v>3 meses y 7 días</v>
      </c>
      <c r="R20" s="23"/>
    </row>
    <row r="21" spans="1:18" ht="24.75" customHeight="1">
      <c r="A21" s="24">
        <v>20</v>
      </c>
      <c r="B21" s="119" t="s">
        <v>824</v>
      </c>
      <c r="C21" s="120" t="s">
        <v>779</v>
      </c>
      <c r="D21" s="120" t="s">
        <v>26</v>
      </c>
      <c r="E21" s="120" t="s">
        <v>825</v>
      </c>
      <c r="F21" s="120">
        <v>138</v>
      </c>
      <c r="G21" s="15" t="s">
        <v>20</v>
      </c>
      <c r="H21" s="99" t="s">
        <v>826</v>
      </c>
      <c r="I21" s="122" t="s">
        <v>827</v>
      </c>
      <c r="J21" s="92"/>
      <c r="K21" s="123" t="str">
        <f t="shared" si="0"/>
        <v>E - 20</v>
      </c>
      <c r="L21" s="95" t="s">
        <v>23</v>
      </c>
      <c r="M21" s="95" t="s">
        <v>24</v>
      </c>
      <c r="N21" s="128"/>
      <c r="O21" s="65"/>
      <c r="P21" s="81"/>
      <c r="Q21" s="23" t="str">
        <f t="shared" ca="1" si="1"/>
        <v>-</v>
      </c>
      <c r="R21" s="23"/>
    </row>
    <row r="22" spans="1:18" ht="24.75" customHeight="1">
      <c r="A22" s="118">
        <v>21</v>
      </c>
      <c r="B22" s="119" t="s">
        <v>828</v>
      </c>
      <c r="C22" s="120" t="s">
        <v>779</v>
      </c>
      <c r="D22" s="120" t="s">
        <v>26</v>
      </c>
      <c r="E22" s="120" t="s">
        <v>829</v>
      </c>
      <c r="F22" s="120">
        <v>138</v>
      </c>
      <c r="G22" s="15" t="s">
        <v>20</v>
      </c>
      <c r="H22" s="99" t="s">
        <v>830</v>
      </c>
      <c r="I22" s="122" t="s">
        <v>831</v>
      </c>
      <c r="J22" s="92"/>
      <c r="K22" s="123" t="str">
        <f t="shared" si="0"/>
        <v>E - 21</v>
      </c>
      <c r="L22" s="95" t="s">
        <v>23</v>
      </c>
      <c r="M22" s="95" t="s">
        <v>24</v>
      </c>
      <c r="N22" s="128"/>
      <c r="O22" s="65"/>
      <c r="P22" s="81"/>
      <c r="Q22" s="23" t="str">
        <f t="shared" ca="1" si="1"/>
        <v>-</v>
      </c>
      <c r="R22" s="23"/>
    </row>
    <row r="23" spans="1:18" ht="24.75" customHeight="1">
      <c r="A23" s="24">
        <v>22</v>
      </c>
      <c r="B23" s="119" t="s">
        <v>832</v>
      </c>
      <c r="C23" s="120" t="s">
        <v>771</v>
      </c>
      <c r="D23" s="120" t="s">
        <v>26</v>
      </c>
      <c r="E23" s="120" t="s">
        <v>833</v>
      </c>
      <c r="F23" s="120">
        <v>131</v>
      </c>
      <c r="G23" s="15" t="s">
        <v>20</v>
      </c>
      <c r="H23" s="99" t="s">
        <v>834</v>
      </c>
      <c r="I23" s="122" t="s">
        <v>835</v>
      </c>
      <c r="J23" s="133"/>
      <c r="K23" s="123" t="str">
        <f t="shared" si="0"/>
        <v>E - 22</v>
      </c>
      <c r="L23" s="95" t="s">
        <v>23</v>
      </c>
      <c r="M23" s="95" t="s">
        <v>24</v>
      </c>
      <c r="N23" s="128"/>
      <c r="O23" s="65"/>
      <c r="P23" s="81"/>
      <c r="Q23" s="23" t="str">
        <f t="shared" ca="1" si="1"/>
        <v>-</v>
      </c>
      <c r="R23" s="23"/>
    </row>
    <row r="24" spans="1:18" ht="24.75" customHeight="1">
      <c r="A24" s="118">
        <v>23</v>
      </c>
      <c r="B24" s="119" t="s">
        <v>836</v>
      </c>
      <c r="C24" s="120" t="s">
        <v>779</v>
      </c>
      <c r="D24" s="120" t="s">
        <v>26</v>
      </c>
      <c r="E24" s="120" t="s">
        <v>837</v>
      </c>
      <c r="F24" s="120">
        <v>31</v>
      </c>
      <c r="G24" s="15" t="s">
        <v>20</v>
      </c>
      <c r="H24" s="99" t="s">
        <v>838</v>
      </c>
      <c r="I24" s="130" t="s">
        <v>839</v>
      </c>
      <c r="J24" s="92"/>
      <c r="K24" s="123" t="str">
        <f t="shared" si="0"/>
        <v>E - 23</v>
      </c>
      <c r="L24" s="95" t="s">
        <v>23</v>
      </c>
      <c r="M24" s="95" t="s">
        <v>24</v>
      </c>
      <c r="N24" s="128"/>
      <c r="O24" s="65"/>
      <c r="P24" s="81"/>
      <c r="Q24" s="23" t="str">
        <f t="shared" ca="1" si="1"/>
        <v>-</v>
      </c>
      <c r="R24" s="23"/>
    </row>
    <row r="25" spans="1:18" ht="24.75" customHeight="1">
      <c r="A25" s="24">
        <v>24</v>
      </c>
      <c r="B25" s="119" t="s">
        <v>840</v>
      </c>
      <c r="C25" s="120" t="s">
        <v>794</v>
      </c>
      <c r="D25" s="120" t="s">
        <v>26</v>
      </c>
      <c r="E25" s="120" t="s">
        <v>841</v>
      </c>
      <c r="F25" s="120">
        <v>124</v>
      </c>
      <c r="G25" s="15" t="s">
        <v>20</v>
      </c>
      <c r="H25" s="99" t="s">
        <v>842</v>
      </c>
      <c r="I25" s="122" t="s">
        <v>843</v>
      </c>
      <c r="J25" s="88" t="s">
        <v>844</v>
      </c>
      <c r="K25" s="123" t="str">
        <f t="shared" si="0"/>
        <v>E - 24</v>
      </c>
      <c r="L25" s="95" t="s">
        <v>23</v>
      </c>
      <c r="M25" s="95" t="s">
        <v>24</v>
      </c>
      <c r="N25" s="128"/>
      <c r="O25" s="65"/>
      <c r="P25" s="81"/>
      <c r="Q25" s="23" t="str">
        <f t="shared" ca="1" si="1"/>
        <v>-</v>
      </c>
      <c r="R25" s="23"/>
    </row>
    <row r="26" spans="1:18" ht="24.75" customHeight="1">
      <c r="A26" s="118">
        <v>25</v>
      </c>
      <c r="B26" s="119" t="s">
        <v>845</v>
      </c>
      <c r="C26" s="120" t="s">
        <v>766</v>
      </c>
      <c r="D26" s="120" t="s">
        <v>26</v>
      </c>
      <c r="E26" s="120" t="s">
        <v>789</v>
      </c>
      <c r="F26" s="120">
        <v>40</v>
      </c>
      <c r="G26" s="15" t="s">
        <v>20</v>
      </c>
      <c r="H26" s="99" t="s">
        <v>846</v>
      </c>
      <c r="I26" s="122" t="s">
        <v>847</v>
      </c>
      <c r="J26" s="92"/>
      <c r="K26" s="123" t="str">
        <f t="shared" si="0"/>
        <v>E - 25</v>
      </c>
      <c r="L26" s="95" t="s">
        <v>23</v>
      </c>
      <c r="M26" s="95" t="s">
        <v>24</v>
      </c>
      <c r="N26" s="128"/>
      <c r="O26" s="65"/>
      <c r="P26" s="81"/>
      <c r="Q26" s="23" t="str">
        <f t="shared" ca="1" si="1"/>
        <v>-</v>
      </c>
      <c r="R26" s="23"/>
    </row>
    <row r="27" spans="1:18" ht="24.75" customHeight="1">
      <c r="A27" s="24">
        <v>26</v>
      </c>
      <c r="B27" s="119" t="s">
        <v>845</v>
      </c>
      <c r="C27" s="120" t="s">
        <v>766</v>
      </c>
      <c r="D27" s="120" t="s">
        <v>31</v>
      </c>
      <c r="E27" s="120">
        <v>21</v>
      </c>
      <c r="F27" s="120">
        <v>40</v>
      </c>
      <c r="G27" s="15" t="s">
        <v>20</v>
      </c>
      <c r="H27" s="99" t="s">
        <v>848</v>
      </c>
      <c r="I27" s="122" t="s">
        <v>847</v>
      </c>
      <c r="J27" s="92"/>
      <c r="K27" s="123" t="str">
        <f t="shared" si="0"/>
        <v>E - 26</v>
      </c>
      <c r="L27" s="95" t="s">
        <v>23</v>
      </c>
      <c r="M27" s="95" t="s">
        <v>24</v>
      </c>
      <c r="N27" s="128"/>
      <c r="O27" s="65"/>
      <c r="P27" s="81"/>
      <c r="Q27" s="23" t="str">
        <f t="shared" ca="1" si="1"/>
        <v>-</v>
      </c>
      <c r="R27" s="23"/>
    </row>
    <row r="28" spans="1:18" ht="24.75" customHeight="1">
      <c r="A28" s="118">
        <v>27</v>
      </c>
      <c r="B28" s="119" t="s">
        <v>849</v>
      </c>
      <c r="C28" s="120" t="s">
        <v>850</v>
      </c>
      <c r="D28" s="120" t="s">
        <v>26</v>
      </c>
      <c r="E28" s="120" t="s">
        <v>851</v>
      </c>
      <c r="F28" s="120">
        <v>38</v>
      </c>
      <c r="G28" s="15" t="s">
        <v>20</v>
      </c>
      <c r="H28" s="99" t="s">
        <v>852</v>
      </c>
      <c r="I28" s="122" t="s">
        <v>853</v>
      </c>
      <c r="J28" s="92"/>
      <c r="K28" s="123" t="str">
        <f t="shared" si="0"/>
        <v>E - 27</v>
      </c>
      <c r="L28" s="123"/>
      <c r="M28" s="123"/>
      <c r="N28" s="128"/>
      <c r="O28" s="65"/>
      <c r="P28" s="81"/>
      <c r="Q28" s="23" t="str">
        <f t="shared" ca="1" si="1"/>
        <v>-</v>
      </c>
      <c r="R28" s="23"/>
    </row>
    <row r="29" spans="1:18" ht="24.75" customHeight="1">
      <c r="A29" s="24">
        <v>28</v>
      </c>
      <c r="B29" s="119" t="s">
        <v>854</v>
      </c>
      <c r="C29" s="120" t="s">
        <v>766</v>
      </c>
      <c r="D29" s="120" t="s">
        <v>26</v>
      </c>
      <c r="E29" s="120" t="s">
        <v>855</v>
      </c>
      <c r="F29" s="120">
        <v>40</v>
      </c>
      <c r="G29" s="15" t="s">
        <v>20</v>
      </c>
      <c r="H29" s="99" t="s">
        <v>856</v>
      </c>
      <c r="I29" s="122" t="s">
        <v>857</v>
      </c>
      <c r="J29" s="88"/>
      <c r="K29" s="123" t="str">
        <f t="shared" si="0"/>
        <v>E - 28</v>
      </c>
      <c r="L29" s="95" t="s">
        <v>23</v>
      </c>
      <c r="M29" s="95" t="s">
        <v>24</v>
      </c>
      <c r="N29" s="128"/>
      <c r="O29" s="65"/>
      <c r="P29" s="81"/>
      <c r="Q29" s="23" t="str">
        <f t="shared" ca="1" si="1"/>
        <v>-</v>
      </c>
      <c r="R29" s="23"/>
    </row>
    <row r="30" spans="1:18" ht="24.75" customHeight="1">
      <c r="A30" s="118">
        <v>29</v>
      </c>
      <c r="B30" s="119" t="s">
        <v>858</v>
      </c>
      <c r="C30" s="120" t="s">
        <v>794</v>
      </c>
      <c r="D30" s="120" t="s">
        <v>19</v>
      </c>
      <c r="E30" s="120">
        <v>8</v>
      </c>
      <c r="F30" s="120">
        <v>21</v>
      </c>
      <c r="G30" s="94" t="s">
        <v>223</v>
      </c>
      <c r="H30" s="99" t="s">
        <v>859</v>
      </c>
      <c r="I30" s="122" t="s">
        <v>860</v>
      </c>
      <c r="J30" s="88" t="s">
        <v>861</v>
      </c>
      <c r="K30" s="123" t="str">
        <f t="shared" si="0"/>
        <v>E - 29</v>
      </c>
      <c r="L30" s="95"/>
      <c r="M30" s="95"/>
      <c r="N30" s="128"/>
      <c r="O30" s="65"/>
      <c r="P30" s="81">
        <v>45959</v>
      </c>
      <c r="Q30" s="23" t="str">
        <f t="shared" ca="1" si="1"/>
        <v>1 mes y 9 días</v>
      </c>
      <c r="R30" s="23"/>
    </row>
    <row r="31" spans="1:18" ht="24.75" customHeight="1">
      <c r="A31" s="24">
        <v>30</v>
      </c>
      <c r="B31" s="119" t="s">
        <v>858</v>
      </c>
      <c r="C31" s="120" t="s">
        <v>794</v>
      </c>
      <c r="D31" s="120" t="s">
        <v>26</v>
      </c>
      <c r="E31" s="120">
        <v>96.5</v>
      </c>
      <c r="F31" s="120">
        <v>21</v>
      </c>
      <c r="G31" s="15" t="s">
        <v>223</v>
      </c>
      <c r="H31" s="99" t="s">
        <v>859</v>
      </c>
      <c r="I31" s="122" t="s">
        <v>862</v>
      </c>
      <c r="J31" s="88" t="s">
        <v>861</v>
      </c>
      <c r="K31" s="123" t="str">
        <f t="shared" si="0"/>
        <v>E - 30</v>
      </c>
      <c r="L31" s="95" t="s">
        <v>368</v>
      </c>
      <c r="M31" s="95" t="s">
        <v>373</v>
      </c>
      <c r="N31" s="128"/>
      <c r="O31" s="65"/>
      <c r="P31" s="81">
        <v>45959</v>
      </c>
      <c r="Q31" s="23" t="str">
        <f t="shared" ca="1" si="1"/>
        <v>1 mes y 9 días</v>
      </c>
      <c r="R31" s="23"/>
    </row>
    <row r="32" spans="1:18" ht="24.75" customHeight="1">
      <c r="A32" s="118">
        <v>31</v>
      </c>
      <c r="B32" s="119" t="s">
        <v>863</v>
      </c>
      <c r="C32" s="120" t="s">
        <v>766</v>
      </c>
      <c r="D32" s="120" t="s">
        <v>26</v>
      </c>
      <c r="E32" s="120" t="s">
        <v>864</v>
      </c>
      <c r="F32" s="120">
        <v>40</v>
      </c>
      <c r="G32" s="15" t="s">
        <v>20</v>
      </c>
      <c r="H32" s="99" t="s">
        <v>865</v>
      </c>
      <c r="I32" s="122" t="s">
        <v>866</v>
      </c>
      <c r="J32" s="92"/>
      <c r="K32" s="123" t="str">
        <f t="shared" si="0"/>
        <v>E - 31</v>
      </c>
      <c r="L32" s="95" t="s">
        <v>23</v>
      </c>
      <c r="M32" s="95" t="s">
        <v>24</v>
      </c>
      <c r="N32" s="128"/>
      <c r="O32" s="65"/>
      <c r="P32" s="81"/>
      <c r="Q32" s="23" t="str">
        <f t="shared" ca="1" si="1"/>
        <v>-</v>
      </c>
      <c r="R32" s="23"/>
    </row>
    <row r="33" spans="1:18" ht="24.75" customHeight="1">
      <c r="A33" s="24">
        <v>32</v>
      </c>
      <c r="B33" s="119" t="s">
        <v>867</v>
      </c>
      <c r="C33" s="120" t="s">
        <v>760</v>
      </c>
      <c r="D33" s="120" t="s">
        <v>26</v>
      </c>
      <c r="E33" s="120" t="s">
        <v>868</v>
      </c>
      <c r="F33" s="120">
        <v>67</v>
      </c>
      <c r="G33" s="15" t="s">
        <v>20</v>
      </c>
      <c r="H33" s="99" t="s">
        <v>869</v>
      </c>
      <c r="I33" s="122" t="s">
        <v>870</v>
      </c>
      <c r="J33" s="92"/>
      <c r="K33" s="123" t="str">
        <f t="shared" si="0"/>
        <v>E - 32</v>
      </c>
      <c r="L33" s="95" t="s">
        <v>23</v>
      </c>
      <c r="M33" s="95" t="s">
        <v>24</v>
      </c>
      <c r="N33" s="128"/>
      <c r="O33" s="65"/>
      <c r="P33" s="81"/>
      <c r="Q33" s="23" t="str">
        <f t="shared" ca="1" si="1"/>
        <v>-</v>
      </c>
      <c r="R33" s="23"/>
    </row>
    <row r="34" spans="1:18" ht="24.75" customHeight="1">
      <c r="A34" s="118">
        <v>33</v>
      </c>
      <c r="B34" s="119" t="s">
        <v>871</v>
      </c>
      <c r="C34" s="120" t="s">
        <v>794</v>
      </c>
      <c r="D34" s="120" t="s">
        <v>26</v>
      </c>
      <c r="E34" s="120">
        <v>99.5</v>
      </c>
      <c r="F34" s="120">
        <v>93</v>
      </c>
      <c r="G34" s="15" t="s">
        <v>20</v>
      </c>
      <c r="H34" s="99" t="s">
        <v>872</v>
      </c>
      <c r="I34" s="130" t="s">
        <v>873</v>
      </c>
      <c r="J34" s="134"/>
      <c r="K34" s="123" t="str">
        <f t="shared" si="0"/>
        <v>E - 33</v>
      </c>
      <c r="L34" s="123"/>
      <c r="M34" s="123"/>
      <c r="N34" s="128"/>
      <c r="O34" s="65"/>
      <c r="P34" s="81"/>
      <c r="Q34" s="23" t="str">
        <f t="shared" ca="1" si="1"/>
        <v>-</v>
      </c>
      <c r="R34" s="23"/>
    </row>
    <row r="35" spans="1:18" ht="24.75" customHeight="1">
      <c r="A35" s="24">
        <v>34</v>
      </c>
      <c r="B35" s="119" t="s">
        <v>874</v>
      </c>
      <c r="C35" s="120" t="s">
        <v>875</v>
      </c>
      <c r="D35" s="120" t="s">
        <v>26</v>
      </c>
      <c r="E35" s="120" t="s">
        <v>876</v>
      </c>
      <c r="F35" s="120">
        <v>115</v>
      </c>
      <c r="G35" s="42" t="s">
        <v>20</v>
      </c>
      <c r="H35" s="99" t="s">
        <v>877</v>
      </c>
      <c r="I35" s="122" t="s">
        <v>782</v>
      </c>
      <c r="J35" s="92"/>
      <c r="K35" s="123" t="str">
        <f t="shared" si="0"/>
        <v>E - 34</v>
      </c>
      <c r="L35" s="123"/>
      <c r="M35" s="123"/>
      <c r="N35" s="128"/>
      <c r="O35" s="65"/>
      <c r="P35" s="81"/>
      <c r="Q35" s="23" t="str">
        <f t="shared" ca="1" si="1"/>
        <v>-</v>
      </c>
      <c r="R35" s="23"/>
    </row>
    <row r="36" spans="1:18" ht="24.75" customHeight="1">
      <c r="A36" s="118">
        <v>35</v>
      </c>
      <c r="B36" s="119" t="s">
        <v>878</v>
      </c>
      <c r="C36" s="120" t="s">
        <v>794</v>
      </c>
      <c r="D36" s="120" t="s">
        <v>19</v>
      </c>
      <c r="E36" s="120">
        <v>10</v>
      </c>
      <c r="F36" s="120">
        <v>124</v>
      </c>
      <c r="G36" s="15" t="s">
        <v>20</v>
      </c>
      <c r="H36" s="99" t="s">
        <v>879</v>
      </c>
      <c r="I36" s="130" t="s">
        <v>880</v>
      </c>
      <c r="J36" s="92"/>
      <c r="K36" s="123" t="str">
        <f t="shared" si="0"/>
        <v>E - 35</v>
      </c>
      <c r="L36" s="123"/>
      <c r="M36" s="123"/>
      <c r="N36" s="128"/>
      <c r="O36" s="65"/>
      <c r="P36" s="81"/>
      <c r="Q36" s="23" t="str">
        <f t="shared" ca="1" si="1"/>
        <v>-</v>
      </c>
      <c r="R36" s="23"/>
    </row>
    <row r="37" spans="1:18" ht="24.75" customHeight="1">
      <c r="A37" s="24">
        <v>36</v>
      </c>
      <c r="B37" s="119" t="s">
        <v>881</v>
      </c>
      <c r="C37" s="120" t="s">
        <v>760</v>
      </c>
      <c r="D37" s="120" t="s">
        <v>26</v>
      </c>
      <c r="E37" s="120" t="s">
        <v>784</v>
      </c>
      <c r="F37" s="120">
        <v>22</v>
      </c>
      <c r="G37" s="15" t="s">
        <v>20</v>
      </c>
      <c r="H37" s="99" t="s">
        <v>882</v>
      </c>
      <c r="I37" s="122" t="s">
        <v>880</v>
      </c>
      <c r="J37" s="92"/>
      <c r="K37" s="123" t="str">
        <f t="shared" si="0"/>
        <v>E - 36</v>
      </c>
      <c r="L37" s="123"/>
      <c r="M37" s="123"/>
      <c r="N37" s="128"/>
      <c r="O37" s="65"/>
      <c r="P37" s="81"/>
      <c r="Q37" s="23" t="str">
        <f t="shared" ca="1" si="1"/>
        <v>-</v>
      </c>
      <c r="R37" s="23"/>
    </row>
    <row r="38" spans="1:18" ht="24.75" customHeight="1">
      <c r="A38" s="118">
        <v>37</v>
      </c>
      <c r="B38" s="119" t="s">
        <v>883</v>
      </c>
      <c r="C38" s="120" t="s">
        <v>766</v>
      </c>
      <c r="D38" s="120" t="s">
        <v>26</v>
      </c>
      <c r="E38" s="120" t="s">
        <v>884</v>
      </c>
      <c r="F38" s="120">
        <v>125</v>
      </c>
      <c r="G38" s="15" t="s">
        <v>20</v>
      </c>
      <c r="H38" s="99" t="s">
        <v>885</v>
      </c>
      <c r="I38" s="122" t="s">
        <v>886</v>
      </c>
      <c r="J38" s="88" t="s">
        <v>887</v>
      </c>
      <c r="K38" s="123" t="str">
        <f t="shared" si="0"/>
        <v>E - 37</v>
      </c>
      <c r="L38" s="123"/>
      <c r="M38" s="123"/>
      <c r="N38" s="128"/>
      <c r="O38" s="65"/>
      <c r="P38" s="81"/>
      <c r="Q38" s="23" t="str">
        <f t="shared" ca="1" si="1"/>
        <v>-</v>
      </c>
      <c r="R38" s="23"/>
    </row>
    <row r="39" spans="1:18" ht="24.75" customHeight="1">
      <c r="A39" s="24">
        <v>38</v>
      </c>
      <c r="B39" s="119" t="s">
        <v>888</v>
      </c>
      <c r="C39" s="120" t="s">
        <v>766</v>
      </c>
      <c r="D39" s="120" t="s">
        <v>26</v>
      </c>
      <c r="E39" s="120" t="s">
        <v>889</v>
      </c>
      <c r="F39" s="120">
        <v>39</v>
      </c>
      <c r="G39" s="42" t="s">
        <v>20</v>
      </c>
      <c r="H39" s="99" t="s">
        <v>890</v>
      </c>
      <c r="I39" s="122" t="s">
        <v>891</v>
      </c>
      <c r="J39" s="88" t="s">
        <v>892</v>
      </c>
      <c r="K39" s="123" t="str">
        <f t="shared" si="0"/>
        <v>E - 38</v>
      </c>
      <c r="L39" s="123"/>
      <c r="M39" s="123"/>
      <c r="N39" s="128"/>
      <c r="O39" s="65"/>
      <c r="P39" s="81"/>
      <c r="Q39" s="23" t="str">
        <f t="shared" ca="1" si="1"/>
        <v>-</v>
      </c>
      <c r="R39" s="23"/>
    </row>
    <row r="40" spans="1:18" ht="24.75" customHeight="1">
      <c r="A40" s="118">
        <v>39</v>
      </c>
      <c r="B40" s="119" t="s">
        <v>893</v>
      </c>
      <c r="C40" s="120" t="s">
        <v>760</v>
      </c>
      <c r="D40" s="120" t="s">
        <v>26</v>
      </c>
      <c r="E40" s="120" t="s">
        <v>894</v>
      </c>
      <c r="F40" s="120">
        <v>67</v>
      </c>
      <c r="G40" s="94" t="s">
        <v>20</v>
      </c>
      <c r="H40" s="99" t="s">
        <v>895</v>
      </c>
      <c r="I40" s="122" t="s">
        <v>896</v>
      </c>
      <c r="J40" s="88"/>
      <c r="K40" s="123" t="str">
        <f t="shared" si="0"/>
        <v>E - 39</v>
      </c>
      <c r="L40" s="95"/>
      <c r="M40" s="95"/>
      <c r="N40" s="128"/>
      <c r="O40" s="65"/>
      <c r="P40" s="81"/>
      <c r="Q40" s="23" t="str">
        <f t="shared" ca="1" si="1"/>
        <v>-</v>
      </c>
      <c r="R40" s="23"/>
    </row>
    <row r="41" spans="1:18" ht="24.75" customHeight="1">
      <c r="A41" s="24">
        <v>40</v>
      </c>
      <c r="B41" s="119" t="s">
        <v>897</v>
      </c>
      <c r="C41" s="120" t="s">
        <v>794</v>
      </c>
      <c r="D41" s="120" t="s">
        <v>26</v>
      </c>
      <c r="E41" s="120" t="s">
        <v>898</v>
      </c>
      <c r="F41" s="120">
        <v>93</v>
      </c>
      <c r="G41" s="15" t="s">
        <v>20</v>
      </c>
      <c r="H41" s="99" t="s">
        <v>899</v>
      </c>
      <c r="I41" s="122" t="s">
        <v>873</v>
      </c>
      <c r="J41" s="92"/>
      <c r="K41" s="123" t="str">
        <f t="shared" si="0"/>
        <v>E - 40</v>
      </c>
      <c r="L41" s="123"/>
      <c r="M41" s="123"/>
      <c r="N41" s="128"/>
      <c r="O41" s="65"/>
      <c r="P41" s="81"/>
      <c r="Q41" s="23" t="str">
        <f t="shared" ca="1" si="1"/>
        <v>-</v>
      </c>
      <c r="R41" s="23"/>
    </row>
    <row r="42" spans="1:18" ht="24.75" customHeight="1">
      <c r="A42" s="118">
        <v>41</v>
      </c>
      <c r="B42" s="119" t="s">
        <v>900</v>
      </c>
      <c r="C42" s="120" t="s">
        <v>766</v>
      </c>
      <c r="D42" s="120" t="s">
        <v>26</v>
      </c>
      <c r="E42" s="120" t="s">
        <v>901</v>
      </c>
      <c r="F42" s="120">
        <v>39</v>
      </c>
      <c r="G42" s="15" t="s">
        <v>20</v>
      </c>
      <c r="H42" s="99" t="s">
        <v>902</v>
      </c>
      <c r="I42" s="122" t="s">
        <v>903</v>
      </c>
      <c r="J42" s="92"/>
      <c r="K42" s="123" t="str">
        <f t="shared" si="0"/>
        <v>E - 41</v>
      </c>
      <c r="L42" s="95"/>
      <c r="M42" s="95"/>
      <c r="N42" s="128"/>
      <c r="O42" s="65"/>
      <c r="P42" s="81"/>
      <c r="Q42" s="23" t="str">
        <f t="shared" ca="1" si="1"/>
        <v>-</v>
      </c>
      <c r="R42" s="23"/>
    </row>
    <row r="43" spans="1:18" ht="24.75" customHeight="1">
      <c r="A43" s="24">
        <v>42</v>
      </c>
      <c r="B43" s="119" t="s">
        <v>904</v>
      </c>
      <c r="C43" s="120" t="s">
        <v>779</v>
      </c>
      <c r="D43" s="120" t="s">
        <v>26</v>
      </c>
      <c r="E43" s="120" t="s">
        <v>905</v>
      </c>
      <c r="F43" s="120">
        <v>138</v>
      </c>
      <c r="G43" s="15" t="s">
        <v>20</v>
      </c>
      <c r="H43" s="99" t="s">
        <v>906</v>
      </c>
      <c r="I43" s="122" t="s">
        <v>907</v>
      </c>
      <c r="J43" s="88"/>
      <c r="K43" s="123" t="str">
        <f t="shared" si="0"/>
        <v>E - 42</v>
      </c>
      <c r="L43" s="123"/>
      <c r="M43" s="123"/>
      <c r="N43" s="128"/>
      <c r="O43" s="65"/>
      <c r="P43" s="81"/>
      <c r="Q43" s="23" t="str">
        <f t="shared" ca="1" si="1"/>
        <v>-</v>
      </c>
      <c r="R43" s="23"/>
    </row>
    <row r="44" spans="1:18" ht="24.75" customHeight="1">
      <c r="A44" s="118">
        <v>43</v>
      </c>
      <c r="B44" s="119" t="s">
        <v>908</v>
      </c>
      <c r="C44" s="120" t="s">
        <v>760</v>
      </c>
      <c r="D44" s="120" t="s">
        <v>19</v>
      </c>
      <c r="E44" s="120">
        <v>9</v>
      </c>
      <c r="F44" s="120">
        <v>67</v>
      </c>
      <c r="G44" s="15" t="s">
        <v>20</v>
      </c>
      <c r="H44" s="129" t="s">
        <v>909</v>
      </c>
      <c r="I44" s="122" t="s">
        <v>910</v>
      </c>
      <c r="J44" s="88"/>
      <c r="K44" s="123" t="str">
        <f t="shared" si="0"/>
        <v>E - 43</v>
      </c>
      <c r="L44" s="95"/>
      <c r="M44" s="95"/>
      <c r="N44" s="128"/>
      <c r="O44" s="65"/>
      <c r="P44" s="81"/>
      <c r="Q44" s="23" t="str">
        <f t="shared" ca="1" si="1"/>
        <v>-</v>
      </c>
      <c r="R44" s="23"/>
    </row>
    <row r="45" spans="1:18" ht="24.75" customHeight="1">
      <c r="A45" s="24">
        <v>44</v>
      </c>
      <c r="B45" s="119" t="s">
        <v>908</v>
      </c>
      <c r="C45" s="120" t="s">
        <v>760</v>
      </c>
      <c r="D45" s="120" t="s">
        <v>26</v>
      </c>
      <c r="E45" s="120" t="s">
        <v>911</v>
      </c>
      <c r="F45" s="120">
        <v>67</v>
      </c>
      <c r="G45" s="42" t="s">
        <v>20</v>
      </c>
      <c r="H45" s="135" t="s">
        <v>909</v>
      </c>
      <c r="I45" s="130" t="s">
        <v>912</v>
      </c>
      <c r="J45" s="92"/>
      <c r="K45" s="123" t="str">
        <f t="shared" si="0"/>
        <v>E - 44</v>
      </c>
      <c r="L45" s="95"/>
      <c r="M45" s="95"/>
      <c r="N45" s="128"/>
      <c r="O45" s="65"/>
      <c r="P45" s="81"/>
      <c r="Q45" s="23" t="str">
        <f t="shared" ca="1" si="1"/>
        <v>-</v>
      </c>
      <c r="R45" s="23"/>
    </row>
    <row r="46" spans="1:18" ht="24.75" customHeight="1">
      <c r="A46" s="118">
        <v>45</v>
      </c>
      <c r="B46" s="119" t="s">
        <v>794</v>
      </c>
      <c r="C46" s="120" t="s">
        <v>794</v>
      </c>
      <c r="D46" s="120" t="s">
        <v>31</v>
      </c>
      <c r="E46" s="120">
        <v>19</v>
      </c>
      <c r="F46" s="120">
        <v>21</v>
      </c>
      <c r="G46" s="42" t="s">
        <v>20</v>
      </c>
      <c r="H46" s="135" t="s">
        <v>913</v>
      </c>
      <c r="I46" s="130" t="s">
        <v>914</v>
      </c>
      <c r="J46" s="92"/>
      <c r="K46" s="123" t="str">
        <f t="shared" si="0"/>
        <v>E - 45</v>
      </c>
      <c r="L46" s="123"/>
      <c r="M46" s="123"/>
      <c r="N46" s="128"/>
      <c r="O46" s="65"/>
      <c r="P46" s="81"/>
      <c r="Q46" s="23" t="str">
        <f t="shared" ca="1" si="1"/>
        <v>-</v>
      </c>
      <c r="R46" s="23"/>
    </row>
    <row r="47" spans="1:18" ht="24.75" customHeight="1">
      <c r="A47" s="24">
        <v>46</v>
      </c>
      <c r="B47" s="119" t="s">
        <v>794</v>
      </c>
      <c r="C47" s="120" t="s">
        <v>794</v>
      </c>
      <c r="D47" s="120" t="s">
        <v>100</v>
      </c>
      <c r="E47" s="120">
        <v>1170</v>
      </c>
      <c r="F47" s="120">
        <v>21</v>
      </c>
      <c r="G47" s="42" t="s">
        <v>20</v>
      </c>
      <c r="H47" s="135" t="s">
        <v>913</v>
      </c>
      <c r="I47" s="122" t="s">
        <v>915</v>
      </c>
      <c r="J47" s="88"/>
      <c r="K47" s="123" t="str">
        <f t="shared" si="0"/>
        <v>E - 46</v>
      </c>
      <c r="L47" s="123"/>
      <c r="M47" s="123"/>
      <c r="N47" s="128"/>
      <c r="O47" s="65"/>
      <c r="P47" s="81"/>
      <c r="Q47" s="23" t="str">
        <f t="shared" ca="1" si="1"/>
        <v>-</v>
      </c>
      <c r="R47" s="23"/>
    </row>
    <row r="48" spans="1:18" ht="24.75" customHeight="1">
      <c r="A48" s="118">
        <v>47</v>
      </c>
      <c r="B48" s="119" t="s">
        <v>916</v>
      </c>
      <c r="C48" s="120" t="s">
        <v>779</v>
      </c>
      <c r="D48" s="120" t="s">
        <v>19</v>
      </c>
      <c r="E48" s="120">
        <v>6</v>
      </c>
      <c r="F48" s="120">
        <v>84</v>
      </c>
      <c r="G48" s="42" t="s">
        <v>20</v>
      </c>
      <c r="H48" s="135" t="s">
        <v>917</v>
      </c>
      <c r="I48" s="122" t="s">
        <v>782</v>
      </c>
      <c r="J48" s="88"/>
      <c r="K48" s="123" t="str">
        <f t="shared" si="0"/>
        <v>E - 47</v>
      </c>
      <c r="L48" s="123"/>
      <c r="M48" s="123"/>
      <c r="N48" s="128"/>
      <c r="O48" s="65"/>
      <c r="P48" s="81"/>
      <c r="Q48" s="23" t="str">
        <f t="shared" ca="1" si="1"/>
        <v>-</v>
      </c>
      <c r="R48" s="23"/>
    </row>
    <row r="49" spans="1:18" ht="24.75" customHeight="1">
      <c r="A49" s="24">
        <v>48</v>
      </c>
      <c r="B49" s="119" t="s">
        <v>916</v>
      </c>
      <c r="C49" s="120" t="s">
        <v>779</v>
      </c>
      <c r="D49" s="120" t="s">
        <v>26</v>
      </c>
      <c r="E49" s="120" t="s">
        <v>918</v>
      </c>
      <c r="F49" s="120">
        <v>84</v>
      </c>
      <c r="G49" s="42" t="s">
        <v>20</v>
      </c>
      <c r="H49" s="135" t="s">
        <v>917</v>
      </c>
      <c r="I49" s="130" t="s">
        <v>782</v>
      </c>
      <c r="J49" s="88"/>
      <c r="K49" s="123" t="str">
        <f t="shared" si="0"/>
        <v>E - 48</v>
      </c>
      <c r="L49" s="123"/>
      <c r="M49" s="123"/>
      <c r="N49" s="128"/>
      <c r="O49" s="65"/>
      <c r="P49" s="81"/>
      <c r="Q49" s="23" t="str">
        <f t="shared" ca="1" si="1"/>
        <v>-</v>
      </c>
      <c r="R49" s="23"/>
    </row>
    <row r="50" spans="1:18" ht="24.75" customHeight="1">
      <c r="A50" s="118">
        <v>49</v>
      </c>
      <c r="B50" s="119" t="s">
        <v>919</v>
      </c>
      <c r="C50" s="120" t="s">
        <v>794</v>
      </c>
      <c r="D50" s="120" t="s">
        <v>26</v>
      </c>
      <c r="E50" s="120" t="s">
        <v>920</v>
      </c>
      <c r="F50" s="120">
        <v>100</v>
      </c>
      <c r="G50" s="42" t="s">
        <v>20</v>
      </c>
      <c r="H50" s="135" t="s">
        <v>921</v>
      </c>
      <c r="I50" s="130" t="s">
        <v>922</v>
      </c>
      <c r="J50" s="92"/>
      <c r="K50" s="123" t="str">
        <f t="shared" si="0"/>
        <v>E - 49</v>
      </c>
      <c r="L50" s="95"/>
      <c r="M50" s="95"/>
      <c r="N50" s="128"/>
      <c r="O50" s="65"/>
      <c r="P50" s="81"/>
      <c r="Q50" s="23" t="str">
        <f t="shared" ca="1" si="1"/>
        <v>-</v>
      </c>
      <c r="R50" s="23"/>
    </row>
    <row r="51" spans="1:18" ht="24.75" customHeight="1">
      <c r="A51" s="24">
        <v>50</v>
      </c>
      <c r="B51" s="119" t="s">
        <v>923</v>
      </c>
      <c r="C51" s="120" t="s">
        <v>779</v>
      </c>
      <c r="D51" s="120" t="s">
        <v>26</v>
      </c>
      <c r="E51" s="120" t="s">
        <v>894</v>
      </c>
      <c r="F51" s="120">
        <v>31</v>
      </c>
      <c r="G51" s="42" t="s">
        <v>20</v>
      </c>
      <c r="H51" s="135" t="s">
        <v>924</v>
      </c>
      <c r="I51" s="122" t="s">
        <v>782</v>
      </c>
      <c r="J51" s="88"/>
      <c r="K51" s="123" t="str">
        <f t="shared" si="0"/>
        <v>E - 50</v>
      </c>
      <c r="L51" s="123"/>
      <c r="M51" s="123"/>
      <c r="N51" s="128"/>
      <c r="O51" s="65"/>
      <c r="P51" s="81"/>
      <c r="Q51" s="23" t="str">
        <f t="shared" ca="1" si="1"/>
        <v>-</v>
      </c>
      <c r="R51" s="23"/>
    </row>
    <row r="52" spans="1:18" ht="24.75" customHeight="1">
      <c r="A52" s="118">
        <v>51</v>
      </c>
      <c r="B52" s="119" t="s">
        <v>925</v>
      </c>
      <c r="C52" s="120" t="s">
        <v>760</v>
      </c>
      <c r="D52" s="120" t="s">
        <v>26</v>
      </c>
      <c r="E52" s="120" t="s">
        <v>816</v>
      </c>
      <c r="F52" s="120">
        <v>22</v>
      </c>
      <c r="G52" s="42" t="s">
        <v>20</v>
      </c>
      <c r="H52" s="135" t="s">
        <v>926</v>
      </c>
      <c r="I52" s="122" t="s">
        <v>880</v>
      </c>
      <c r="J52" s="92"/>
      <c r="K52" s="123" t="str">
        <f t="shared" si="0"/>
        <v>E - 51</v>
      </c>
      <c r="L52" s="123"/>
      <c r="M52" s="123"/>
      <c r="N52" s="128"/>
      <c r="O52" s="65"/>
      <c r="P52" s="81"/>
      <c r="Q52" s="23" t="str">
        <f t="shared" ca="1" si="1"/>
        <v>-</v>
      </c>
      <c r="R52" s="23"/>
    </row>
    <row r="53" spans="1:18" ht="24.75" customHeight="1">
      <c r="A53" s="24">
        <v>52</v>
      </c>
      <c r="B53" s="119" t="s">
        <v>927</v>
      </c>
      <c r="C53" s="120" t="s">
        <v>794</v>
      </c>
      <c r="D53" s="120" t="s">
        <v>26</v>
      </c>
      <c r="E53" s="120" t="s">
        <v>928</v>
      </c>
      <c r="F53" s="120">
        <v>21</v>
      </c>
      <c r="G53" s="42" t="s">
        <v>20</v>
      </c>
      <c r="H53" s="135" t="s">
        <v>929</v>
      </c>
      <c r="I53" s="122" t="s">
        <v>930</v>
      </c>
      <c r="J53" s="92"/>
      <c r="K53" s="123" t="str">
        <f t="shared" si="0"/>
        <v>E - 52</v>
      </c>
      <c r="L53" s="123"/>
      <c r="M53" s="123"/>
      <c r="N53" s="128"/>
      <c r="O53" s="65"/>
      <c r="P53" s="81"/>
      <c r="Q53" s="23" t="str">
        <f t="shared" ca="1" si="1"/>
        <v>-</v>
      </c>
      <c r="R53" s="23"/>
    </row>
    <row r="54" spans="1:18" ht="24.75" customHeight="1">
      <c r="A54" s="118">
        <v>53</v>
      </c>
      <c r="B54" s="119" t="s">
        <v>931</v>
      </c>
      <c r="C54" s="120" t="s">
        <v>766</v>
      </c>
      <c r="D54" s="120" t="s">
        <v>26</v>
      </c>
      <c r="E54" s="120" t="s">
        <v>825</v>
      </c>
      <c r="F54" s="120">
        <v>39</v>
      </c>
      <c r="G54" s="42" t="s">
        <v>20</v>
      </c>
      <c r="H54" s="135" t="s">
        <v>932</v>
      </c>
      <c r="I54" s="122" t="s">
        <v>933</v>
      </c>
      <c r="J54" s="88"/>
      <c r="K54" s="123" t="str">
        <f t="shared" si="0"/>
        <v>E - 53</v>
      </c>
      <c r="L54" s="95" t="s">
        <v>23</v>
      </c>
      <c r="M54" s="95" t="s">
        <v>24</v>
      </c>
      <c r="N54" s="128"/>
      <c r="O54" s="65"/>
      <c r="P54" s="81"/>
      <c r="Q54" s="23" t="str">
        <f t="shared" ca="1" si="1"/>
        <v>-</v>
      </c>
      <c r="R54" s="23"/>
    </row>
    <row r="55" spans="1:18" ht="24.75" customHeight="1">
      <c r="A55" s="24">
        <v>54</v>
      </c>
      <c r="B55" s="119" t="s">
        <v>934</v>
      </c>
      <c r="C55" s="120" t="s">
        <v>771</v>
      </c>
      <c r="D55" s="120" t="s">
        <v>19</v>
      </c>
      <c r="E55" s="120">
        <v>9</v>
      </c>
      <c r="F55" s="120">
        <v>131</v>
      </c>
      <c r="G55" s="42" t="s">
        <v>20</v>
      </c>
      <c r="H55" s="135" t="s">
        <v>935</v>
      </c>
      <c r="I55" s="122" t="s">
        <v>936</v>
      </c>
      <c r="J55" s="136"/>
      <c r="K55" s="123" t="str">
        <f t="shared" si="0"/>
        <v>E - 54</v>
      </c>
      <c r="L55" s="95" t="s">
        <v>23</v>
      </c>
      <c r="M55" s="95" t="s">
        <v>24</v>
      </c>
      <c r="N55" s="128"/>
      <c r="O55" s="65"/>
      <c r="P55" s="81"/>
      <c r="Q55" s="23" t="str">
        <f t="shared" ca="1" si="1"/>
        <v>-</v>
      </c>
      <c r="R55" s="23"/>
    </row>
    <row r="56" spans="1:18" ht="24.75" customHeight="1">
      <c r="A56" s="118">
        <v>55</v>
      </c>
      <c r="B56" s="119" t="s">
        <v>937</v>
      </c>
      <c r="C56" s="120" t="s">
        <v>771</v>
      </c>
      <c r="D56" s="120" t="s">
        <v>26</v>
      </c>
      <c r="E56" s="120" t="s">
        <v>938</v>
      </c>
      <c r="F56" s="120">
        <v>34</v>
      </c>
      <c r="G56" s="42" t="s">
        <v>20</v>
      </c>
      <c r="H56" s="126" t="s">
        <v>939</v>
      </c>
      <c r="I56" s="122" t="s">
        <v>940</v>
      </c>
      <c r="J56" s="92"/>
      <c r="K56" s="123" t="str">
        <f t="shared" si="0"/>
        <v>E - 55</v>
      </c>
      <c r="L56" s="123"/>
      <c r="M56" s="123"/>
      <c r="N56" s="128"/>
      <c r="O56" s="65"/>
      <c r="P56" s="81"/>
      <c r="Q56" s="23" t="str">
        <f t="shared" ca="1" si="1"/>
        <v>-</v>
      </c>
      <c r="R56" s="23"/>
    </row>
    <row r="57" spans="1:18" ht="24.75" customHeight="1">
      <c r="A57" s="24">
        <v>56</v>
      </c>
      <c r="B57" s="119" t="s">
        <v>937</v>
      </c>
      <c r="C57" s="120" t="s">
        <v>771</v>
      </c>
      <c r="D57" s="120" t="s">
        <v>19</v>
      </c>
      <c r="E57" s="120">
        <v>4</v>
      </c>
      <c r="F57" s="120">
        <v>34</v>
      </c>
      <c r="G57" s="42" t="s">
        <v>20</v>
      </c>
      <c r="H57" s="126" t="s">
        <v>939</v>
      </c>
      <c r="I57" s="122" t="s">
        <v>940</v>
      </c>
      <c r="J57" s="92"/>
      <c r="K57" s="123" t="str">
        <f t="shared" si="0"/>
        <v>E - 56</v>
      </c>
      <c r="L57" s="123"/>
      <c r="M57" s="123"/>
      <c r="N57" s="128"/>
      <c r="O57" s="65"/>
      <c r="P57" s="81"/>
      <c r="Q57" s="23" t="str">
        <f t="shared" ca="1" si="1"/>
        <v>-</v>
      </c>
      <c r="R57" s="23"/>
    </row>
    <row r="58" spans="1:18" ht="24.75" customHeight="1">
      <c r="A58" s="118">
        <v>57</v>
      </c>
      <c r="B58" s="119" t="s">
        <v>875</v>
      </c>
      <c r="C58" s="120" t="s">
        <v>875</v>
      </c>
      <c r="D58" s="120" t="s">
        <v>26</v>
      </c>
      <c r="E58" s="120" t="s">
        <v>941</v>
      </c>
      <c r="F58" s="120">
        <v>19</v>
      </c>
      <c r="G58" s="42" t="s">
        <v>20</v>
      </c>
      <c r="H58" s="135" t="s">
        <v>942</v>
      </c>
      <c r="I58" s="122" t="s">
        <v>943</v>
      </c>
      <c r="J58" s="92"/>
      <c r="K58" s="123" t="str">
        <f t="shared" si="0"/>
        <v>E - 57</v>
      </c>
      <c r="L58" s="123"/>
      <c r="M58" s="123"/>
      <c r="N58" s="128"/>
      <c r="O58" s="65"/>
      <c r="P58" s="81"/>
      <c r="Q58" s="23" t="str">
        <f t="shared" ca="1" si="1"/>
        <v>-</v>
      </c>
      <c r="R58" s="23"/>
    </row>
    <row r="59" spans="1:18" ht="24.75" customHeight="1">
      <c r="A59" s="24">
        <v>58</v>
      </c>
      <c r="B59" s="119" t="s">
        <v>944</v>
      </c>
      <c r="C59" s="120" t="s">
        <v>875</v>
      </c>
      <c r="D59" s="120" t="s">
        <v>31</v>
      </c>
      <c r="E59" s="120">
        <v>49</v>
      </c>
      <c r="F59" s="120">
        <v>19</v>
      </c>
      <c r="G59" s="42" t="s">
        <v>20</v>
      </c>
      <c r="H59" s="135" t="s">
        <v>942</v>
      </c>
      <c r="I59" s="122" t="s">
        <v>943</v>
      </c>
      <c r="J59" s="92"/>
      <c r="K59" s="123" t="str">
        <f t="shared" si="0"/>
        <v>E - 58</v>
      </c>
      <c r="L59" s="123"/>
      <c r="M59" s="123"/>
      <c r="N59" s="128"/>
      <c r="O59" s="65"/>
      <c r="P59" s="81"/>
      <c r="Q59" s="23" t="str">
        <f t="shared" ca="1" si="1"/>
        <v>-</v>
      </c>
      <c r="R59" s="23"/>
    </row>
    <row r="60" spans="1:18" ht="24.75" customHeight="1">
      <c r="A60" s="118">
        <v>59</v>
      </c>
      <c r="B60" s="119" t="s">
        <v>945</v>
      </c>
      <c r="C60" s="120" t="s">
        <v>946</v>
      </c>
      <c r="D60" s="120" t="s">
        <v>26</v>
      </c>
      <c r="E60" s="120" t="s">
        <v>947</v>
      </c>
      <c r="F60" s="120">
        <v>94</v>
      </c>
      <c r="G60" s="42" t="s">
        <v>20</v>
      </c>
      <c r="H60" s="135" t="s">
        <v>948</v>
      </c>
      <c r="I60" s="122" t="s">
        <v>853</v>
      </c>
      <c r="J60" s="88"/>
      <c r="K60" s="123" t="str">
        <f t="shared" si="0"/>
        <v>E - 59</v>
      </c>
      <c r="L60" s="123"/>
      <c r="M60" s="123"/>
      <c r="N60" s="128"/>
      <c r="O60" s="65"/>
      <c r="P60" s="81"/>
      <c r="Q60" s="23" t="str">
        <f t="shared" ca="1" si="1"/>
        <v>-</v>
      </c>
      <c r="R60" s="23"/>
    </row>
    <row r="61" spans="1:18" ht="24.75" customHeight="1">
      <c r="A61" s="24">
        <v>60</v>
      </c>
      <c r="B61" s="119" t="s">
        <v>949</v>
      </c>
      <c r="C61" s="120" t="s">
        <v>779</v>
      </c>
      <c r="D61" s="120" t="s">
        <v>26</v>
      </c>
      <c r="E61" s="120" t="s">
        <v>829</v>
      </c>
      <c r="F61" s="120">
        <v>84</v>
      </c>
      <c r="G61" s="42" t="s">
        <v>20</v>
      </c>
      <c r="H61" s="135" t="s">
        <v>950</v>
      </c>
      <c r="I61" s="122" t="s">
        <v>951</v>
      </c>
      <c r="J61" s="88"/>
      <c r="K61" s="123" t="str">
        <f t="shared" si="0"/>
        <v>E - 60</v>
      </c>
      <c r="L61" s="123"/>
      <c r="M61" s="123"/>
      <c r="N61" s="128"/>
      <c r="O61" s="65"/>
      <c r="P61" s="81"/>
      <c r="Q61" s="23" t="str">
        <f t="shared" ca="1" si="1"/>
        <v>-</v>
      </c>
      <c r="R61" s="23"/>
    </row>
    <row r="62" spans="1:18" ht="24.75" customHeight="1">
      <c r="A62" s="118">
        <v>61</v>
      </c>
      <c r="B62" s="119" t="s">
        <v>952</v>
      </c>
      <c r="C62" s="120" t="s">
        <v>946</v>
      </c>
      <c r="D62" s="120" t="s">
        <v>26</v>
      </c>
      <c r="E62" s="120" t="s">
        <v>953</v>
      </c>
      <c r="F62" s="120">
        <v>137</v>
      </c>
      <c r="G62" s="42" t="s">
        <v>20</v>
      </c>
      <c r="H62" s="135" t="s">
        <v>954</v>
      </c>
      <c r="I62" s="122" t="s">
        <v>955</v>
      </c>
      <c r="J62" s="92"/>
      <c r="K62" s="123" t="str">
        <f t="shared" si="0"/>
        <v>E - 61</v>
      </c>
      <c r="L62" s="95"/>
      <c r="M62" s="95"/>
      <c r="N62" s="128"/>
      <c r="O62" s="65"/>
      <c r="P62" s="81"/>
      <c r="Q62" s="23" t="str">
        <f t="shared" ca="1" si="1"/>
        <v>-</v>
      </c>
      <c r="R62" s="23"/>
    </row>
    <row r="63" spans="1:18" ht="24.75" customHeight="1">
      <c r="A63" s="24">
        <v>62</v>
      </c>
      <c r="B63" s="119" t="s">
        <v>956</v>
      </c>
      <c r="C63" s="120" t="s">
        <v>771</v>
      </c>
      <c r="D63" s="120" t="s">
        <v>26</v>
      </c>
      <c r="E63" s="120" t="s">
        <v>957</v>
      </c>
      <c r="F63" s="120">
        <v>34</v>
      </c>
      <c r="G63" s="42" t="s">
        <v>20</v>
      </c>
      <c r="H63" s="135" t="s">
        <v>958</v>
      </c>
      <c r="I63" s="122" t="s">
        <v>940</v>
      </c>
      <c r="J63" s="92"/>
      <c r="K63" s="123" t="str">
        <f t="shared" si="0"/>
        <v>E - 62</v>
      </c>
      <c r="L63" s="123"/>
      <c r="M63" s="123"/>
      <c r="N63" s="128"/>
      <c r="O63" s="65"/>
      <c r="P63" s="81"/>
      <c r="Q63" s="23" t="str">
        <f t="shared" ca="1" si="1"/>
        <v>-</v>
      </c>
      <c r="R63" s="23"/>
    </row>
    <row r="64" spans="1:18" ht="24.75" customHeight="1">
      <c r="A64" s="118">
        <v>63</v>
      </c>
      <c r="B64" s="119" t="s">
        <v>959</v>
      </c>
      <c r="C64" s="120" t="s">
        <v>794</v>
      </c>
      <c r="D64" s="120" t="s">
        <v>26</v>
      </c>
      <c r="E64" s="120" t="s">
        <v>960</v>
      </c>
      <c r="F64" s="120">
        <v>92</v>
      </c>
      <c r="G64" s="42" t="s">
        <v>20</v>
      </c>
      <c r="H64" s="135" t="s">
        <v>961</v>
      </c>
      <c r="I64" s="122" t="s">
        <v>962</v>
      </c>
      <c r="J64" s="137"/>
      <c r="K64" s="123" t="str">
        <f t="shared" si="0"/>
        <v>E - 63</v>
      </c>
      <c r="L64" s="95"/>
      <c r="M64" s="95"/>
      <c r="N64" s="128"/>
      <c r="O64" s="65"/>
      <c r="P64" s="81"/>
      <c r="Q64" s="23" t="str">
        <f t="shared" ca="1" si="1"/>
        <v>-</v>
      </c>
      <c r="R64" s="23"/>
    </row>
    <row r="65" spans="1:18" ht="24.75" customHeight="1">
      <c r="A65" s="24">
        <v>64</v>
      </c>
      <c r="B65" s="119" t="s">
        <v>963</v>
      </c>
      <c r="C65" s="120" t="s">
        <v>779</v>
      </c>
      <c r="D65" s="120" t="s">
        <v>19</v>
      </c>
      <c r="E65" s="120">
        <v>13</v>
      </c>
      <c r="F65" s="120">
        <v>84</v>
      </c>
      <c r="G65" s="42" t="s">
        <v>223</v>
      </c>
      <c r="H65" s="135" t="s">
        <v>964</v>
      </c>
      <c r="I65" s="122" t="s">
        <v>965</v>
      </c>
      <c r="J65" s="88" t="s">
        <v>966</v>
      </c>
      <c r="K65" s="123" t="str">
        <f t="shared" si="0"/>
        <v>E - 64</v>
      </c>
      <c r="L65" s="95" t="s">
        <v>23</v>
      </c>
      <c r="M65" s="95" t="s">
        <v>24</v>
      </c>
      <c r="N65" s="128"/>
      <c r="O65" s="65"/>
      <c r="P65" s="81">
        <v>45978</v>
      </c>
      <c r="Q65" s="23" t="str">
        <f t="shared" ca="1" si="1"/>
        <v>21 días</v>
      </c>
      <c r="R65" s="23"/>
    </row>
    <row r="66" spans="1:18" ht="24.75" customHeight="1">
      <c r="A66" s="118">
        <v>65</v>
      </c>
      <c r="B66" s="119" t="s">
        <v>963</v>
      </c>
      <c r="C66" s="120" t="s">
        <v>779</v>
      </c>
      <c r="D66" s="120" t="s">
        <v>26</v>
      </c>
      <c r="E66" s="120" t="s">
        <v>928</v>
      </c>
      <c r="F66" s="120">
        <v>84</v>
      </c>
      <c r="G66" s="42" t="s">
        <v>20</v>
      </c>
      <c r="H66" s="135" t="s">
        <v>964</v>
      </c>
      <c r="I66" s="122" t="s">
        <v>967</v>
      </c>
      <c r="J66" s="88" t="s">
        <v>968</v>
      </c>
      <c r="K66" s="123" t="str">
        <f t="shared" si="0"/>
        <v>E - 65</v>
      </c>
      <c r="L66" s="95" t="s">
        <v>23</v>
      </c>
      <c r="M66" s="95" t="s">
        <v>24</v>
      </c>
      <c r="N66" s="128"/>
      <c r="O66" s="65"/>
      <c r="P66" s="81">
        <v>45978</v>
      </c>
      <c r="Q66" s="23" t="str">
        <f t="shared" ca="1" si="1"/>
        <v>21 días</v>
      </c>
      <c r="R66" s="23"/>
    </row>
    <row r="67" spans="1:18" ht="24.75" customHeight="1">
      <c r="A67" s="24">
        <v>66</v>
      </c>
      <c r="B67" s="119" t="s">
        <v>969</v>
      </c>
      <c r="C67" s="120" t="s">
        <v>779</v>
      </c>
      <c r="D67" s="120" t="s">
        <v>26</v>
      </c>
      <c r="E67" s="120" t="s">
        <v>970</v>
      </c>
      <c r="F67" s="120">
        <v>31</v>
      </c>
      <c r="G67" s="42" t="s">
        <v>20</v>
      </c>
      <c r="H67" s="135" t="s">
        <v>971</v>
      </c>
      <c r="I67" s="130" t="s">
        <v>782</v>
      </c>
      <c r="J67" s="88"/>
      <c r="K67" s="123" t="str">
        <f t="shared" si="0"/>
        <v>E - 66</v>
      </c>
      <c r="L67" s="123"/>
      <c r="M67" s="123"/>
      <c r="N67" s="128"/>
      <c r="O67" s="65"/>
      <c r="P67" s="81"/>
      <c r="Q67" s="23" t="str">
        <f t="shared" ca="1" si="1"/>
        <v>-</v>
      </c>
      <c r="R67" s="23"/>
    </row>
    <row r="68" spans="1:18" ht="24.75" customHeight="1">
      <c r="A68" s="118">
        <v>67</v>
      </c>
      <c r="B68" s="119" t="s">
        <v>972</v>
      </c>
      <c r="C68" s="120" t="s">
        <v>760</v>
      </c>
      <c r="D68" s="120" t="s">
        <v>26</v>
      </c>
      <c r="E68" s="120" t="s">
        <v>973</v>
      </c>
      <c r="F68" s="120">
        <v>22</v>
      </c>
      <c r="G68" s="42" t="s">
        <v>20</v>
      </c>
      <c r="H68" s="135" t="s">
        <v>974</v>
      </c>
      <c r="I68" s="122" t="s">
        <v>880</v>
      </c>
      <c r="J68" s="92"/>
      <c r="K68" s="123" t="str">
        <f t="shared" si="0"/>
        <v>E - 67</v>
      </c>
      <c r="L68" s="123"/>
      <c r="M68" s="123"/>
      <c r="N68" s="128"/>
      <c r="O68" s="65"/>
      <c r="P68" s="81"/>
      <c r="Q68" s="23" t="str">
        <f t="shared" ca="1" si="1"/>
        <v>-</v>
      </c>
      <c r="R68" s="23"/>
    </row>
    <row r="69" spans="1:18" ht="24.75" customHeight="1">
      <c r="A69" s="24">
        <v>68</v>
      </c>
      <c r="B69" s="124" t="s">
        <v>975</v>
      </c>
      <c r="C69" s="120" t="s">
        <v>794</v>
      </c>
      <c r="D69" s="120" t="s">
        <v>26</v>
      </c>
      <c r="E69" s="120" t="s">
        <v>894</v>
      </c>
      <c r="F69" s="120">
        <v>92</v>
      </c>
      <c r="G69" s="42" t="s">
        <v>20</v>
      </c>
      <c r="H69" s="135" t="s">
        <v>976</v>
      </c>
      <c r="I69" s="122" t="s">
        <v>977</v>
      </c>
      <c r="J69" s="88"/>
      <c r="K69" s="123" t="str">
        <f t="shared" si="0"/>
        <v>E - 68</v>
      </c>
      <c r="L69" s="95"/>
      <c r="M69" s="95"/>
      <c r="N69" s="128"/>
      <c r="O69" s="65"/>
      <c r="P69" s="81"/>
      <c r="Q69" s="23" t="str">
        <f t="shared" ca="1" si="1"/>
        <v>-</v>
      </c>
      <c r="R69" s="23"/>
    </row>
    <row r="70" spans="1:18" ht="24.75" customHeight="1">
      <c r="A70" s="118">
        <v>69</v>
      </c>
      <c r="B70" s="119" t="s">
        <v>978</v>
      </c>
      <c r="C70" s="120" t="s">
        <v>794</v>
      </c>
      <c r="D70" s="120" t="s">
        <v>19</v>
      </c>
      <c r="E70" s="120">
        <v>9</v>
      </c>
      <c r="F70" s="120">
        <v>21</v>
      </c>
      <c r="G70" s="42" t="s">
        <v>20</v>
      </c>
      <c r="H70" s="135" t="s">
        <v>979</v>
      </c>
      <c r="I70" s="130" t="s">
        <v>980</v>
      </c>
      <c r="J70" s="92"/>
      <c r="K70" s="123" t="str">
        <f t="shared" si="0"/>
        <v>E - 69</v>
      </c>
      <c r="L70" s="123"/>
      <c r="M70" s="123"/>
      <c r="N70" s="128"/>
      <c r="O70" s="65"/>
      <c r="P70" s="81"/>
      <c r="Q70" s="23" t="str">
        <f t="shared" ca="1" si="1"/>
        <v>-</v>
      </c>
      <c r="R70" s="23"/>
    </row>
    <row r="71" spans="1:18" ht="24.75" customHeight="1">
      <c r="A71" s="24">
        <v>70</v>
      </c>
      <c r="B71" s="119" t="s">
        <v>978</v>
      </c>
      <c r="C71" s="120" t="s">
        <v>794</v>
      </c>
      <c r="D71" s="120" t="s">
        <v>26</v>
      </c>
      <c r="E71" s="120" t="s">
        <v>981</v>
      </c>
      <c r="F71" s="120">
        <v>21</v>
      </c>
      <c r="G71" s="42" t="s">
        <v>20</v>
      </c>
      <c r="H71" s="135" t="s">
        <v>979</v>
      </c>
      <c r="I71" s="122" t="s">
        <v>982</v>
      </c>
      <c r="J71" s="92"/>
      <c r="K71" s="123" t="str">
        <f t="shared" si="0"/>
        <v>E - 70</v>
      </c>
      <c r="L71" s="123"/>
      <c r="M71" s="123"/>
      <c r="N71" s="128"/>
      <c r="O71" s="65"/>
      <c r="P71" s="81"/>
      <c r="Q71" s="23" t="str">
        <f t="shared" ca="1" si="1"/>
        <v>-</v>
      </c>
      <c r="R71" s="23"/>
    </row>
    <row r="72" spans="1:18" ht="24.75" customHeight="1">
      <c r="A72" s="118">
        <v>71</v>
      </c>
      <c r="B72" s="119" t="s">
        <v>983</v>
      </c>
      <c r="C72" s="120" t="s">
        <v>766</v>
      </c>
      <c r="D72" s="120" t="s">
        <v>26</v>
      </c>
      <c r="E72" s="120" t="s">
        <v>864</v>
      </c>
      <c r="F72" s="120">
        <v>3</v>
      </c>
      <c r="G72" s="42" t="s">
        <v>20</v>
      </c>
      <c r="H72" s="135" t="s">
        <v>984</v>
      </c>
      <c r="I72" s="122" t="s">
        <v>985</v>
      </c>
      <c r="J72" s="92"/>
      <c r="K72" s="123" t="str">
        <f t="shared" si="0"/>
        <v>E - 71</v>
      </c>
      <c r="L72" s="123"/>
      <c r="M72" s="123"/>
      <c r="N72" s="128"/>
      <c r="O72" s="65"/>
      <c r="P72" s="81"/>
      <c r="Q72" s="23" t="str">
        <f t="shared" ca="1" si="1"/>
        <v>-</v>
      </c>
      <c r="R72" s="23"/>
    </row>
    <row r="73" spans="1:18" ht="24.75" customHeight="1">
      <c r="A73" s="24">
        <v>72</v>
      </c>
      <c r="B73" s="119" t="s">
        <v>986</v>
      </c>
      <c r="C73" s="120" t="s">
        <v>771</v>
      </c>
      <c r="D73" s="120" t="s">
        <v>26</v>
      </c>
      <c r="E73" s="120" t="s">
        <v>973</v>
      </c>
      <c r="F73" s="120">
        <v>131</v>
      </c>
      <c r="G73" s="42" t="s">
        <v>20</v>
      </c>
      <c r="H73" s="135" t="s">
        <v>987</v>
      </c>
      <c r="I73" s="122" t="s">
        <v>988</v>
      </c>
      <c r="J73" s="92"/>
      <c r="K73" s="123" t="str">
        <f t="shared" si="0"/>
        <v>E - 72</v>
      </c>
      <c r="L73" s="95"/>
      <c r="M73" s="95"/>
      <c r="N73" s="128"/>
      <c r="O73" s="65"/>
      <c r="P73" s="81"/>
      <c r="Q73" s="23" t="str">
        <f t="shared" ca="1" si="1"/>
        <v>-</v>
      </c>
      <c r="R73" s="23"/>
    </row>
    <row r="74" spans="1:18" ht="24.75" customHeight="1">
      <c r="A74" s="118">
        <v>73</v>
      </c>
      <c r="B74" s="119" t="s">
        <v>986</v>
      </c>
      <c r="C74" s="120" t="s">
        <v>771</v>
      </c>
      <c r="D74" s="120" t="s">
        <v>19</v>
      </c>
      <c r="E74" s="120">
        <v>9</v>
      </c>
      <c r="F74" s="120">
        <v>131</v>
      </c>
      <c r="G74" s="45" t="s">
        <v>223</v>
      </c>
      <c r="H74" s="135" t="s">
        <v>987</v>
      </c>
      <c r="I74" s="122" t="s">
        <v>989</v>
      </c>
      <c r="J74" s="88" t="s">
        <v>990</v>
      </c>
      <c r="K74" s="123" t="str">
        <f t="shared" si="0"/>
        <v>E - 73</v>
      </c>
      <c r="L74" s="95" t="s">
        <v>23</v>
      </c>
      <c r="M74" s="95" t="s">
        <v>24</v>
      </c>
      <c r="N74" s="128"/>
      <c r="O74" s="65"/>
      <c r="P74" s="81">
        <v>45925</v>
      </c>
      <c r="Q74" s="23" t="str">
        <f t="shared" ca="1" si="1"/>
        <v>2 meses y 13 días</v>
      </c>
      <c r="R74" s="23"/>
    </row>
    <row r="75" spans="1:18" ht="24.75" customHeight="1">
      <c r="A75" s="24">
        <v>74</v>
      </c>
      <c r="B75" s="119" t="s">
        <v>991</v>
      </c>
      <c r="C75" s="120" t="s">
        <v>794</v>
      </c>
      <c r="D75" s="120" t="s">
        <v>19</v>
      </c>
      <c r="E75" s="120">
        <v>10</v>
      </c>
      <c r="F75" s="120">
        <v>124</v>
      </c>
      <c r="G75" s="42" t="s">
        <v>20</v>
      </c>
      <c r="H75" s="135" t="s">
        <v>992</v>
      </c>
      <c r="I75" s="122" t="s">
        <v>880</v>
      </c>
      <c r="J75" s="88" t="s">
        <v>993</v>
      </c>
      <c r="K75" s="123" t="str">
        <f t="shared" si="0"/>
        <v>E - 74</v>
      </c>
      <c r="L75" s="123"/>
      <c r="M75" s="123"/>
      <c r="N75" s="128"/>
      <c r="O75" s="65"/>
      <c r="P75" s="81"/>
      <c r="Q75" s="23" t="str">
        <f t="shared" ca="1" si="1"/>
        <v>-</v>
      </c>
      <c r="R75" s="23"/>
    </row>
    <row r="76" spans="1:18" ht="24.75" customHeight="1">
      <c r="A76" s="118">
        <v>75</v>
      </c>
      <c r="B76" s="119" t="s">
        <v>994</v>
      </c>
      <c r="C76" s="120" t="s">
        <v>760</v>
      </c>
      <c r="D76" s="120" t="s">
        <v>26</v>
      </c>
      <c r="E76" s="120" t="s">
        <v>960</v>
      </c>
      <c r="F76" s="120">
        <v>67</v>
      </c>
      <c r="G76" s="42" t="s">
        <v>20</v>
      </c>
      <c r="H76" s="135" t="s">
        <v>995</v>
      </c>
      <c r="I76" s="122" t="s">
        <v>996</v>
      </c>
      <c r="J76" s="92"/>
      <c r="K76" s="123" t="str">
        <f t="shared" si="0"/>
        <v>E - 75</v>
      </c>
      <c r="L76" s="123"/>
      <c r="M76" s="123"/>
      <c r="N76" s="128"/>
      <c r="O76" s="65"/>
      <c r="P76" s="81"/>
      <c r="Q76" s="23" t="str">
        <f t="shared" ca="1" si="1"/>
        <v>-</v>
      </c>
      <c r="R76" s="23"/>
    </row>
    <row r="77" spans="1:18" ht="24.75" customHeight="1">
      <c r="A77" s="24">
        <v>76</v>
      </c>
      <c r="B77" s="119" t="s">
        <v>997</v>
      </c>
      <c r="C77" s="120" t="s">
        <v>850</v>
      </c>
      <c r="D77" s="120" t="s">
        <v>19</v>
      </c>
      <c r="E77" s="120">
        <v>9</v>
      </c>
      <c r="F77" s="120">
        <v>38</v>
      </c>
      <c r="G77" s="42" t="s">
        <v>20</v>
      </c>
      <c r="H77" s="135" t="s">
        <v>998</v>
      </c>
      <c r="I77" s="122" t="s">
        <v>999</v>
      </c>
      <c r="J77" s="92"/>
      <c r="K77" s="123" t="str">
        <f t="shared" si="0"/>
        <v>E - 76</v>
      </c>
      <c r="L77" s="95" t="s">
        <v>23</v>
      </c>
      <c r="M77" s="95" t="s">
        <v>24</v>
      </c>
      <c r="N77" s="128"/>
      <c r="O77" s="65"/>
      <c r="P77" s="81"/>
      <c r="Q77" s="23" t="str">
        <f t="shared" ca="1" si="1"/>
        <v>-</v>
      </c>
      <c r="R77" s="23"/>
    </row>
    <row r="78" spans="1:18" ht="24.75" customHeight="1">
      <c r="A78" s="118">
        <v>77</v>
      </c>
      <c r="B78" s="138" t="s">
        <v>1000</v>
      </c>
      <c r="C78" s="120" t="s">
        <v>766</v>
      </c>
      <c r="D78" s="14" t="s">
        <v>26</v>
      </c>
      <c r="E78" s="14">
        <v>99.3</v>
      </c>
      <c r="F78" s="14">
        <v>65</v>
      </c>
      <c r="G78" s="42" t="s">
        <v>20</v>
      </c>
      <c r="H78" s="43" t="s">
        <v>1001</v>
      </c>
      <c r="I78" s="130" t="s">
        <v>1002</v>
      </c>
      <c r="J78" s="30"/>
      <c r="K78" s="123" t="str">
        <f t="shared" si="0"/>
        <v>E - 77</v>
      </c>
      <c r="L78" s="95"/>
      <c r="M78" s="95"/>
      <c r="N78" s="128"/>
      <c r="O78" s="65"/>
      <c r="P78" s="81"/>
      <c r="Q78" s="23" t="str">
        <f t="shared" ca="1" si="1"/>
        <v>-</v>
      </c>
      <c r="R78" s="23"/>
    </row>
    <row r="79" spans="1:18" ht="24.75" customHeight="1">
      <c r="A79" s="24">
        <v>78</v>
      </c>
      <c r="B79" s="119" t="s">
        <v>1003</v>
      </c>
      <c r="C79" s="120" t="s">
        <v>779</v>
      </c>
      <c r="D79" s="120" t="s">
        <v>26</v>
      </c>
      <c r="E79" s="120" t="s">
        <v>772</v>
      </c>
      <c r="F79" s="120">
        <v>138</v>
      </c>
      <c r="G79" s="42" t="s">
        <v>20</v>
      </c>
      <c r="H79" s="135" t="s">
        <v>1004</v>
      </c>
      <c r="I79" s="130" t="s">
        <v>907</v>
      </c>
      <c r="J79" s="88"/>
      <c r="K79" s="123" t="str">
        <f t="shared" si="0"/>
        <v>E - 78</v>
      </c>
      <c r="L79" s="123"/>
      <c r="M79" s="123"/>
      <c r="N79" s="128"/>
      <c r="O79" s="65"/>
      <c r="P79" s="81"/>
      <c r="Q79" s="23" t="str">
        <f t="shared" ca="1" si="1"/>
        <v>-</v>
      </c>
      <c r="R79" s="23"/>
    </row>
    <row r="80" spans="1:18" ht="24.75" customHeight="1">
      <c r="A80" s="118">
        <v>79</v>
      </c>
      <c r="B80" s="119" t="s">
        <v>1005</v>
      </c>
      <c r="C80" s="120" t="s">
        <v>794</v>
      </c>
      <c r="D80" s="120" t="s">
        <v>19</v>
      </c>
      <c r="E80" s="120">
        <v>10</v>
      </c>
      <c r="F80" s="120">
        <v>92</v>
      </c>
      <c r="G80" s="42" t="s">
        <v>20</v>
      </c>
      <c r="H80" s="135" t="s">
        <v>1006</v>
      </c>
      <c r="I80" s="130" t="s">
        <v>962</v>
      </c>
      <c r="J80" s="88"/>
      <c r="K80" s="123" t="str">
        <f t="shared" si="0"/>
        <v>E - 79</v>
      </c>
      <c r="L80" s="95"/>
      <c r="M80" s="95"/>
      <c r="N80" s="128"/>
      <c r="O80" s="65"/>
      <c r="P80" s="81"/>
      <c r="Q80" s="23" t="str">
        <f t="shared" ca="1" si="1"/>
        <v>-</v>
      </c>
      <c r="R80" s="23"/>
    </row>
    <row r="81" spans="1:18" ht="24.75" customHeight="1">
      <c r="A81" s="24">
        <v>80</v>
      </c>
      <c r="B81" s="119" t="s">
        <v>1007</v>
      </c>
      <c r="C81" s="120" t="s">
        <v>794</v>
      </c>
      <c r="D81" s="120" t="s">
        <v>26</v>
      </c>
      <c r="E81" s="120" t="s">
        <v>1008</v>
      </c>
      <c r="F81" s="120">
        <v>21</v>
      </c>
      <c r="G81" s="42" t="s">
        <v>20</v>
      </c>
      <c r="H81" s="135" t="s">
        <v>1009</v>
      </c>
      <c r="I81" s="130" t="s">
        <v>1010</v>
      </c>
      <c r="J81" s="88"/>
      <c r="K81" s="123" t="str">
        <f t="shared" si="0"/>
        <v>E - 80</v>
      </c>
      <c r="L81" s="123"/>
      <c r="M81" s="123"/>
      <c r="N81" s="128"/>
      <c r="O81" s="65"/>
      <c r="P81" s="81"/>
      <c r="Q81" s="23" t="str">
        <f t="shared" ca="1" si="1"/>
        <v>-</v>
      </c>
      <c r="R81" s="23"/>
    </row>
    <row r="82" spans="1:18" ht="24.75" customHeight="1">
      <c r="A82" s="118">
        <v>81</v>
      </c>
      <c r="B82" s="119" t="s">
        <v>1011</v>
      </c>
      <c r="C82" s="120" t="s">
        <v>875</v>
      </c>
      <c r="D82" s="120" t="s">
        <v>26</v>
      </c>
      <c r="E82" s="120" t="s">
        <v>1012</v>
      </c>
      <c r="F82" s="120">
        <v>65</v>
      </c>
      <c r="G82" s="42" t="s">
        <v>20</v>
      </c>
      <c r="H82" s="135" t="s">
        <v>1013</v>
      </c>
      <c r="I82" s="130" t="s">
        <v>1014</v>
      </c>
      <c r="J82" s="92"/>
      <c r="K82" s="123" t="str">
        <f t="shared" si="0"/>
        <v>E - 81</v>
      </c>
      <c r="L82" s="123"/>
      <c r="M82" s="123"/>
      <c r="N82" s="128"/>
      <c r="O82" s="65"/>
      <c r="P82" s="81"/>
      <c r="Q82" s="23" t="str">
        <f t="shared" ca="1" si="1"/>
        <v>-</v>
      </c>
      <c r="R82" s="23"/>
    </row>
    <row r="83" spans="1:18" ht="24.75" customHeight="1">
      <c r="A83" s="24">
        <v>82</v>
      </c>
      <c r="B83" s="119" t="s">
        <v>1015</v>
      </c>
      <c r="C83" s="120" t="s">
        <v>771</v>
      </c>
      <c r="D83" s="120" t="s">
        <v>19</v>
      </c>
      <c r="E83" s="120">
        <v>8</v>
      </c>
      <c r="F83" s="120">
        <v>131</v>
      </c>
      <c r="G83" s="42" t="s">
        <v>20</v>
      </c>
      <c r="H83" s="135" t="s">
        <v>1016</v>
      </c>
      <c r="I83" s="130" t="s">
        <v>1017</v>
      </c>
      <c r="J83" s="92"/>
      <c r="K83" s="123" t="str">
        <f t="shared" si="0"/>
        <v>E - 82</v>
      </c>
      <c r="L83" s="123"/>
      <c r="M83" s="123"/>
      <c r="N83" s="128"/>
      <c r="O83" s="65"/>
      <c r="P83" s="81"/>
      <c r="Q83" s="23" t="str">
        <f t="shared" ca="1" si="1"/>
        <v>-</v>
      </c>
      <c r="R83" s="23"/>
    </row>
    <row r="84" spans="1:18" ht="24.75" customHeight="1">
      <c r="A84" s="118">
        <v>83</v>
      </c>
      <c r="B84" s="119" t="s">
        <v>1015</v>
      </c>
      <c r="C84" s="120" t="s">
        <v>771</v>
      </c>
      <c r="D84" s="120" t="s">
        <v>26</v>
      </c>
      <c r="E84" s="120" t="s">
        <v>1018</v>
      </c>
      <c r="F84" s="120">
        <v>131</v>
      </c>
      <c r="G84" s="42" t="s">
        <v>20</v>
      </c>
      <c r="H84" s="135" t="s">
        <v>1016</v>
      </c>
      <c r="I84" s="130" t="s">
        <v>1017</v>
      </c>
      <c r="J84" s="92"/>
      <c r="K84" s="123" t="str">
        <f t="shared" si="0"/>
        <v>E - 83</v>
      </c>
      <c r="L84" s="123"/>
      <c r="M84" s="123"/>
      <c r="N84" s="128"/>
      <c r="O84" s="65"/>
      <c r="P84" s="81"/>
      <c r="Q84" s="23" t="str">
        <f t="shared" ca="1" si="1"/>
        <v>-</v>
      </c>
      <c r="R84" s="23"/>
    </row>
    <row r="85" spans="1:18" ht="24.75" customHeight="1">
      <c r="A85" s="24">
        <v>84</v>
      </c>
      <c r="B85" s="119" t="s">
        <v>1019</v>
      </c>
      <c r="C85" s="120" t="s">
        <v>766</v>
      </c>
      <c r="D85" s="120" t="s">
        <v>26</v>
      </c>
      <c r="E85" s="120" t="s">
        <v>784</v>
      </c>
      <c r="F85" s="120">
        <v>3</v>
      </c>
      <c r="G85" s="42" t="s">
        <v>20</v>
      </c>
      <c r="H85" s="135" t="s">
        <v>1020</v>
      </c>
      <c r="I85" s="122" t="s">
        <v>1021</v>
      </c>
      <c r="J85" s="88"/>
      <c r="K85" s="123" t="str">
        <f t="shared" si="0"/>
        <v>E - 84</v>
      </c>
      <c r="L85" s="123"/>
      <c r="M85" s="123"/>
      <c r="N85" s="128"/>
      <c r="O85" s="65"/>
      <c r="P85" s="81"/>
      <c r="Q85" s="23" t="str">
        <f t="shared" ca="1" si="1"/>
        <v>-</v>
      </c>
      <c r="R85" s="23"/>
    </row>
    <row r="86" spans="1:18" ht="24.75" customHeight="1">
      <c r="A86" s="118">
        <v>85</v>
      </c>
      <c r="B86" s="119" t="s">
        <v>1022</v>
      </c>
      <c r="C86" s="120" t="s">
        <v>794</v>
      </c>
      <c r="D86" s="120" t="s">
        <v>19</v>
      </c>
      <c r="E86" s="120">
        <v>11</v>
      </c>
      <c r="F86" s="120">
        <v>124</v>
      </c>
      <c r="G86" s="42" t="s">
        <v>20</v>
      </c>
      <c r="H86" s="135" t="s">
        <v>1023</v>
      </c>
      <c r="I86" s="122" t="s">
        <v>880</v>
      </c>
      <c r="J86" s="88" t="s">
        <v>1024</v>
      </c>
      <c r="K86" s="123" t="str">
        <f t="shared" si="0"/>
        <v>E - 85</v>
      </c>
      <c r="L86" s="123"/>
      <c r="M86" s="123"/>
      <c r="N86" s="128"/>
      <c r="O86" s="65"/>
      <c r="P86" s="81"/>
      <c r="Q86" s="23" t="str">
        <f t="shared" ca="1" si="1"/>
        <v>-</v>
      </c>
      <c r="R86" s="23"/>
    </row>
    <row r="87" spans="1:18" ht="24.75" customHeight="1">
      <c r="A87" s="24">
        <v>86</v>
      </c>
      <c r="B87" s="119" t="s">
        <v>1022</v>
      </c>
      <c r="C87" s="120" t="s">
        <v>794</v>
      </c>
      <c r="D87" s="120" t="s">
        <v>26</v>
      </c>
      <c r="E87" s="120" t="s">
        <v>1025</v>
      </c>
      <c r="F87" s="120">
        <v>124</v>
      </c>
      <c r="G87" s="42" t="s">
        <v>20</v>
      </c>
      <c r="H87" s="135" t="s">
        <v>1023</v>
      </c>
      <c r="I87" s="122" t="s">
        <v>797</v>
      </c>
      <c r="J87" s="92"/>
      <c r="K87" s="123" t="str">
        <f t="shared" si="0"/>
        <v>E - 86</v>
      </c>
      <c r="L87" s="123"/>
      <c r="M87" s="123"/>
      <c r="N87" s="128"/>
      <c r="O87" s="65"/>
      <c r="P87" s="81"/>
      <c r="Q87" s="23" t="str">
        <f t="shared" ca="1" si="1"/>
        <v>-</v>
      </c>
      <c r="R87" s="23"/>
    </row>
    <row r="88" spans="1:18" ht="24.75" customHeight="1">
      <c r="A88" s="118">
        <v>87</v>
      </c>
      <c r="B88" s="119" t="s">
        <v>946</v>
      </c>
      <c r="C88" s="120" t="s">
        <v>946</v>
      </c>
      <c r="D88" s="120" t="s">
        <v>26</v>
      </c>
      <c r="E88" s="120" t="s">
        <v>1026</v>
      </c>
      <c r="F88" s="120">
        <v>94</v>
      </c>
      <c r="G88" s="42" t="s">
        <v>20</v>
      </c>
      <c r="H88" s="135" t="s">
        <v>1027</v>
      </c>
      <c r="I88" s="130" t="s">
        <v>853</v>
      </c>
      <c r="J88" s="92"/>
      <c r="K88" s="123" t="str">
        <f t="shared" si="0"/>
        <v>E - 87</v>
      </c>
      <c r="L88" s="123"/>
      <c r="M88" s="123"/>
      <c r="N88" s="128"/>
      <c r="O88" s="65"/>
      <c r="P88" s="81"/>
      <c r="Q88" s="23" t="str">
        <f t="shared" ca="1" si="1"/>
        <v>-</v>
      </c>
      <c r="R88" s="23"/>
    </row>
    <row r="89" spans="1:18" ht="24.75" customHeight="1">
      <c r="A89" s="24">
        <v>88</v>
      </c>
      <c r="B89" s="119" t="s">
        <v>946</v>
      </c>
      <c r="C89" s="120" t="s">
        <v>946</v>
      </c>
      <c r="D89" s="120" t="s">
        <v>19</v>
      </c>
      <c r="E89" s="120">
        <v>13</v>
      </c>
      <c r="F89" s="120">
        <v>94</v>
      </c>
      <c r="G89" s="42" t="s">
        <v>20</v>
      </c>
      <c r="H89" s="135" t="s">
        <v>1027</v>
      </c>
      <c r="I89" s="122" t="s">
        <v>853</v>
      </c>
      <c r="J89" s="92"/>
      <c r="K89" s="123" t="str">
        <f t="shared" si="0"/>
        <v>E - 88</v>
      </c>
      <c r="L89" s="123"/>
      <c r="M89" s="123"/>
      <c r="N89" s="128"/>
      <c r="O89" s="65"/>
      <c r="P89" s="81"/>
      <c r="Q89" s="23" t="str">
        <f t="shared" ca="1" si="1"/>
        <v>-</v>
      </c>
      <c r="R89" s="23"/>
    </row>
    <row r="90" spans="1:18" ht="24.75" customHeight="1">
      <c r="A90" s="118">
        <v>89</v>
      </c>
      <c r="B90" s="119" t="s">
        <v>1028</v>
      </c>
      <c r="C90" s="120" t="s">
        <v>875</v>
      </c>
      <c r="D90" s="120" t="s">
        <v>26</v>
      </c>
      <c r="E90" s="120" t="s">
        <v>1029</v>
      </c>
      <c r="F90" s="120">
        <v>65</v>
      </c>
      <c r="G90" s="42" t="s">
        <v>20</v>
      </c>
      <c r="H90" s="135" t="s">
        <v>1030</v>
      </c>
      <c r="I90" s="122" t="s">
        <v>1031</v>
      </c>
      <c r="J90" s="92"/>
      <c r="K90" s="123" t="str">
        <f t="shared" si="0"/>
        <v>E - 89</v>
      </c>
      <c r="L90" s="95"/>
      <c r="M90" s="95"/>
      <c r="N90" s="128"/>
      <c r="O90" s="65"/>
      <c r="P90" s="81"/>
      <c r="Q90" s="23" t="str">
        <f t="shared" ca="1" si="1"/>
        <v>-</v>
      </c>
      <c r="R90" s="23"/>
    </row>
    <row r="91" spans="1:18" ht="30.75" customHeight="1">
      <c r="A91" s="24">
        <v>90</v>
      </c>
      <c r="B91" s="119" t="s">
        <v>1028</v>
      </c>
      <c r="C91" s="120" t="s">
        <v>875</v>
      </c>
      <c r="D91" s="120" t="s">
        <v>19</v>
      </c>
      <c r="E91" s="120">
        <v>11</v>
      </c>
      <c r="F91" s="120">
        <v>65</v>
      </c>
      <c r="G91" s="42" t="s">
        <v>20</v>
      </c>
      <c r="H91" s="135" t="s">
        <v>1030</v>
      </c>
      <c r="I91" s="122" t="s">
        <v>1032</v>
      </c>
      <c r="J91" s="92"/>
      <c r="K91" s="123" t="str">
        <f t="shared" si="0"/>
        <v>E - 90</v>
      </c>
      <c r="L91" s="95"/>
      <c r="M91" s="95"/>
      <c r="N91" s="128"/>
      <c r="O91" s="65"/>
      <c r="P91" s="81"/>
      <c r="Q91" s="23" t="str">
        <f t="shared" ca="1" si="1"/>
        <v>-</v>
      </c>
      <c r="R91" s="23"/>
    </row>
    <row r="92" spans="1:18" ht="24.75" customHeight="1">
      <c r="A92" s="118">
        <v>91</v>
      </c>
      <c r="B92" s="119" t="s">
        <v>1033</v>
      </c>
      <c r="C92" s="120" t="s">
        <v>779</v>
      </c>
      <c r="D92" s="120" t="s">
        <v>26</v>
      </c>
      <c r="E92" s="120" t="s">
        <v>1008</v>
      </c>
      <c r="F92" s="120">
        <v>138</v>
      </c>
      <c r="G92" s="42" t="s">
        <v>20</v>
      </c>
      <c r="H92" s="135" t="s">
        <v>1034</v>
      </c>
      <c r="I92" s="122" t="s">
        <v>782</v>
      </c>
      <c r="J92" s="92"/>
      <c r="K92" s="123" t="str">
        <f t="shared" si="0"/>
        <v>E - 91</v>
      </c>
      <c r="L92" s="123"/>
      <c r="M92" s="123"/>
      <c r="N92" s="128"/>
      <c r="O92" s="65"/>
      <c r="P92" s="81"/>
      <c r="Q92" s="23" t="str">
        <f t="shared" ca="1" si="1"/>
        <v>-</v>
      </c>
      <c r="R92" s="23"/>
    </row>
    <row r="93" spans="1:18" ht="24.75" customHeight="1">
      <c r="A93" s="24">
        <v>92</v>
      </c>
      <c r="B93" s="119" t="s">
        <v>1035</v>
      </c>
      <c r="C93" s="120" t="s">
        <v>760</v>
      </c>
      <c r="D93" s="120" t="s">
        <v>26</v>
      </c>
      <c r="E93" s="120" t="s">
        <v>829</v>
      </c>
      <c r="F93" s="120">
        <v>22</v>
      </c>
      <c r="G93" s="42" t="s">
        <v>20</v>
      </c>
      <c r="H93" s="135" t="s">
        <v>1036</v>
      </c>
      <c r="I93" s="122" t="s">
        <v>880</v>
      </c>
      <c r="J93" s="92"/>
      <c r="K93" s="123" t="str">
        <f t="shared" si="0"/>
        <v>E - 92</v>
      </c>
      <c r="L93" s="123"/>
      <c r="M93" s="123"/>
      <c r="N93" s="128"/>
      <c r="O93" s="65"/>
      <c r="P93" s="81"/>
      <c r="Q93" s="23" t="str">
        <f t="shared" ca="1" si="1"/>
        <v>-</v>
      </c>
      <c r="R93" s="23"/>
    </row>
    <row r="94" spans="1:18" ht="24.75" customHeight="1">
      <c r="A94" s="118">
        <v>93</v>
      </c>
      <c r="B94" s="119" t="s">
        <v>1035</v>
      </c>
      <c r="C94" s="120" t="s">
        <v>760</v>
      </c>
      <c r="D94" s="120" t="s">
        <v>19</v>
      </c>
      <c r="E94" s="120">
        <v>13</v>
      </c>
      <c r="F94" s="120">
        <v>22</v>
      </c>
      <c r="G94" s="42" t="s">
        <v>20</v>
      </c>
      <c r="H94" s="135" t="s">
        <v>1036</v>
      </c>
      <c r="I94" s="130" t="s">
        <v>880</v>
      </c>
      <c r="J94" s="139"/>
      <c r="K94" s="123" t="str">
        <f t="shared" si="0"/>
        <v>E - 93</v>
      </c>
      <c r="L94" s="123"/>
      <c r="M94" s="123"/>
      <c r="N94" s="128"/>
      <c r="O94" s="65"/>
      <c r="P94" s="81"/>
      <c r="Q94" s="23" t="str">
        <f t="shared" ca="1" si="1"/>
        <v>-</v>
      </c>
      <c r="R94" s="23"/>
    </row>
    <row r="95" spans="1:18" ht="32.25" customHeight="1">
      <c r="A95" s="24">
        <v>94</v>
      </c>
      <c r="B95" s="119" t="s">
        <v>1037</v>
      </c>
      <c r="C95" s="120" t="s">
        <v>794</v>
      </c>
      <c r="D95" s="120" t="s">
        <v>26</v>
      </c>
      <c r="E95" s="120" t="s">
        <v>780</v>
      </c>
      <c r="F95" s="120">
        <v>21</v>
      </c>
      <c r="G95" s="45" t="s">
        <v>223</v>
      </c>
      <c r="H95" s="135" t="s">
        <v>1038</v>
      </c>
      <c r="I95" s="122" t="s">
        <v>1039</v>
      </c>
      <c r="J95" s="140" t="s">
        <v>1040</v>
      </c>
      <c r="K95" s="123" t="str">
        <f t="shared" si="0"/>
        <v>E - 94</v>
      </c>
      <c r="L95" s="123"/>
      <c r="M95" s="123"/>
      <c r="N95" s="128">
        <v>7000</v>
      </c>
      <c r="O95" s="65"/>
      <c r="P95" s="81">
        <v>45750</v>
      </c>
      <c r="Q95" s="23" t="str">
        <f t="shared" ca="1" si="1"/>
        <v>8 meses y 5 días</v>
      </c>
      <c r="R95" s="23"/>
    </row>
    <row r="96" spans="1:18" ht="22.8">
      <c r="A96" s="118">
        <v>95</v>
      </c>
      <c r="B96" s="119" t="s">
        <v>1041</v>
      </c>
      <c r="C96" s="120" t="s">
        <v>766</v>
      </c>
      <c r="D96" s="120" t="s">
        <v>26</v>
      </c>
      <c r="E96" s="120" t="s">
        <v>868</v>
      </c>
      <c r="F96" s="120">
        <v>40</v>
      </c>
      <c r="G96" s="42" t="s">
        <v>20</v>
      </c>
      <c r="H96" s="135" t="s">
        <v>1042</v>
      </c>
      <c r="I96" s="122" t="s">
        <v>1043</v>
      </c>
      <c r="J96" s="92"/>
      <c r="K96" s="123" t="str">
        <f t="shared" si="0"/>
        <v>E - 95</v>
      </c>
      <c r="L96" s="95" t="s">
        <v>23</v>
      </c>
      <c r="M96" s="95" t="s">
        <v>24</v>
      </c>
      <c r="N96" s="128"/>
      <c r="O96" s="65"/>
      <c r="P96" s="81"/>
      <c r="Q96" s="23" t="str">
        <f t="shared" ca="1" si="1"/>
        <v>-</v>
      </c>
      <c r="R96" s="23"/>
    </row>
    <row r="97" spans="1:18" ht="24.75" customHeight="1">
      <c r="A97" s="24">
        <v>96</v>
      </c>
      <c r="B97" s="119" t="s">
        <v>1044</v>
      </c>
      <c r="C97" s="120" t="s">
        <v>946</v>
      </c>
      <c r="D97" s="120" t="s">
        <v>26</v>
      </c>
      <c r="E97" s="120" t="s">
        <v>855</v>
      </c>
      <c r="F97" s="120">
        <v>94</v>
      </c>
      <c r="G97" s="42" t="s">
        <v>20</v>
      </c>
      <c r="H97" s="135" t="s">
        <v>1045</v>
      </c>
      <c r="I97" s="122" t="s">
        <v>853</v>
      </c>
      <c r="J97" s="92"/>
      <c r="K97" s="123" t="str">
        <f t="shared" si="0"/>
        <v>E - 96</v>
      </c>
      <c r="L97" s="123"/>
      <c r="M97" s="123"/>
      <c r="N97" s="128"/>
      <c r="O97" s="65"/>
      <c r="P97" s="81"/>
      <c r="Q97" s="23" t="str">
        <f t="shared" ca="1" si="1"/>
        <v>-</v>
      </c>
      <c r="R97" s="23"/>
    </row>
    <row r="98" spans="1:18" ht="24.75" customHeight="1">
      <c r="A98" s="24">
        <v>97</v>
      </c>
      <c r="B98" s="119" t="s">
        <v>1046</v>
      </c>
      <c r="C98" s="120" t="s">
        <v>766</v>
      </c>
      <c r="D98" s="120" t="s">
        <v>26</v>
      </c>
      <c r="E98" s="120" t="s">
        <v>1047</v>
      </c>
      <c r="F98" s="120">
        <v>125</v>
      </c>
      <c r="G98" s="15" t="s">
        <v>20</v>
      </c>
      <c r="H98" s="135" t="s">
        <v>1048</v>
      </c>
      <c r="I98" s="122" t="s">
        <v>1049</v>
      </c>
      <c r="J98" s="92"/>
      <c r="K98" s="123" t="str">
        <f t="shared" si="0"/>
        <v>E - 97</v>
      </c>
      <c r="L98" s="123"/>
      <c r="M98" s="123"/>
      <c r="N98" s="128"/>
      <c r="O98" s="65"/>
      <c r="P98" s="81"/>
      <c r="Q98" s="23" t="str">
        <f t="shared" ca="1" si="1"/>
        <v>-</v>
      </c>
      <c r="R98" s="23"/>
    </row>
    <row r="99" spans="1:18" ht="24.75" customHeight="1">
      <c r="A99" s="118">
        <v>98</v>
      </c>
      <c r="B99" s="119" t="s">
        <v>1046</v>
      </c>
      <c r="C99" s="120" t="s">
        <v>766</v>
      </c>
      <c r="D99" s="120" t="s">
        <v>19</v>
      </c>
      <c r="E99" s="120">
        <v>11</v>
      </c>
      <c r="F99" s="120">
        <v>125</v>
      </c>
      <c r="G99" s="42" t="s">
        <v>20</v>
      </c>
      <c r="H99" s="135" t="s">
        <v>1048</v>
      </c>
      <c r="I99" s="122" t="s">
        <v>1050</v>
      </c>
      <c r="J99" s="92"/>
      <c r="K99" s="123" t="str">
        <f t="shared" si="0"/>
        <v>E - 98</v>
      </c>
      <c r="L99" s="95"/>
      <c r="M99" s="95"/>
      <c r="N99" s="128"/>
      <c r="O99" s="65"/>
      <c r="P99" s="81"/>
      <c r="Q99" s="23" t="str">
        <f t="shared" ca="1" si="1"/>
        <v>-</v>
      </c>
      <c r="R99" s="23"/>
    </row>
    <row r="100" spans="1:18" ht="24.75" customHeight="1">
      <c r="A100" s="24">
        <v>99</v>
      </c>
      <c r="B100" s="119" t="s">
        <v>1051</v>
      </c>
      <c r="C100" s="120" t="s">
        <v>760</v>
      </c>
      <c r="D100" s="120" t="s">
        <v>26</v>
      </c>
      <c r="E100" s="120" t="s">
        <v>806</v>
      </c>
      <c r="F100" s="120">
        <v>22</v>
      </c>
      <c r="G100" s="42" t="s">
        <v>20</v>
      </c>
      <c r="H100" s="135" t="s">
        <v>1052</v>
      </c>
      <c r="I100" s="122" t="s">
        <v>880</v>
      </c>
      <c r="J100" s="92"/>
      <c r="K100" s="123" t="str">
        <f t="shared" si="0"/>
        <v>E - 99</v>
      </c>
      <c r="L100" s="123"/>
      <c r="M100" s="123"/>
      <c r="N100" s="128"/>
      <c r="O100" s="65"/>
      <c r="P100" s="81"/>
      <c r="Q100" s="23" t="str">
        <f t="shared" ca="1" si="1"/>
        <v>-</v>
      </c>
      <c r="R100" s="23"/>
    </row>
    <row r="101" spans="1:18" ht="24.75" customHeight="1">
      <c r="A101" s="118">
        <v>100</v>
      </c>
      <c r="B101" s="119" t="s">
        <v>1051</v>
      </c>
      <c r="C101" s="120" t="s">
        <v>760</v>
      </c>
      <c r="D101" s="141" t="s">
        <v>19</v>
      </c>
      <c r="E101" s="120">
        <v>6</v>
      </c>
      <c r="F101" s="120">
        <v>22</v>
      </c>
      <c r="G101" s="42" t="s">
        <v>20</v>
      </c>
      <c r="H101" s="135" t="s">
        <v>1052</v>
      </c>
      <c r="I101" s="130" t="s">
        <v>880</v>
      </c>
      <c r="J101" s="92"/>
      <c r="K101" s="123" t="str">
        <f t="shared" si="0"/>
        <v>E - 100</v>
      </c>
      <c r="L101" s="123"/>
      <c r="M101" s="123"/>
      <c r="N101" s="128"/>
      <c r="O101" s="65"/>
      <c r="P101" s="81"/>
      <c r="Q101" s="23" t="str">
        <f t="shared" ca="1" si="1"/>
        <v>-</v>
      </c>
      <c r="R101" s="23"/>
    </row>
    <row r="102" spans="1:18" ht="24.75" customHeight="1">
      <c r="A102" s="24">
        <v>101</v>
      </c>
      <c r="B102" s="119" t="s">
        <v>1053</v>
      </c>
      <c r="C102" s="120" t="s">
        <v>794</v>
      </c>
      <c r="D102" s="120" t="s">
        <v>26</v>
      </c>
      <c r="E102" s="120" t="s">
        <v>825</v>
      </c>
      <c r="F102" s="120">
        <v>92</v>
      </c>
      <c r="G102" s="42" t="s">
        <v>20</v>
      </c>
      <c r="H102" s="135" t="s">
        <v>1054</v>
      </c>
      <c r="I102" s="122" t="s">
        <v>880</v>
      </c>
      <c r="J102" s="88"/>
      <c r="K102" s="123" t="str">
        <f t="shared" si="0"/>
        <v>E - 101</v>
      </c>
      <c r="L102" s="123"/>
      <c r="M102" s="123"/>
      <c r="N102" s="128"/>
      <c r="O102" s="65"/>
      <c r="P102" s="81"/>
      <c r="Q102" s="23" t="str">
        <f t="shared" ca="1" si="1"/>
        <v>-</v>
      </c>
      <c r="R102" s="23"/>
    </row>
    <row r="103" spans="1:18" ht="24.75" customHeight="1">
      <c r="A103" s="118">
        <v>102</v>
      </c>
      <c r="B103" s="119" t="s">
        <v>1055</v>
      </c>
      <c r="C103" s="120" t="s">
        <v>875</v>
      </c>
      <c r="D103" s="120" t="s">
        <v>26</v>
      </c>
      <c r="E103" s="120" t="s">
        <v>894</v>
      </c>
      <c r="F103" s="120">
        <v>65</v>
      </c>
      <c r="G103" s="42" t="s">
        <v>20</v>
      </c>
      <c r="H103" s="135" t="s">
        <v>1056</v>
      </c>
      <c r="I103" s="122" t="s">
        <v>1014</v>
      </c>
      <c r="J103" s="92"/>
      <c r="K103" s="123" t="str">
        <f t="shared" si="0"/>
        <v>E - 102</v>
      </c>
      <c r="L103" s="123"/>
      <c r="M103" s="123"/>
      <c r="N103" s="128"/>
      <c r="O103" s="65"/>
      <c r="P103" s="81"/>
      <c r="Q103" s="23" t="str">
        <f t="shared" ca="1" si="1"/>
        <v>-</v>
      </c>
      <c r="R103" s="23"/>
    </row>
    <row r="104" spans="1:18" ht="24.75" customHeight="1">
      <c r="A104" s="24">
        <v>103</v>
      </c>
      <c r="B104" s="119" t="s">
        <v>1057</v>
      </c>
      <c r="C104" s="120" t="s">
        <v>766</v>
      </c>
      <c r="D104" s="120" t="s">
        <v>26</v>
      </c>
      <c r="E104" s="120" t="s">
        <v>841</v>
      </c>
      <c r="F104" s="120">
        <v>39</v>
      </c>
      <c r="G104" s="42" t="s">
        <v>20</v>
      </c>
      <c r="H104" s="135" t="s">
        <v>1058</v>
      </c>
      <c r="I104" s="122" t="s">
        <v>782</v>
      </c>
      <c r="J104" s="92"/>
      <c r="K104" s="123" t="str">
        <f t="shared" si="0"/>
        <v>E - 103</v>
      </c>
      <c r="L104" s="123"/>
      <c r="M104" s="123"/>
      <c r="N104" s="128"/>
      <c r="O104" s="65"/>
      <c r="P104" s="81"/>
      <c r="Q104" s="23" t="str">
        <f t="shared" ca="1" si="1"/>
        <v>-</v>
      </c>
      <c r="R104" s="23"/>
    </row>
    <row r="105" spans="1:18" ht="24.75" customHeight="1">
      <c r="A105" s="118">
        <v>104</v>
      </c>
      <c r="B105" s="119" t="s">
        <v>1059</v>
      </c>
      <c r="C105" s="120" t="s">
        <v>794</v>
      </c>
      <c r="D105" s="120" t="s">
        <v>19</v>
      </c>
      <c r="E105" s="120">
        <v>4</v>
      </c>
      <c r="F105" s="120">
        <v>21</v>
      </c>
      <c r="G105" s="42" t="s">
        <v>20</v>
      </c>
      <c r="H105" s="135" t="s">
        <v>1060</v>
      </c>
      <c r="I105" s="130" t="s">
        <v>1061</v>
      </c>
      <c r="J105" s="92"/>
      <c r="K105" s="123" t="str">
        <f t="shared" si="0"/>
        <v>E - 104</v>
      </c>
      <c r="L105" s="123"/>
      <c r="M105" s="123"/>
      <c r="N105" s="128"/>
      <c r="O105" s="65"/>
      <c r="P105" s="81"/>
      <c r="Q105" s="23" t="str">
        <f t="shared" ca="1" si="1"/>
        <v>-</v>
      </c>
      <c r="R105" s="23"/>
    </row>
    <row r="106" spans="1:18" ht="24.75" customHeight="1">
      <c r="A106" s="24">
        <v>105</v>
      </c>
      <c r="B106" s="119" t="s">
        <v>1062</v>
      </c>
      <c r="C106" s="120" t="s">
        <v>794</v>
      </c>
      <c r="D106" s="120" t="s">
        <v>19</v>
      </c>
      <c r="E106" s="120">
        <v>7</v>
      </c>
      <c r="F106" s="120">
        <v>21</v>
      </c>
      <c r="G106" s="42" t="s">
        <v>20</v>
      </c>
      <c r="H106" s="135" t="s">
        <v>597</v>
      </c>
      <c r="I106" s="122" t="s">
        <v>1063</v>
      </c>
      <c r="J106" s="92"/>
      <c r="K106" s="123" t="str">
        <f t="shared" si="0"/>
        <v>E - 105</v>
      </c>
      <c r="L106" s="123"/>
      <c r="M106" s="123"/>
      <c r="N106" s="128"/>
      <c r="O106" s="65"/>
      <c r="P106" s="81"/>
      <c r="Q106" s="23" t="str">
        <f t="shared" ca="1" si="1"/>
        <v>-</v>
      </c>
      <c r="R106" s="23"/>
    </row>
    <row r="107" spans="1:18" ht="24.75" customHeight="1">
      <c r="A107" s="118">
        <v>106</v>
      </c>
      <c r="B107" s="119" t="s">
        <v>1062</v>
      </c>
      <c r="C107" s="120" t="s">
        <v>794</v>
      </c>
      <c r="D107" s="120" t="s">
        <v>26</v>
      </c>
      <c r="E107" s="120" t="s">
        <v>1064</v>
      </c>
      <c r="F107" s="120">
        <v>21</v>
      </c>
      <c r="G107" s="45" t="s">
        <v>223</v>
      </c>
      <c r="H107" s="135" t="s">
        <v>597</v>
      </c>
      <c r="I107" s="122" t="s">
        <v>1065</v>
      </c>
      <c r="J107" s="92"/>
      <c r="K107" s="123" t="str">
        <f t="shared" si="0"/>
        <v>E - 106</v>
      </c>
      <c r="L107" s="95" t="s">
        <v>368</v>
      </c>
      <c r="M107" s="95" t="s">
        <v>24</v>
      </c>
      <c r="N107" s="128">
        <v>165</v>
      </c>
      <c r="O107" s="65"/>
      <c r="P107" s="81">
        <v>45966</v>
      </c>
      <c r="Q107" s="23" t="str">
        <f t="shared" ca="1" si="1"/>
        <v>1 mes y 3 días</v>
      </c>
      <c r="R107" s="23"/>
    </row>
    <row r="108" spans="1:18" ht="24.75" customHeight="1">
      <c r="A108" s="24">
        <v>107</v>
      </c>
      <c r="B108" s="119" t="s">
        <v>1066</v>
      </c>
      <c r="C108" s="120" t="s">
        <v>766</v>
      </c>
      <c r="D108" s="120" t="s">
        <v>26</v>
      </c>
      <c r="E108" s="120" t="s">
        <v>1067</v>
      </c>
      <c r="F108" s="120">
        <v>39</v>
      </c>
      <c r="G108" s="42" t="s">
        <v>20</v>
      </c>
      <c r="H108" s="135" t="s">
        <v>1068</v>
      </c>
      <c r="I108" s="122" t="s">
        <v>782</v>
      </c>
      <c r="J108" s="92"/>
      <c r="K108" s="123" t="str">
        <f t="shared" si="0"/>
        <v>E - 107</v>
      </c>
      <c r="L108" s="123"/>
      <c r="M108" s="123"/>
      <c r="N108" s="128"/>
      <c r="O108" s="65"/>
      <c r="P108" s="81"/>
      <c r="Q108" s="23" t="str">
        <f t="shared" ca="1" si="1"/>
        <v>-</v>
      </c>
      <c r="R108" s="23"/>
    </row>
    <row r="109" spans="1:18" ht="24.75" customHeight="1">
      <c r="A109" s="118">
        <v>108</v>
      </c>
      <c r="B109" s="119" t="s">
        <v>1066</v>
      </c>
      <c r="C109" s="120" t="s">
        <v>766</v>
      </c>
      <c r="D109" s="120" t="s">
        <v>19</v>
      </c>
      <c r="E109" s="120">
        <v>4</v>
      </c>
      <c r="F109" s="120">
        <v>39</v>
      </c>
      <c r="G109" s="42" t="s">
        <v>20</v>
      </c>
      <c r="H109" s="135" t="s">
        <v>1068</v>
      </c>
      <c r="I109" s="122" t="s">
        <v>1069</v>
      </c>
      <c r="J109" s="92"/>
      <c r="K109" s="123" t="str">
        <f t="shared" si="0"/>
        <v>E - 108</v>
      </c>
      <c r="L109" s="123"/>
      <c r="M109" s="123"/>
      <c r="N109" s="128"/>
      <c r="O109" s="65"/>
      <c r="P109" s="81"/>
      <c r="Q109" s="23" t="str">
        <f t="shared" ca="1" si="1"/>
        <v>-</v>
      </c>
      <c r="R109" s="23"/>
    </row>
    <row r="110" spans="1:18" ht="24.75" customHeight="1">
      <c r="A110" s="24">
        <v>109</v>
      </c>
      <c r="B110" s="119" t="s">
        <v>1070</v>
      </c>
      <c r="C110" s="120" t="s">
        <v>875</v>
      </c>
      <c r="D110" s="120" t="s">
        <v>19</v>
      </c>
      <c r="E110" s="120">
        <v>10</v>
      </c>
      <c r="F110" s="120">
        <v>66</v>
      </c>
      <c r="G110" s="42" t="s">
        <v>20</v>
      </c>
      <c r="H110" s="135" t="s">
        <v>1071</v>
      </c>
      <c r="I110" s="122" t="s">
        <v>1072</v>
      </c>
      <c r="J110" s="92"/>
      <c r="K110" s="123" t="str">
        <f t="shared" si="0"/>
        <v>E - 109</v>
      </c>
      <c r="L110" s="95"/>
      <c r="M110" s="95"/>
      <c r="N110" s="128"/>
      <c r="O110" s="65"/>
      <c r="P110" s="81"/>
      <c r="Q110" s="23" t="str">
        <f t="shared" ca="1" si="1"/>
        <v>-</v>
      </c>
      <c r="R110" s="23"/>
    </row>
    <row r="111" spans="1:18" ht="24.75" customHeight="1">
      <c r="A111" s="118">
        <v>110</v>
      </c>
      <c r="B111" s="119" t="s">
        <v>1070</v>
      </c>
      <c r="C111" s="120" t="s">
        <v>875</v>
      </c>
      <c r="D111" s="120" t="s">
        <v>26</v>
      </c>
      <c r="E111" s="120">
        <v>99.5</v>
      </c>
      <c r="F111" s="120">
        <v>66</v>
      </c>
      <c r="G111" s="42" t="s">
        <v>20</v>
      </c>
      <c r="H111" s="135" t="s">
        <v>1071</v>
      </c>
      <c r="I111" s="122" t="s">
        <v>1073</v>
      </c>
      <c r="J111" s="142"/>
      <c r="K111" s="123" t="str">
        <f t="shared" si="0"/>
        <v>E - 110</v>
      </c>
      <c r="L111" s="95" t="s">
        <v>23</v>
      </c>
      <c r="M111" s="95" t="s">
        <v>24</v>
      </c>
      <c r="N111" s="128"/>
      <c r="O111" s="65"/>
      <c r="P111" s="81"/>
      <c r="Q111" s="23" t="str">
        <f t="shared" ca="1" si="1"/>
        <v>-</v>
      </c>
      <c r="R111" s="23"/>
    </row>
    <row r="112" spans="1:18" ht="24.75" customHeight="1">
      <c r="A112" s="24">
        <v>111</v>
      </c>
      <c r="B112" s="119" t="s">
        <v>1074</v>
      </c>
      <c r="C112" s="120" t="s">
        <v>771</v>
      </c>
      <c r="D112" s="120" t="s">
        <v>26</v>
      </c>
      <c r="E112" s="120" t="s">
        <v>1075</v>
      </c>
      <c r="F112" s="120">
        <v>34</v>
      </c>
      <c r="G112" s="42" t="s">
        <v>20</v>
      </c>
      <c r="H112" s="135" t="s">
        <v>1076</v>
      </c>
      <c r="I112" s="122" t="s">
        <v>940</v>
      </c>
      <c r="J112" s="92"/>
      <c r="K112" s="123" t="str">
        <f t="shared" si="0"/>
        <v>E - 111</v>
      </c>
      <c r="L112" s="123"/>
      <c r="M112" s="123"/>
      <c r="N112" s="128"/>
      <c r="O112" s="65"/>
      <c r="P112" s="81"/>
      <c r="Q112" s="23" t="str">
        <f t="shared" ca="1" si="1"/>
        <v>-</v>
      </c>
      <c r="R112" s="23"/>
    </row>
    <row r="113" spans="1:18" ht="24.75" customHeight="1">
      <c r="A113" s="24">
        <v>112</v>
      </c>
      <c r="B113" s="119" t="s">
        <v>1077</v>
      </c>
      <c r="C113" s="120" t="s">
        <v>794</v>
      </c>
      <c r="D113" s="120" t="s">
        <v>26</v>
      </c>
      <c r="E113" s="120" t="s">
        <v>799</v>
      </c>
      <c r="F113" s="120">
        <v>93</v>
      </c>
      <c r="G113" s="42" t="s">
        <v>20</v>
      </c>
      <c r="H113" s="135" t="s">
        <v>1078</v>
      </c>
      <c r="I113" s="122" t="s">
        <v>873</v>
      </c>
      <c r="J113" s="92"/>
      <c r="K113" s="123" t="str">
        <f t="shared" si="0"/>
        <v>E - 112</v>
      </c>
      <c r="L113" s="123"/>
      <c r="M113" s="123"/>
      <c r="N113" s="128"/>
      <c r="O113" s="65"/>
      <c r="P113" s="81"/>
      <c r="Q113" s="23" t="str">
        <f t="shared" ca="1" si="1"/>
        <v>-</v>
      </c>
      <c r="R113" s="23"/>
    </row>
    <row r="114" spans="1:18" ht="24.75" customHeight="1">
      <c r="A114" s="118">
        <v>113</v>
      </c>
      <c r="B114" s="119" t="s">
        <v>1079</v>
      </c>
      <c r="C114" s="120" t="s">
        <v>779</v>
      </c>
      <c r="D114" s="120" t="s">
        <v>26</v>
      </c>
      <c r="E114" s="120">
        <v>98.3</v>
      </c>
      <c r="F114" s="120">
        <v>138</v>
      </c>
      <c r="G114" s="42" t="s">
        <v>20</v>
      </c>
      <c r="H114" s="135" t="s">
        <v>1079</v>
      </c>
      <c r="I114" s="122" t="s">
        <v>1080</v>
      </c>
      <c r="J114" s="143"/>
      <c r="K114" s="123" t="str">
        <f t="shared" si="0"/>
        <v>E - 113</v>
      </c>
      <c r="L114" s="95" t="s">
        <v>23</v>
      </c>
      <c r="M114" s="95" t="s">
        <v>24</v>
      </c>
      <c r="N114" s="128"/>
      <c r="O114" s="65"/>
      <c r="P114" s="81"/>
      <c r="Q114" s="23" t="str">
        <f t="shared" ca="1" si="1"/>
        <v>-</v>
      </c>
      <c r="R114" s="23"/>
    </row>
    <row r="115" spans="1:18" ht="24.75" customHeight="1">
      <c r="A115" s="24">
        <v>114</v>
      </c>
      <c r="B115" s="119" t="s">
        <v>1081</v>
      </c>
      <c r="C115" s="120" t="s">
        <v>771</v>
      </c>
      <c r="D115" s="120" t="s">
        <v>26</v>
      </c>
      <c r="E115" s="120" t="s">
        <v>789</v>
      </c>
      <c r="F115" s="120">
        <v>34</v>
      </c>
      <c r="G115" s="42" t="s">
        <v>20</v>
      </c>
      <c r="H115" s="135" t="s">
        <v>1082</v>
      </c>
      <c r="I115" s="122" t="s">
        <v>940</v>
      </c>
      <c r="J115" s="92"/>
      <c r="K115" s="123" t="str">
        <f t="shared" si="0"/>
        <v>E - 114</v>
      </c>
      <c r="L115" s="123"/>
      <c r="M115" s="123"/>
      <c r="N115" s="128"/>
      <c r="O115" s="65"/>
      <c r="P115" s="81"/>
      <c r="Q115" s="23" t="str">
        <f t="shared" ca="1" si="1"/>
        <v>-</v>
      </c>
      <c r="R115" s="23"/>
    </row>
    <row r="116" spans="1:18" ht="24.75" customHeight="1">
      <c r="A116" s="118">
        <v>115</v>
      </c>
      <c r="B116" s="119" t="s">
        <v>1081</v>
      </c>
      <c r="C116" s="120" t="s">
        <v>771</v>
      </c>
      <c r="D116" s="120" t="s">
        <v>19</v>
      </c>
      <c r="E116" s="120">
        <v>2</v>
      </c>
      <c r="F116" s="120">
        <v>34</v>
      </c>
      <c r="G116" s="42" t="s">
        <v>20</v>
      </c>
      <c r="H116" s="135" t="s">
        <v>1082</v>
      </c>
      <c r="I116" s="122" t="s">
        <v>940</v>
      </c>
      <c r="J116" s="92"/>
      <c r="K116" s="123" t="str">
        <f t="shared" si="0"/>
        <v>E - 115</v>
      </c>
      <c r="L116" s="123"/>
      <c r="M116" s="123"/>
      <c r="N116" s="128"/>
      <c r="O116" s="65"/>
      <c r="P116" s="81"/>
      <c r="Q116" s="23" t="str">
        <f t="shared" ca="1" si="1"/>
        <v>-</v>
      </c>
      <c r="R116" s="23"/>
    </row>
    <row r="117" spans="1:18" ht="24.75" customHeight="1">
      <c r="A117" s="24">
        <v>116</v>
      </c>
      <c r="B117" s="119" t="s">
        <v>1083</v>
      </c>
      <c r="C117" s="120" t="s">
        <v>771</v>
      </c>
      <c r="D117" s="120" t="s">
        <v>26</v>
      </c>
      <c r="E117" s="120" t="s">
        <v>1008</v>
      </c>
      <c r="F117" s="120">
        <v>131</v>
      </c>
      <c r="G117" s="42" t="s">
        <v>20</v>
      </c>
      <c r="H117" s="135" t="s">
        <v>1084</v>
      </c>
      <c r="I117" s="130" t="s">
        <v>1017</v>
      </c>
      <c r="J117" s="92"/>
      <c r="K117" s="123" t="str">
        <f t="shared" si="0"/>
        <v>E - 116</v>
      </c>
      <c r="L117" s="123"/>
      <c r="M117" s="123"/>
      <c r="N117" s="128"/>
      <c r="O117" s="65"/>
      <c r="P117" s="81"/>
      <c r="Q117" s="23" t="str">
        <f t="shared" ca="1" si="1"/>
        <v>-</v>
      </c>
      <c r="R117" s="23"/>
    </row>
    <row r="118" spans="1:18" ht="24.75" customHeight="1">
      <c r="A118" s="118">
        <v>117</v>
      </c>
      <c r="B118" s="119" t="s">
        <v>779</v>
      </c>
      <c r="C118" s="120" t="s">
        <v>779</v>
      </c>
      <c r="D118" s="120" t="s">
        <v>26</v>
      </c>
      <c r="E118" s="120" t="s">
        <v>1085</v>
      </c>
      <c r="F118" s="120">
        <v>84</v>
      </c>
      <c r="G118" s="42" t="s">
        <v>20</v>
      </c>
      <c r="H118" s="135" t="s">
        <v>1086</v>
      </c>
      <c r="I118" s="122" t="s">
        <v>1087</v>
      </c>
      <c r="J118" s="92"/>
      <c r="K118" s="123" t="str">
        <f t="shared" si="0"/>
        <v>E - 117</v>
      </c>
      <c r="L118" s="123"/>
      <c r="M118" s="123"/>
      <c r="N118" s="128"/>
      <c r="O118" s="65"/>
      <c r="P118" s="81"/>
      <c r="Q118" s="23" t="str">
        <f t="shared" ca="1" si="1"/>
        <v>-</v>
      </c>
      <c r="R118" s="23"/>
    </row>
    <row r="119" spans="1:18" ht="24.75" customHeight="1">
      <c r="A119" s="24">
        <v>118</v>
      </c>
      <c r="B119" s="119" t="s">
        <v>779</v>
      </c>
      <c r="C119" s="120" t="s">
        <v>779</v>
      </c>
      <c r="D119" s="120" t="s">
        <v>31</v>
      </c>
      <c r="E119" s="120">
        <v>39</v>
      </c>
      <c r="F119" s="120">
        <v>84</v>
      </c>
      <c r="G119" s="42" t="s">
        <v>20</v>
      </c>
      <c r="H119" s="126" t="s">
        <v>1086</v>
      </c>
      <c r="I119" s="122" t="s">
        <v>782</v>
      </c>
      <c r="J119" s="133"/>
      <c r="K119" s="123" t="str">
        <f t="shared" si="0"/>
        <v>E - 118</v>
      </c>
      <c r="L119" s="123"/>
      <c r="M119" s="123"/>
      <c r="N119" s="128"/>
      <c r="O119" s="65"/>
      <c r="P119" s="81"/>
      <c r="Q119" s="23" t="str">
        <f t="shared" ca="1" si="1"/>
        <v>-</v>
      </c>
      <c r="R119" s="23"/>
    </row>
    <row r="120" spans="1:18" ht="39.75" customHeight="1">
      <c r="A120" s="24">
        <v>119</v>
      </c>
      <c r="B120" s="119" t="s">
        <v>1088</v>
      </c>
      <c r="C120" s="120" t="s">
        <v>766</v>
      </c>
      <c r="D120" s="120" t="s">
        <v>26</v>
      </c>
      <c r="E120" s="120" t="s">
        <v>1089</v>
      </c>
      <c r="F120" s="120">
        <v>3</v>
      </c>
      <c r="G120" s="45" t="s">
        <v>223</v>
      </c>
      <c r="H120" s="135" t="s">
        <v>1090</v>
      </c>
      <c r="I120" s="122" t="s">
        <v>1091</v>
      </c>
      <c r="J120" s="144" t="s">
        <v>1092</v>
      </c>
      <c r="K120" s="123" t="str">
        <f t="shared" si="0"/>
        <v>E - 119</v>
      </c>
      <c r="L120" s="95" t="s">
        <v>357</v>
      </c>
      <c r="M120" s="95" t="s">
        <v>330</v>
      </c>
      <c r="N120" s="128">
        <v>1639.36</v>
      </c>
      <c r="O120" s="65"/>
      <c r="P120" s="81">
        <v>45944</v>
      </c>
      <c r="Q120" s="23" t="str">
        <f t="shared" ca="1" si="1"/>
        <v>1 mes y 24 días</v>
      </c>
      <c r="R120" s="23"/>
    </row>
    <row r="121" spans="1:18" ht="24.75" customHeight="1">
      <c r="A121" s="118">
        <v>120</v>
      </c>
      <c r="B121" s="124" t="s">
        <v>1093</v>
      </c>
      <c r="C121" s="127" t="s">
        <v>946</v>
      </c>
      <c r="D121" s="120" t="s">
        <v>26</v>
      </c>
      <c r="E121" s="120" t="s">
        <v>920</v>
      </c>
      <c r="F121" s="120">
        <v>3</v>
      </c>
      <c r="G121" s="42" t="s">
        <v>20</v>
      </c>
      <c r="H121" s="135" t="s">
        <v>1094</v>
      </c>
      <c r="I121" s="122" t="s">
        <v>1095</v>
      </c>
      <c r="J121" s="145"/>
      <c r="K121" s="123" t="str">
        <f t="shared" si="0"/>
        <v>E - 120</v>
      </c>
      <c r="L121" s="123"/>
      <c r="M121" s="123"/>
      <c r="N121" s="128"/>
      <c r="O121" s="65"/>
      <c r="P121" s="81"/>
      <c r="Q121" s="23" t="str">
        <f t="shared" ca="1" si="1"/>
        <v>-</v>
      </c>
      <c r="R121" s="23"/>
    </row>
    <row r="122" spans="1:18" ht="24.75" customHeight="1">
      <c r="A122" s="24">
        <v>121</v>
      </c>
      <c r="B122" s="119" t="s">
        <v>1096</v>
      </c>
      <c r="C122" s="120" t="s">
        <v>779</v>
      </c>
      <c r="D122" s="120" t="s">
        <v>26</v>
      </c>
      <c r="E122" s="120">
        <v>91.9</v>
      </c>
      <c r="F122" s="120">
        <v>31</v>
      </c>
      <c r="G122" s="42" t="s">
        <v>20</v>
      </c>
      <c r="H122" s="135" t="s">
        <v>1097</v>
      </c>
      <c r="I122" s="122" t="s">
        <v>782</v>
      </c>
      <c r="J122" s="88"/>
      <c r="K122" s="123" t="str">
        <f t="shared" si="0"/>
        <v>E - 121</v>
      </c>
      <c r="L122" s="123"/>
      <c r="M122" s="123"/>
      <c r="N122" s="128"/>
      <c r="O122" s="65"/>
      <c r="P122" s="81"/>
      <c r="Q122" s="23" t="str">
        <f t="shared" ca="1" si="1"/>
        <v>-</v>
      </c>
      <c r="R122" s="23"/>
    </row>
    <row r="123" spans="1:18" ht="24.75" customHeight="1">
      <c r="A123" s="118">
        <v>122</v>
      </c>
      <c r="B123" s="119" t="s">
        <v>1098</v>
      </c>
      <c r="C123" s="120" t="s">
        <v>794</v>
      </c>
      <c r="D123" s="120" t="s">
        <v>26</v>
      </c>
      <c r="E123" s="120" t="s">
        <v>1099</v>
      </c>
      <c r="F123" s="120">
        <v>92</v>
      </c>
      <c r="G123" s="42" t="s">
        <v>20</v>
      </c>
      <c r="H123" s="135" t="s">
        <v>1100</v>
      </c>
      <c r="I123" s="130" t="s">
        <v>880</v>
      </c>
      <c r="J123" s="92"/>
      <c r="K123" s="123" t="str">
        <f t="shared" si="0"/>
        <v>E - 122</v>
      </c>
      <c r="L123" s="123"/>
      <c r="M123" s="123"/>
      <c r="N123" s="128"/>
      <c r="O123" s="65"/>
      <c r="P123" s="81"/>
      <c r="Q123" s="23" t="str">
        <f t="shared" ca="1" si="1"/>
        <v>-</v>
      </c>
      <c r="R123" s="23"/>
    </row>
    <row r="124" spans="1:18" ht="24.75" customHeight="1">
      <c r="A124" s="24">
        <v>123</v>
      </c>
      <c r="B124" s="119" t="s">
        <v>1101</v>
      </c>
      <c r="C124" s="120" t="s">
        <v>794</v>
      </c>
      <c r="D124" s="120" t="s">
        <v>26</v>
      </c>
      <c r="E124" s="120" t="s">
        <v>1102</v>
      </c>
      <c r="F124" s="120">
        <v>131</v>
      </c>
      <c r="G124" s="42" t="s">
        <v>20</v>
      </c>
      <c r="H124" s="135" t="s">
        <v>1103</v>
      </c>
      <c r="I124" s="130" t="s">
        <v>1017</v>
      </c>
      <c r="J124" s="134"/>
      <c r="K124" s="123" t="str">
        <f t="shared" si="0"/>
        <v>E - 123</v>
      </c>
      <c r="L124" s="123"/>
      <c r="M124" s="123"/>
      <c r="N124" s="128"/>
      <c r="O124" s="65"/>
      <c r="P124" s="81"/>
      <c r="Q124" s="23" t="str">
        <f t="shared" ca="1" si="1"/>
        <v>-</v>
      </c>
      <c r="R124" s="23"/>
    </row>
    <row r="125" spans="1:18" ht="24.75" customHeight="1">
      <c r="A125" s="118">
        <v>124</v>
      </c>
      <c r="B125" s="119" t="s">
        <v>1104</v>
      </c>
      <c r="C125" s="120" t="s">
        <v>760</v>
      </c>
      <c r="D125" s="120" t="s">
        <v>26</v>
      </c>
      <c r="E125" s="120" t="s">
        <v>772</v>
      </c>
      <c r="F125" s="120">
        <v>22</v>
      </c>
      <c r="G125" s="42" t="s">
        <v>20</v>
      </c>
      <c r="H125" s="135" t="s">
        <v>1105</v>
      </c>
      <c r="I125" s="122" t="s">
        <v>1106</v>
      </c>
      <c r="J125" s="92"/>
      <c r="K125" s="123" t="str">
        <f t="shared" si="0"/>
        <v>E - 124</v>
      </c>
      <c r="L125" s="123"/>
      <c r="M125" s="123"/>
      <c r="N125" s="128"/>
      <c r="O125" s="65"/>
      <c r="P125" s="81"/>
      <c r="Q125" s="23" t="str">
        <f t="shared" ca="1" si="1"/>
        <v>-</v>
      </c>
      <c r="R125" s="23"/>
    </row>
    <row r="126" spans="1:18" ht="24.75" customHeight="1">
      <c r="A126" s="24">
        <v>125</v>
      </c>
      <c r="B126" s="119" t="s">
        <v>1107</v>
      </c>
      <c r="C126" s="120" t="s">
        <v>766</v>
      </c>
      <c r="D126" s="120" t="s">
        <v>26</v>
      </c>
      <c r="E126" s="120">
        <v>97.1</v>
      </c>
      <c r="F126" s="120">
        <v>39</v>
      </c>
      <c r="G126" s="42" t="s">
        <v>20</v>
      </c>
      <c r="H126" s="126" t="s">
        <v>1108</v>
      </c>
      <c r="I126" s="130" t="s">
        <v>782</v>
      </c>
      <c r="J126" s="88"/>
      <c r="K126" s="123" t="str">
        <f t="shared" si="0"/>
        <v>E - 125</v>
      </c>
      <c r="L126" s="123"/>
      <c r="M126" s="123"/>
      <c r="N126" s="128"/>
      <c r="O126" s="65"/>
      <c r="P126" s="81"/>
      <c r="Q126" s="23" t="str">
        <f t="shared" ca="1" si="1"/>
        <v>-</v>
      </c>
      <c r="R126" s="23"/>
    </row>
    <row r="127" spans="1:18" ht="24.75" customHeight="1">
      <c r="A127" s="24">
        <v>126</v>
      </c>
      <c r="B127" s="119" t="s">
        <v>1109</v>
      </c>
      <c r="C127" s="120" t="s">
        <v>771</v>
      </c>
      <c r="D127" s="120" t="s">
        <v>26</v>
      </c>
      <c r="E127" s="120" t="s">
        <v>780</v>
      </c>
      <c r="F127" s="120">
        <v>21</v>
      </c>
      <c r="G127" s="42" t="s">
        <v>20</v>
      </c>
      <c r="H127" s="135" t="s">
        <v>1110</v>
      </c>
      <c r="I127" s="130" t="s">
        <v>1111</v>
      </c>
      <c r="J127" s="92"/>
      <c r="K127" s="123" t="str">
        <f t="shared" si="0"/>
        <v>E - 126</v>
      </c>
      <c r="L127" s="123"/>
      <c r="M127" s="123"/>
      <c r="N127" s="128"/>
      <c r="O127" s="65"/>
      <c r="P127" s="81"/>
      <c r="Q127" s="23" t="str">
        <f t="shared" ca="1" si="1"/>
        <v>-</v>
      </c>
      <c r="R127" s="23"/>
    </row>
    <row r="128" spans="1:18" ht="24.75" customHeight="1">
      <c r="A128" s="118">
        <v>127</v>
      </c>
      <c r="B128" s="119" t="s">
        <v>1112</v>
      </c>
      <c r="C128" s="120" t="s">
        <v>771</v>
      </c>
      <c r="D128" s="120" t="s">
        <v>26</v>
      </c>
      <c r="E128" s="120" t="s">
        <v>973</v>
      </c>
      <c r="F128" s="120">
        <v>34</v>
      </c>
      <c r="G128" s="42" t="s">
        <v>20</v>
      </c>
      <c r="H128" s="135" t="s">
        <v>1113</v>
      </c>
      <c r="I128" s="122" t="s">
        <v>940</v>
      </c>
      <c r="J128" s="92"/>
      <c r="K128" s="123" t="str">
        <f t="shared" si="0"/>
        <v>E - 127</v>
      </c>
      <c r="L128" s="123"/>
      <c r="M128" s="123"/>
      <c r="N128" s="128"/>
      <c r="O128" s="65"/>
      <c r="P128" s="81"/>
      <c r="Q128" s="23" t="str">
        <f t="shared" ca="1" si="1"/>
        <v>-</v>
      </c>
      <c r="R128" s="23"/>
    </row>
    <row r="129" spans="1:18" ht="24.75" customHeight="1">
      <c r="A129" s="24">
        <v>128</v>
      </c>
      <c r="B129" s="119" t="s">
        <v>1114</v>
      </c>
      <c r="C129" s="120" t="s">
        <v>760</v>
      </c>
      <c r="D129" s="120" t="s">
        <v>26</v>
      </c>
      <c r="E129" s="120" t="s">
        <v>1115</v>
      </c>
      <c r="F129" s="120">
        <v>67</v>
      </c>
      <c r="G129" s="42" t="s">
        <v>20</v>
      </c>
      <c r="H129" s="135" t="s">
        <v>1116</v>
      </c>
      <c r="I129" s="122" t="s">
        <v>996</v>
      </c>
      <c r="J129" s="92"/>
      <c r="K129" s="123" t="str">
        <f t="shared" si="0"/>
        <v>E - 128</v>
      </c>
      <c r="L129" s="123"/>
      <c r="M129" s="123"/>
      <c r="N129" s="128"/>
      <c r="O129" s="65"/>
      <c r="P129" s="81"/>
      <c r="Q129" s="23" t="str">
        <f t="shared" ca="1" si="1"/>
        <v>-</v>
      </c>
      <c r="R129" s="23"/>
    </row>
    <row r="130" spans="1:18" ht="24.75" customHeight="1">
      <c r="A130" s="118">
        <v>129</v>
      </c>
      <c r="B130" s="119" t="s">
        <v>1117</v>
      </c>
      <c r="C130" s="120" t="s">
        <v>779</v>
      </c>
      <c r="D130" s="120" t="s">
        <v>26</v>
      </c>
      <c r="E130" s="120" t="s">
        <v>905</v>
      </c>
      <c r="F130" s="120">
        <v>31</v>
      </c>
      <c r="G130" s="42" t="s">
        <v>20</v>
      </c>
      <c r="H130" s="135" t="s">
        <v>1118</v>
      </c>
      <c r="I130" s="122" t="s">
        <v>782</v>
      </c>
      <c r="J130" s="88"/>
      <c r="K130" s="123" t="str">
        <f t="shared" si="0"/>
        <v>E - 129</v>
      </c>
      <c r="L130" s="123"/>
      <c r="M130" s="123"/>
      <c r="N130" s="128"/>
      <c r="O130" s="65"/>
      <c r="P130" s="81"/>
      <c r="Q130" s="23" t="str">
        <f t="shared" ca="1" si="1"/>
        <v>-</v>
      </c>
      <c r="R130" s="23"/>
    </row>
    <row r="131" spans="1:18" ht="24.75" customHeight="1">
      <c r="A131" s="24">
        <v>130</v>
      </c>
      <c r="B131" s="119" t="s">
        <v>1119</v>
      </c>
      <c r="C131" s="120" t="s">
        <v>779</v>
      </c>
      <c r="D131" s="120" t="s">
        <v>26</v>
      </c>
      <c r="E131" s="120" t="s">
        <v>905</v>
      </c>
      <c r="F131" s="120">
        <v>31</v>
      </c>
      <c r="G131" s="42" t="s">
        <v>20</v>
      </c>
      <c r="H131" s="135" t="s">
        <v>1120</v>
      </c>
      <c r="I131" s="122" t="s">
        <v>782</v>
      </c>
      <c r="J131" s="92"/>
      <c r="K131" s="123" t="str">
        <f t="shared" si="0"/>
        <v>E - 130</v>
      </c>
      <c r="L131" s="123"/>
      <c r="M131" s="123"/>
      <c r="N131" s="128"/>
      <c r="O131" s="65"/>
      <c r="P131" s="81"/>
      <c r="Q131" s="23" t="str">
        <f t="shared" ca="1" si="1"/>
        <v>-</v>
      </c>
      <c r="R131" s="23"/>
    </row>
    <row r="132" spans="1:18" ht="24.75" customHeight="1">
      <c r="A132" s="118">
        <v>131</v>
      </c>
      <c r="B132" s="119" t="s">
        <v>1121</v>
      </c>
      <c r="C132" s="120" t="s">
        <v>794</v>
      </c>
      <c r="D132" s="120" t="s">
        <v>26</v>
      </c>
      <c r="E132" s="120" t="s">
        <v>1064</v>
      </c>
      <c r="F132" s="120">
        <v>100</v>
      </c>
      <c r="G132" s="42" t="s">
        <v>20</v>
      </c>
      <c r="H132" s="135" t="s">
        <v>1122</v>
      </c>
      <c r="I132" s="122" t="s">
        <v>880</v>
      </c>
      <c r="J132" s="92"/>
      <c r="K132" s="123" t="str">
        <f t="shared" si="0"/>
        <v>E - 131</v>
      </c>
      <c r="L132" s="123"/>
      <c r="M132" s="123"/>
      <c r="N132" s="128"/>
      <c r="O132" s="65"/>
      <c r="P132" s="81"/>
      <c r="Q132" s="23" t="str">
        <f t="shared" ca="1" si="1"/>
        <v>-</v>
      </c>
      <c r="R132" s="23"/>
    </row>
    <row r="133" spans="1:18" ht="24.75" customHeight="1">
      <c r="A133" s="24">
        <v>132</v>
      </c>
      <c r="B133" s="119" t="s">
        <v>1123</v>
      </c>
      <c r="C133" s="127" t="s">
        <v>771</v>
      </c>
      <c r="D133" s="127" t="s">
        <v>26</v>
      </c>
      <c r="E133" s="127">
        <v>102.1</v>
      </c>
      <c r="F133" s="127">
        <v>131</v>
      </c>
      <c r="G133" s="42" t="s">
        <v>388</v>
      </c>
      <c r="H133" s="135" t="s">
        <v>1124</v>
      </c>
      <c r="I133" s="122" t="s">
        <v>1125</v>
      </c>
      <c r="J133" s="88" t="s">
        <v>1126</v>
      </c>
      <c r="K133" s="123" t="str">
        <f t="shared" si="0"/>
        <v>E - 132</v>
      </c>
      <c r="L133" s="123"/>
      <c r="M133" s="123"/>
      <c r="N133" s="128"/>
      <c r="O133" s="65"/>
      <c r="P133" s="81"/>
      <c r="Q133" s="23" t="str">
        <f t="shared" ca="1" si="1"/>
        <v>-</v>
      </c>
      <c r="R133" s="23"/>
    </row>
    <row r="134" spans="1:18" ht="24.75" customHeight="1">
      <c r="A134" s="24">
        <v>133</v>
      </c>
      <c r="B134" s="119" t="s">
        <v>1127</v>
      </c>
      <c r="C134" s="120" t="s">
        <v>771</v>
      </c>
      <c r="D134" s="120" t="s">
        <v>26</v>
      </c>
      <c r="E134" s="120" t="s">
        <v>905</v>
      </c>
      <c r="F134" s="120">
        <v>34</v>
      </c>
      <c r="G134" s="42" t="s">
        <v>20</v>
      </c>
      <c r="H134" s="135" t="s">
        <v>1128</v>
      </c>
      <c r="I134" s="122" t="s">
        <v>940</v>
      </c>
      <c r="J134" s="92"/>
      <c r="K134" s="123" t="str">
        <f t="shared" si="0"/>
        <v>E - 133</v>
      </c>
      <c r="L134" s="123"/>
      <c r="M134" s="123"/>
      <c r="N134" s="128"/>
      <c r="O134" s="65"/>
      <c r="P134" s="81"/>
      <c r="Q134" s="23" t="str">
        <f t="shared" ca="1" si="1"/>
        <v>-</v>
      </c>
      <c r="R134" s="23"/>
    </row>
    <row r="135" spans="1:18" ht="24.75" customHeight="1">
      <c r="A135" s="118">
        <v>134</v>
      </c>
      <c r="B135" s="119" t="s">
        <v>1129</v>
      </c>
      <c r="C135" s="120" t="s">
        <v>794</v>
      </c>
      <c r="D135" s="120" t="s">
        <v>26</v>
      </c>
      <c r="E135" s="120" t="s">
        <v>1130</v>
      </c>
      <c r="F135" s="120">
        <v>93</v>
      </c>
      <c r="G135" s="42" t="s">
        <v>20</v>
      </c>
      <c r="H135" s="135" t="s">
        <v>1131</v>
      </c>
      <c r="I135" s="130" t="s">
        <v>873</v>
      </c>
      <c r="J135" s="92"/>
      <c r="K135" s="123" t="str">
        <f t="shared" si="0"/>
        <v>E - 134</v>
      </c>
      <c r="L135" s="123"/>
      <c r="M135" s="123"/>
      <c r="N135" s="128"/>
      <c r="O135" s="65"/>
      <c r="P135" s="81"/>
      <c r="Q135" s="23" t="str">
        <f t="shared" ca="1" si="1"/>
        <v>-</v>
      </c>
      <c r="R135" s="23"/>
    </row>
    <row r="136" spans="1:18" ht="24.75" customHeight="1">
      <c r="A136" s="24">
        <v>135</v>
      </c>
      <c r="B136" s="119" t="s">
        <v>1129</v>
      </c>
      <c r="C136" s="120" t="s">
        <v>794</v>
      </c>
      <c r="D136" s="120" t="s">
        <v>19</v>
      </c>
      <c r="E136" s="120">
        <v>4</v>
      </c>
      <c r="F136" s="120">
        <v>93</v>
      </c>
      <c r="G136" s="42" t="s">
        <v>20</v>
      </c>
      <c r="H136" s="135" t="s">
        <v>1131</v>
      </c>
      <c r="I136" s="122" t="s">
        <v>873</v>
      </c>
      <c r="J136" s="88"/>
      <c r="K136" s="123" t="str">
        <f t="shared" si="0"/>
        <v>E - 135</v>
      </c>
      <c r="L136" s="123"/>
      <c r="M136" s="123"/>
      <c r="N136" s="128"/>
      <c r="O136" s="65"/>
      <c r="P136" s="81"/>
      <c r="Q136" s="23" t="str">
        <f t="shared" ca="1" si="1"/>
        <v>-</v>
      </c>
      <c r="R136" s="23"/>
    </row>
    <row r="137" spans="1:18" ht="24.75" customHeight="1">
      <c r="A137" s="118">
        <v>136</v>
      </c>
      <c r="B137" s="119" t="s">
        <v>850</v>
      </c>
      <c r="C137" s="127" t="s">
        <v>850</v>
      </c>
      <c r="D137" s="127" t="s">
        <v>26</v>
      </c>
      <c r="E137" s="127">
        <v>98.7</v>
      </c>
      <c r="F137" s="127">
        <v>38</v>
      </c>
      <c r="G137" s="42" t="s">
        <v>20</v>
      </c>
      <c r="H137" s="135" t="s">
        <v>1132</v>
      </c>
      <c r="I137" s="122" t="s">
        <v>1133</v>
      </c>
      <c r="J137" s="146"/>
      <c r="K137" s="123" t="str">
        <f t="shared" si="0"/>
        <v>E - 136</v>
      </c>
      <c r="L137" s="123"/>
      <c r="M137" s="123"/>
      <c r="N137" s="128"/>
      <c r="O137" s="65"/>
      <c r="P137" s="81"/>
      <c r="Q137" s="23" t="str">
        <f t="shared" ca="1" si="1"/>
        <v>-</v>
      </c>
      <c r="R137" s="23"/>
    </row>
    <row r="138" spans="1:18" ht="24.75" customHeight="1">
      <c r="A138" s="24">
        <v>137</v>
      </c>
      <c r="B138" s="119" t="s">
        <v>1134</v>
      </c>
      <c r="C138" s="120" t="s">
        <v>850</v>
      </c>
      <c r="D138" s="120" t="s">
        <v>31</v>
      </c>
      <c r="E138" s="120">
        <v>35</v>
      </c>
      <c r="F138" s="120">
        <v>38</v>
      </c>
      <c r="G138" s="42" t="s">
        <v>20</v>
      </c>
      <c r="H138" s="135" t="s">
        <v>1132</v>
      </c>
      <c r="I138" s="122" t="s">
        <v>853</v>
      </c>
      <c r="J138" s="92"/>
      <c r="K138" s="123" t="str">
        <f t="shared" si="0"/>
        <v>E - 137</v>
      </c>
      <c r="L138" s="123"/>
      <c r="M138" s="123"/>
      <c r="N138" s="128"/>
      <c r="O138" s="65"/>
      <c r="P138" s="81"/>
      <c r="Q138" s="23" t="str">
        <f t="shared" ca="1" si="1"/>
        <v>-</v>
      </c>
      <c r="R138" s="23"/>
    </row>
    <row r="139" spans="1:18" ht="24.75" customHeight="1">
      <c r="A139" s="118">
        <v>138</v>
      </c>
      <c r="B139" s="119" t="s">
        <v>1135</v>
      </c>
      <c r="C139" s="120" t="s">
        <v>850</v>
      </c>
      <c r="D139" s="120" t="s">
        <v>100</v>
      </c>
      <c r="E139" s="120">
        <v>610</v>
      </c>
      <c r="F139" s="120">
        <v>38</v>
      </c>
      <c r="G139" s="42" t="s">
        <v>20</v>
      </c>
      <c r="H139" s="135" t="s">
        <v>1132</v>
      </c>
      <c r="I139" s="122" t="s">
        <v>853</v>
      </c>
      <c r="J139" s="92"/>
      <c r="K139" s="123" t="str">
        <f t="shared" si="0"/>
        <v>E - 138</v>
      </c>
      <c r="L139" s="123"/>
      <c r="M139" s="123"/>
      <c r="N139" s="128"/>
      <c r="O139" s="65"/>
      <c r="P139" s="81"/>
      <c r="Q139" s="23" t="str">
        <f t="shared" ca="1" si="1"/>
        <v>-</v>
      </c>
      <c r="R139" s="23"/>
    </row>
    <row r="140" spans="1:18">
      <c r="A140" s="24">
        <v>139</v>
      </c>
      <c r="B140" s="119" t="s">
        <v>1136</v>
      </c>
      <c r="C140" s="120" t="s">
        <v>760</v>
      </c>
      <c r="D140" s="120" t="s">
        <v>26</v>
      </c>
      <c r="E140" s="120" t="s">
        <v>947</v>
      </c>
      <c r="F140" s="120">
        <v>100</v>
      </c>
      <c r="G140" s="42" t="s">
        <v>20</v>
      </c>
      <c r="H140" s="135" t="s">
        <v>1137</v>
      </c>
      <c r="I140" s="122" t="s">
        <v>880</v>
      </c>
      <c r="J140" s="146"/>
      <c r="K140" s="123" t="str">
        <f t="shared" si="0"/>
        <v>E - 139</v>
      </c>
      <c r="L140" s="123"/>
      <c r="M140" s="123"/>
      <c r="N140" s="128"/>
      <c r="O140" s="65"/>
      <c r="P140" s="81"/>
      <c r="Q140" s="23" t="str">
        <f t="shared" ca="1" si="1"/>
        <v>-</v>
      </c>
      <c r="R140" s="23"/>
    </row>
    <row r="141" spans="1:18" ht="24.75" customHeight="1">
      <c r="A141" s="24">
        <v>140</v>
      </c>
      <c r="B141" s="119" t="s">
        <v>1138</v>
      </c>
      <c r="C141" s="120" t="s">
        <v>850</v>
      </c>
      <c r="D141" s="120" t="s">
        <v>26</v>
      </c>
      <c r="E141" s="120" t="s">
        <v>1139</v>
      </c>
      <c r="F141" s="120">
        <v>38</v>
      </c>
      <c r="G141" s="45" t="s">
        <v>223</v>
      </c>
      <c r="H141" s="135" t="s">
        <v>1140</v>
      </c>
      <c r="I141" s="122" t="s">
        <v>1141</v>
      </c>
      <c r="J141" s="134"/>
      <c r="K141" s="123" t="str">
        <f t="shared" si="0"/>
        <v>E - 140</v>
      </c>
      <c r="L141" s="95" t="s">
        <v>368</v>
      </c>
      <c r="M141" s="95" t="s">
        <v>24</v>
      </c>
      <c r="N141" s="128"/>
      <c r="O141" s="65"/>
      <c r="P141" s="147">
        <v>45971</v>
      </c>
      <c r="Q141" s="23" t="str">
        <f t="shared" ca="1" si="1"/>
        <v>28 días</v>
      </c>
      <c r="R141" s="23"/>
    </row>
    <row r="142" spans="1:18" ht="24.75" customHeight="1">
      <c r="A142" s="118">
        <v>141</v>
      </c>
      <c r="B142" s="119" t="s">
        <v>1138</v>
      </c>
      <c r="C142" s="120" t="s">
        <v>850</v>
      </c>
      <c r="D142" s="120" t="s">
        <v>19</v>
      </c>
      <c r="E142" s="120">
        <v>6</v>
      </c>
      <c r="F142" s="120">
        <v>38</v>
      </c>
      <c r="G142" s="45" t="s">
        <v>223</v>
      </c>
      <c r="H142" s="135" t="s">
        <v>1140</v>
      </c>
      <c r="I142" s="122" t="s">
        <v>1142</v>
      </c>
      <c r="J142" s="134"/>
      <c r="K142" s="123" t="str">
        <f t="shared" si="0"/>
        <v>E - 141</v>
      </c>
      <c r="L142" s="95" t="s">
        <v>368</v>
      </c>
      <c r="M142" s="95" t="s">
        <v>24</v>
      </c>
      <c r="N142" s="128"/>
      <c r="O142" s="65"/>
      <c r="P142" s="81">
        <v>45971</v>
      </c>
      <c r="Q142" s="23" t="str">
        <f t="shared" ca="1" si="1"/>
        <v>28 días</v>
      </c>
      <c r="R142" s="23"/>
    </row>
    <row r="143" spans="1:18" ht="24.75" customHeight="1">
      <c r="A143" s="24">
        <v>142</v>
      </c>
      <c r="B143" s="119" t="s">
        <v>1143</v>
      </c>
      <c r="C143" s="120" t="s">
        <v>946</v>
      </c>
      <c r="D143" s="120" t="s">
        <v>26</v>
      </c>
      <c r="E143" s="120" t="s">
        <v>820</v>
      </c>
      <c r="F143" s="120">
        <v>94</v>
      </c>
      <c r="G143" s="42" t="s">
        <v>20</v>
      </c>
      <c r="H143" s="135" t="s">
        <v>1144</v>
      </c>
      <c r="I143" s="122" t="s">
        <v>853</v>
      </c>
      <c r="J143" s="146"/>
      <c r="K143" s="123" t="str">
        <f t="shared" si="0"/>
        <v>E - 142</v>
      </c>
      <c r="L143" s="123"/>
      <c r="M143" s="123"/>
      <c r="N143" s="128"/>
      <c r="O143" s="65"/>
      <c r="P143" s="81"/>
      <c r="Q143" s="23" t="str">
        <f t="shared" ca="1" si="1"/>
        <v>-</v>
      </c>
      <c r="R143" s="23"/>
    </row>
    <row r="144" spans="1:18" ht="24.75" customHeight="1">
      <c r="A144" s="118">
        <v>143</v>
      </c>
      <c r="B144" s="119" t="s">
        <v>1145</v>
      </c>
      <c r="C144" s="120" t="s">
        <v>760</v>
      </c>
      <c r="D144" s="120" t="s">
        <v>26</v>
      </c>
      <c r="E144" s="120" t="s">
        <v>1146</v>
      </c>
      <c r="F144" s="120">
        <v>67</v>
      </c>
      <c r="G144" s="42" t="s">
        <v>20</v>
      </c>
      <c r="H144" s="135" t="s">
        <v>1147</v>
      </c>
      <c r="I144" s="122" t="s">
        <v>996</v>
      </c>
      <c r="J144" s="92"/>
      <c r="K144" s="123" t="str">
        <f t="shared" si="0"/>
        <v>E - 143</v>
      </c>
      <c r="L144" s="123"/>
      <c r="M144" s="123"/>
      <c r="N144" s="128"/>
      <c r="O144" s="65"/>
      <c r="P144" s="81"/>
      <c r="Q144" s="23" t="str">
        <f t="shared" ca="1" si="1"/>
        <v>-</v>
      </c>
      <c r="R144" s="23"/>
    </row>
    <row r="145" spans="1:18" ht="24.75" customHeight="1">
      <c r="A145" s="24">
        <v>144</v>
      </c>
      <c r="B145" s="119" t="s">
        <v>1148</v>
      </c>
      <c r="C145" s="120" t="s">
        <v>794</v>
      </c>
      <c r="D145" s="120" t="s">
        <v>26</v>
      </c>
      <c r="E145" s="120" t="s">
        <v>56</v>
      </c>
      <c r="F145" s="120">
        <v>21</v>
      </c>
      <c r="G145" s="42" t="s">
        <v>20</v>
      </c>
      <c r="H145" s="135" t="s">
        <v>1149</v>
      </c>
      <c r="I145" s="122" t="s">
        <v>1061</v>
      </c>
      <c r="J145" s="92"/>
      <c r="K145" s="123" t="str">
        <f t="shared" si="0"/>
        <v>E - 144</v>
      </c>
      <c r="L145" s="123"/>
      <c r="M145" s="123"/>
      <c r="N145" s="128"/>
      <c r="O145" s="65"/>
      <c r="P145" s="81"/>
      <c r="Q145" s="23" t="str">
        <f t="shared" ca="1" si="1"/>
        <v>-</v>
      </c>
      <c r="R145" s="23"/>
    </row>
    <row r="146" spans="1:18" ht="24.75" customHeight="1">
      <c r="A146" s="118">
        <v>145</v>
      </c>
      <c r="B146" s="119" t="s">
        <v>1150</v>
      </c>
      <c r="C146" s="120" t="s">
        <v>794</v>
      </c>
      <c r="D146" s="120" t="s">
        <v>19</v>
      </c>
      <c r="E146" s="120">
        <v>9</v>
      </c>
      <c r="F146" s="120">
        <v>124</v>
      </c>
      <c r="G146" s="42" t="s">
        <v>20</v>
      </c>
      <c r="H146" s="135" t="s">
        <v>1151</v>
      </c>
      <c r="I146" s="122" t="s">
        <v>1152</v>
      </c>
      <c r="J146" s="92"/>
      <c r="K146" s="123" t="str">
        <f t="shared" si="0"/>
        <v>E - 145</v>
      </c>
      <c r="L146" s="95"/>
      <c r="M146" s="95"/>
      <c r="N146" s="128"/>
      <c r="O146" s="65"/>
      <c r="P146" s="81"/>
      <c r="Q146" s="23" t="str">
        <f t="shared" ca="1" si="1"/>
        <v>-</v>
      </c>
      <c r="R146" s="23"/>
    </row>
    <row r="147" spans="1:18" ht="24.75" customHeight="1">
      <c r="A147" s="24">
        <v>146</v>
      </c>
      <c r="B147" s="119" t="s">
        <v>1150</v>
      </c>
      <c r="C147" s="120" t="s">
        <v>794</v>
      </c>
      <c r="D147" s="120" t="s">
        <v>26</v>
      </c>
      <c r="E147" s="120" t="s">
        <v>1153</v>
      </c>
      <c r="F147" s="120">
        <v>124</v>
      </c>
      <c r="G147" s="42" t="s">
        <v>20</v>
      </c>
      <c r="H147" s="135" t="s">
        <v>1151</v>
      </c>
      <c r="I147" s="122" t="s">
        <v>1154</v>
      </c>
      <c r="J147" s="92"/>
      <c r="K147" s="123" t="str">
        <f t="shared" si="0"/>
        <v>E - 146</v>
      </c>
      <c r="L147" s="123"/>
      <c r="M147" s="123"/>
      <c r="N147" s="128"/>
      <c r="O147" s="65"/>
      <c r="P147" s="81"/>
      <c r="Q147" s="23" t="str">
        <f t="shared" ca="1" si="1"/>
        <v>-</v>
      </c>
      <c r="R147" s="23"/>
    </row>
    <row r="148" spans="1:18" ht="24.75" customHeight="1">
      <c r="A148" s="24">
        <v>147</v>
      </c>
      <c r="B148" s="119" t="s">
        <v>1155</v>
      </c>
      <c r="C148" s="120" t="s">
        <v>760</v>
      </c>
      <c r="D148" s="120" t="s">
        <v>26</v>
      </c>
      <c r="E148" s="120" t="s">
        <v>806</v>
      </c>
      <c r="F148" s="120">
        <v>67</v>
      </c>
      <c r="G148" s="42" t="s">
        <v>20</v>
      </c>
      <c r="H148" s="135" t="s">
        <v>1156</v>
      </c>
      <c r="I148" s="122" t="s">
        <v>996</v>
      </c>
      <c r="J148" s="107"/>
      <c r="K148" s="123" t="str">
        <f t="shared" si="0"/>
        <v>E - 147</v>
      </c>
      <c r="L148" s="123"/>
      <c r="M148" s="123"/>
      <c r="N148" s="128"/>
      <c r="O148" s="65"/>
      <c r="P148" s="81"/>
      <c r="Q148" s="23" t="str">
        <f t="shared" ca="1" si="1"/>
        <v>-</v>
      </c>
      <c r="R148" s="23"/>
    </row>
    <row r="149" spans="1:18" ht="24.75" customHeight="1">
      <c r="A149" s="118">
        <v>148</v>
      </c>
      <c r="B149" s="119" t="s">
        <v>1157</v>
      </c>
      <c r="C149" s="127" t="s">
        <v>794</v>
      </c>
      <c r="D149" s="127" t="s">
        <v>26</v>
      </c>
      <c r="E149" s="127">
        <v>88.9</v>
      </c>
      <c r="F149" s="127">
        <v>92</v>
      </c>
      <c r="G149" s="42" t="s">
        <v>20</v>
      </c>
      <c r="H149" s="135" t="s">
        <v>1158</v>
      </c>
      <c r="I149" s="122" t="s">
        <v>880</v>
      </c>
      <c r="J149" s="92"/>
      <c r="K149" s="123" t="str">
        <f t="shared" si="0"/>
        <v>E - 148</v>
      </c>
      <c r="L149" s="123"/>
      <c r="M149" s="123"/>
      <c r="N149" s="128"/>
      <c r="O149" s="65"/>
      <c r="P149" s="81"/>
      <c r="Q149" s="23" t="str">
        <f t="shared" ca="1" si="1"/>
        <v>-</v>
      </c>
      <c r="R149" s="23"/>
    </row>
    <row r="150" spans="1:18" ht="24.75" customHeight="1">
      <c r="A150" s="24">
        <v>149</v>
      </c>
      <c r="B150" s="119" t="s">
        <v>1159</v>
      </c>
      <c r="C150" s="120" t="s">
        <v>779</v>
      </c>
      <c r="D150" s="120" t="s">
        <v>26</v>
      </c>
      <c r="E150" s="120" t="s">
        <v>894</v>
      </c>
      <c r="F150" s="120">
        <v>84</v>
      </c>
      <c r="G150" s="42" t="s">
        <v>20</v>
      </c>
      <c r="H150" s="135" t="s">
        <v>1160</v>
      </c>
      <c r="I150" s="122" t="s">
        <v>782</v>
      </c>
      <c r="J150" s="92"/>
      <c r="K150" s="123" t="str">
        <f t="shared" si="0"/>
        <v>E - 149</v>
      </c>
      <c r="L150" s="123"/>
      <c r="M150" s="123"/>
      <c r="N150" s="128"/>
      <c r="O150" s="65"/>
      <c r="P150" s="81"/>
      <c r="Q150" s="23" t="str">
        <f t="shared" ca="1" si="1"/>
        <v>-</v>
      </c>
      <c r="R150" s="23"/>
    </row>
    <row r="151" spans="1:18" ht="24.75" customHeight="1">
      <c r="A151" s="118"/>
      <c r="B151" s="148"/>
      <c r="C151" s="149"/>
      <c r="D151" s="149"/>
      <c r="E151" s="149"/>
      <c r="F151" s="149"/>
      <c r="G151" s="149"/>
      <c r="H151" s="149"/>
      <c r="I151" s="150" t="s">
        <v>1161</v>
      </c>
      <c r="J151" s="151" t="s">
        <v>1162</v>
      </c>
      <c r="K151" s="152"/>
      <c r="L151" s="152"/>
      <c r="M151" s="152"/>
      <c r="N151" s="152"/>
      <c r="O151" s="152"/>
      <c r="P151" s="153"/>
      <c r="Q151" s="152"/>
      <c r="R151" s="152"/>
    </row>
    <row r="152" spans="1:18" ht="24.75" customHeight="1">
      <c r="A152" s="149"/>
      <c r="B152" s="154"/>
      <c r="C152" s="63"/>
      <c r="D152" s="63"/>
      <c r="E152" s="63"/>
      <c r="F152" s="63"/>
      <c r="G152" s="63"/>
      <c r="H152" s="63"/>
      <c r="I152" s="155" t="s">
        <v>1161</v>
      </c>
      <c r="J152" s="156" t="s">
        <v>1158</v>
      </c>
      <c r="K152" s="152"/>
      <c r="L152" s="152"/>
      <c r="M152" s="152"/>
      <c r="N152" s="152"/>
      <c r="O152" s="152"/>
      <c r="P152" s="153"/>
      <c r="Q152" s="152"/>
      <c r="R152" s="152"/>
    </row>
    <row r="153" spans="1:18" ht="24.75" customHeight="1">
      <c r="A153" s="63"/>
      <c r="B153" s="154"/>
      <c r="C153" s="67"/>
      <c r="D153" s="67"/>
      <c r="E153" s="63"/>
      <c r="F153" s="63"/>
      <c r="G153" s="63"/>
      <c r="H153" s="63"/>
      <c r="I153" s="155" t="s">
        <v>1161</v>
      </c>
      <c r="J153" s="156" t="s">
        <v>1079</v>
      </c>
      <c r="K153" s="152"/>
      <c r="L153" s="152"/>
      <c r="M153" s="152"/>
      <c r="N153" s="152"/>
      <c r="O153" s="152"/>
      <c r="P153" s="153"/>
      <c r="Q153" s="152"/>
      <c r="R153" s="152"/>
    </row>
    <row r="154" spans="1:18" ht="24.75" customHeight="1">
      <c r="A154" s="63"/>
      <c r="B154" s="154"/>
      <c r="C154" s="63"/>
      <c r="D154" s="67"/>
      <c r="E154" s="63"/>
      <c r="F154" s="63"/>
      <c r="G154" s="63"/>
      <c r="H154" s="63"/>
      <c r="I154" s="150" t="s">
        <v>1161</v>
      </c>
      <c r="J154" s="151" t="s">
        <v>1097</v>
      </c>
      <c r="K154" s="152"/>
      <c r="L154" s="152"/>
      <c r="M154" s="152"/>
      <c r="N154" s="152"/>
      <c r="O154" s="152"/>
      <c r="P154" s="153"/>
      <c r="Q154" s="152"/>
      <c r="R154" s="152"/>
    </row>
    <row r="155" spans="1:18" ht="24.75" customHeight="1">
      <c r="A155" s="63"/>
      <c r="B155" s="154"/>
      <c r="C155" s="63"/>
      <c r="D155" s="63"/>
      <c r="E155" s="63"/>
      <c r="F155" s="63"/>
      <c r="G155" s="63"/>
      <c r="H155" s="63"/>
      <c r="I155" s="157" t="s">
        <v>1163</v>
      </c>
      <c r="J155" s="158" t="s">
        <v>1124</v>
      </c>
      <c r="K155" s="152"/>
      <c r="L155" s="152"/>
      <c r="M155" s="152"/>
      <c r="N155" s="152"/>
      <c r="O155" s="152"/>
      <c r="P155" s="153"/>
      <c r="Q155" s="152"/>
      <c r="R155" s="152"/>
    </row>
    <row r="156" spans="1:18" ht="24.75" customHeight="1">
      <c r="A156" s="63"/>
      <c r="B156" s="154"/>
      <c r="C156" s="63"/>
      <c r="D156" s="63"/>
      <c r="E156" s="63"/>
      <c r="F156" s="63"/>
      <c r="G156" s="63"/>
      <c r="H156" s="63"/>
      <c r="I156" s="155" t="s">
        <v>1161</v>
      </c>
      <c r="J156" s="159" t="s">
        <v>1108</v>
      </c>
      <c r="K156" s="152"/>
      <c r="L156" s="152"/>
      <c r="M156" s="152"/>
      <c r="N156" s="152"/>
      <c r="O156" s="152"/>
      <c r="P156" s="153"/>
      <c r="Q156" s="152"/>
      <c r="R156" s="152"/>
    </row>
    <row r="157" spans="1:18" ht="24.75" customHeight="1">
      <c r="A157" s="63"/>
      <c r="B157" s="154"/>
      <c r="C157" s="63"/>
      <c r="D157" s="63"/>
      <c r="E157" s="63"/>
      <c r="F157" s="63"/>
      <c r="G157" s="63"/>
      <c r="H157" s="63"/>
      <c r="I157" s="155"/>
      <c r="J157" s="159"/>
      <c r="K157" s="152"/>
      <c r="L157" s="152"/>
      <c r="M157" s="152"/>
      <c r="N157" s="152"/>
      <c r="O157" s="152"/>
      <c r="P157" s="153"/>
      <c r="Q157" s="152"/>
      <c r="R157" s="152"/>
    </row>
    <row r="158" spans="1:18" ht="24.75" customHeight="1">
      <c r="A158" s="63"/>
      <c r="P158" s="160"/>
    </row>
  </sheetData>
  <autoFilter ref="A1:R156" xr:uid="{00000000-0009-0000-0000-000003000000}"/>
  <customSheetViews>
    <customSheetView guid="{5D10151A-3867-40BF-AA66-4AABD0E21775}" filter="1" showAutoFilter="1">
      <pageMargins left="0.7" right="0.7" top="0.75" bottom="0.75" header="0.3" footer="0.3"/>
      <autoFilter ref="A1:J158" xr:uid="{F4822F67-073A-4443-8C40-265EC5162543}"/>
    </customSheetView>
    <customSheetView guid="{5A9BE03D-05A2-486B-93CC-9E1D106790C4}" filter="1" showAutoFilter="1">
      <pageMargins left="0.7" right="0.7" top="0.75" bottom="0.75" header="0.3" footer="0.3"/>
      <autoFilter ref="A1:G75" xr:uid="{4F5C0A4A-8B4E-4C35-B803-7DEB3E65CF2E}">
        <filterColumn colId="3">
          <filters>
            <filter val="AM"/>
            <filter val="UHF"/>
            <filter val="VHF"/>
          </filters>
        </filterColumn>
      </autoFilter>
    </customSheetView>
  </customSheetViews>
  <conditionalFormatting sqref="G1:G158">
    <cfRule type="cellIs" dxfId="3" priority="1" operator="equal">
      <formula>"A.A"</formula>
    </cfRule>
  </conditionalFormatting>
  <conditionalFormatting sqref="G1:G158">
    <cfRule type="cellIs" dxfId="2" priority="2" operator="equal">
      <formula>"F.A"</formula>
    </cfRule>
  </conditionalFormatting>
  <conditionalFormatting sqref="G1:G158">
    <cfRule type="cellIs" dxfId="1" priority="3" operator="equal">
      <formula>"N.I"</formula>
    </cfRule>
  </conditionalFormatting>
  <hyperlinks>
    <hyperlink ref="B2" r:id="rId1" xr:uid="{00000000-0004-0000-0300-000000000000}"/>
    <hyperlink ref="H2" r:id="rId2" xr:uid="{00000000-0004-0000-0300-000001000000}"/>
    <hyperlink ref="B3" r:id="rId3" xr:uid="{00000000-0004-0000-0300-000002000000}"/>
    <hyperlink ref="H3" r:id="rId4" xr:uid="{00000000-0004-0000-0300-000003000000}"/>
    <hyperlink ref="B4" r:id="rId5" xr:uid="{00000000-0004-0000-0300-000004000000}"/>
    <hyperlink ref="H4" r:id="rId6" xr:uid="{00000000-0004-0000-0300-000005000000}"/>
    <hyperlink ref="B5" r:id="rId7" xr:uid="{00000000-0004-0000-0300-000006000000}"/>
    <hyperlink ref="H5" r:id="rId8" xr:uid="{00000000-0004-0000-0300-000007000000}"/>
    <hyperlink ref="B6" r:id="rId9" xr:uid="{00000000-0004-0000-0300-000008000000}"/>
    <hyperlink ref="H6" r:id="rId10" xr:uid="{00000000-0004-0000-0300-000009000000}"/>
    <hyperlink ref="B7" r:id="rId11" xr:uid="{00000000-0004-0000-0300-00000A000000}"/>
    <hyperlink ref="H7" r:id="rId12" xr:uid="{00000000-0004-0000-0300-00000B000000}"/>
    <hyperlink ref="B8" r:id="rId13" xr:uid="{00000000-0004-0000-0300-00000C000000}"/>
    <hyperlink ref="H8" r:id="rId14" xr:uid="{00000000-0004-0000-0300-00000D000000}"/>
    <hyperlink ref="B9" r:id="rId15" xr:uid="{00000000-0004-0000-0300-00000E000000}"/>
    <hyperlink ref="H9" r:id="rId16" xr:uid="{00000000-0004-0000-0300-00000F000000}"/>
    <hyperlink ref="B10" r:id="rId17" xr:uid="{00000000-0004-0000-0300-000010000000}"/>
    <hyperlink ref="H10" r:id="rId18" xr:uid="{00000000-0004-0000-0300-000011000000}"/>
    <hyperlink ref="B11" r:id="rId19" xr:uid="{00000000-0004-0000-0300-000012000000}"/>
    <hyperlink ref="H11" r:id="rId20" xr:uid="{00000000-0004-0000-0300-000013000000}"/>
    <hyperlink ref="B12" r:id="rId21" xr:uid="{00000000-0004-0000-0300-000014000000}"/>
    <hyperlink ref="H12" r:id="rId22" xr:uid="{00000000-0004-0000-0300-000015000000}"/>
    <hyperlink ref="B13" r:id="rId23" xr:uid="{00000000-0004-0000-0300-000016000000}"/>
    <hyperlink ref="H13" r:id="rId24" xr:uid="{00000000-0004-0000-0300-000017000000}"/>
    <hyperlink ref="B14" r:id="rId25" xr:uid="{00000000-0004-0000-0300-000018000000}"/>
    <hyperlink ref="H14" r:id="rId26" xr:uid="{00000000-0004-0000-0300-000019000000}"/>
    <hyperlink ref="B15" r:id="rId27" xr:uid="{00000000-0004-0000-0300-00001A000000}"/>
    <hyperlink ref="H15" r:id="rId28" xr:uid="{00000000-0004-0000-0300-00001B000000}"/>
    <hyperlink ref="B16" r:id="rId29" xr:uid="{00000000-0004-0000-0300-00001C000000}"/>
    <hyperlink ref="H16" r:id="rId30" xr:uid="{00000000-0004-0000-0300-00001D000000}"/>
    <hyperlink ref="B17" r:id="rId31" xr:uid="{00000000-0004-0000-0300-00001E000000}"/>
    <hyperlink ref="H17" r:id="rId32" xr:uid="{00000000-0004-0000-0300-00001F000000}"/>
    <hyperlink ref="B18" r:id="rId33" xr:uid="{00000000-0004-0000-0300-000020000000}"/>
    <hyperlink ref="H18" r:id="rId34" xr:uid="{00000000-0004-0000-0300-000021000000}"/>
    <hyperlink ref="B19" r:id="rId35" xr:uid="{00000000-0004-0000-0300-000022000000}"/>
    <hyperlink ref="H19" r:id="rId36" xr:uid="{00000000-0004-0000-0300-000023000000}"/>
    <hyperlink ref="B20" r:id="rId37" xr:uid="{00000000-0004-0000-0300-000024000000}"/>
    <hyperlink ref="H20" r:id="rId38" xr:uid="{00000000-0004-0000-0300-000025000000}"/>
    <hyperlink ref="B21" r:id="rId39" xr:uid="{00000000-0004-0000-0300-000026000000}"/>
    <hyperlink ref="H21" r:id="rId40" xr:uid="{00000000-0004-0000-0300-000027000000}"/>
    <hyperlink ref="B22" r:id="rId41" xr:uid="{00000000-0004-0000-0300-000028000000}"/>
    <hyperlink ref="H22" r:id="rId42" xr:uid="{00000000-0004-0000-0300-000029000000}"/>
    <hyperlink ref="B23" r:id="rId43" xr:uid="{00000000-0004-0000-0300-00002A000000}"/>
    <hyperlink ref="H23" r:id="rId44" xr:uid="{00000000-0004-0000-0300-00002B000000}"/>
    <hyperlink ref="B24" r:id="rId45" xr:uid="{00000000-0004-0000-0300-00002C000000}"/>
    <hyperlink ref="H24" r:id="rId46" xr:uid="{00000000-0004-0000-0300-00002D000000}"/>
    <hyperlink ref="B25" r:id="rId47" xr:uid="{00000000-0004-0000-0300-00002E000000}"/>
    <hyperlink ref="H25" r:id="rId48" xr:uid="{00000000-0004-0000-0300-00002F000000}"/>
    <hyperlink ref="B26" r:id="rId49" xr:uid="{00000000-0004-0000-0300-000030000000}"/>
    <hyperlink ref="H26" r:id="rId50" xr:uid="{00000000-0004-0000-0300-000031000000}"/>
    <hyperlink ref="B27" r:id="rId51" xr:uid="{00000000-0004-0000-0300-000032000000}"/>
    <hyperlink ref="H27" r:id="rId52" xr:uid="{00000000-0004-0000-0300-000033000000}"/>
    <hyperlink ref="B28" r:id="rId53" xr:uid="{00000000-0004-0000-0300-000034000000}"/>
    <hyperlink ref="H28" r:id="rId54" xr:uid="{00000000-0004-0000-0300-000035000000}"/>
    <hyperlink ref="B29" r:id="rId55" xr:uid="{00000000-0004-0000-0300-000036000000}"/>
    <hyperlink ref="H29" r:id="rId56" xr:uid="{00000000-0004-0000-0300-000037000000}"/>
    <hyperlink ref="B30" r:id="rId57" xr:uid="{00000000-0004-0000-0300-000038000000}"/>
    <hyperlink ref="H30" r:id="rId58" xr:uid="{00000000-0004-0000-0300-000039000000}"/>
    <hyperlink ref="B31" r:id="rId59" xr:uid="{00000000-0004-0000-0300-00003A000000}"/>
    <hyperlink ref="H31" r:id="rId60" xr:uid="{00000000-0004-0000-0300-00003B000000}"/>
    <hyperlink ref="B32" r:id="rId61" xr:uid="{00000000-0004-0000-0300-00003C000000}"/>
    <hyperlink ref="H32" r:id="rId62" xr:uid="{00000000-0004-0000-0300-00003D000000}"/>
    <hyperlink ref="B33" r:id="rId63" xr:uid="{00000000-0004-0000-0300-00003E000000}"/>
    <hyperlink ref="H33" r:id="rId64" xr:uid="{00000000-0004-0000-0300-00003F000000}"/>
    <hyperlink ref="B34" r:id="rId65" xr:uid="{00000000-0004-0000-0300-000040000000}"/>
    <hyperlink ref="H34" r:id="rId66" xr:uid="{00000000-0004-0000-0300-000041000000}"/>
    <hyperlink ref="B35" r:id="rId67" xr:uid="{00000000-0004-0000-0300-000042000000}"/>
    <hyperlink ref="H35" r:id="rId68" xr:uid="{00000000-0004-0000-0300-000043000000}"/>
    <hyperlink ref="B36" r:id="rId69" xr:uid="{00000000-0004-0000-0300-000044000000}"/>
    <hyperlink ref="H36" r:id="rId70" xr:uid="{00000000-0004-0000-0300-000045000000}"/>
    <hyperlink ref="B37" r:id="rId71" xr:uid="{00000000-0004-0000-0300-000046000000}"/>
    <hyperlink ref="H37" r:id="rId72" xr:uid="{00000000-0004-0000-0300-000047000000}"/>
    <hyperlink ref="B38" r:id="rId73" xr:uid="{00000000-0004-0000-0300-000048000000}"/>
    <hyperlink ref="H38" r:id="rId74" xr:uid="{00000000-0004-0000-0300-000049000000}"/>
    <hyperlink ref="B39" r:id="rId75" xr:uid="{00000000-0004-0000-0300-00004A000000}"/>
    <hyperlink ref="H39" r:id="rId76" xr:uid="{00000000-0004-0000-0300-00004B000000}"/>
    <hyperlink ref="B40" r:id="rId77" xr:uid="{00000000-0004-0000-0300-00004C000000}"/>
    <hyperlink ref="H40" r:id="rId78" xr:uid="{00000000-0004-0000-0300-00004D000000}"/>
    <hyperlink ref="B41" r:id="rId79" xr:uid="{00000000-0004-0000-0300-00004E000000}"/>
    <hyperlink ref="H41" r:id="rId80" xr:uid="{00000000-0004-0000-0300-00004F000000}"/>
    <hyperlink ref="B42" r:id="rId81" xr:uid="{00000000-0004-0000-0300-000050000000}"/>
    <hyperlink ref="H42" r:id="rId82" xr:uid="{00000000-0004-0000-0300-000051000000}"/>
    <hyperlink ref="B43" r:id="rId83" xr:uid="{00000000-0004-0000-0300-000052000000}"/>
    <hyperlink ref="H43" r:id="rId84" xr:uid="{00000000-0004-0000-0300-000053000000}"/>
    <hyperlink ref="B44" r:id="rId85" xr:uid="{00000000-0004-0000-0300-000054000000}"/>
    <hyperlink ref="H44" r:id="rId86" xr:uid="{00000000-0004-0000-0300-000055000000}"/>
    <hyperlink ref="B45" r:id="rId87" xr:uid="{00000000-0004-0000-0300-000056000000}"/>
    <hyperlink ref="H45" r:id="rId88" xr:uid="{00000000-0004-0000-0300-000057000000}"/>
    <hyperlink ref="B46" r:id="rId89" xr:uid="{00000000-0004-0000-0300-000058000000}"/>
    <hyperlink ref="H46" r:id="rId90" xr:uid="{00000000-0004-0000-0300-000059000000}"/>
    <hyperlink ref="B47" r:id="rId91" xr:uid="{00000000-0004-0000-0300-00005A000000}"/>
    <hyperlink ref="H47" r:id="rId92" xr:uid="{00000000-0004-0000-0300-00005B000000}"/>
    <hyperlink ref="B48" r:id="rId93" xr:uid="{00000000-0004-0000-0300-00005C000000}"/>
    <hyperlink ref="H48" r:id="rId94" xr:uid="{00000000-0004-0000-0300-00005D000000}"/>
    <hyperlink ref="B49" r:id="rId95" xr:uid="{00000000-0004-0000-0300-00005E000000}"/>
    <hyperlink ref="H49" r:id="rId96" xr:uid="{00000000-0004-0000-0300-00005F000000}"/>
    <hyperlink ref="B50" r:id="rId97" xr:uid="{00000000-0004-0000-0300-000060000000}"/>
    <hyperlink ref="H50" r:id="rId98" xr:uid="{00000000-0004-0000-0300-000061000000}"/>
    <hyperlink ref="B51" r:id="rId99" xr:uid="{00000000-0004-0000-0300-000062000000}"/>
    <hyperlink ref="H51" r:id="rId100" xr:uid="{00000000-0004-0000-0300-000063000000}"/>
    <hyperlink ref="B52" r:id="rId101" xr:uid="{00000000-0004-0000-0300-000064000000}"/>
    <hyperlink ref="H52" r:id="rId102" xr:uid="{00000000-0004-0000-0300-000065000000}"/>
    <hyperlink ref="B53" r:id="rId103" xr:uid="{00000000-0004-0000-0300-000066000000}"/>
    <hyperlink ref="H53" r:id="rId104" xr:uid="{00000000-0004-0000-0300-000067000000}"/>
    <hyperlink ref="B54" r:id="rId105" xr:uid="{00000000-0004-0000-0300-000068000000}"/>
    <hyperlink ref="H54" r:id="rId106" xr:uid="{00000000-0004-0000-0300-000069000000}"/>
    <hyperlink ref="B55" r:id="rId107" xr:uid="{00000000-0004-0000-0300-00006A000000}"/>
    <hyperlink ref="H55" r:id="rId108" xr:uid="{00000000-0004-0000-0300-00006B000000}"/>
    <hyperlink ref="B56" r:id="rId109" xr:uid="{00000000-0004-0000-0300-00006C000000}"/>
    <hyperlink ref="H56" r:id="rId110" xr:uid="{00000000-0004-0000-0300-00006D000000}"/>
    <hyperlink ref="B57" r:id="rId111" xr:uid="{00000000-0004-0000-0300-00006E000000}"/>
    <hyperlink ref="H57" r:id="rId112" xr:uid="{00000000-0004-0000-0300-00006F000000}"/>
    <hyperlink ref="B58" r:id="rId113" xr:uid="{00000000-0004-0000-0300-000070000000}"/>
    <hyperlink ref="H58" r:id="rId114" xr:uid="{00000000-0004-0000-0300-000071000000}"/>
    <hyperlink ref="B59" r:id="rId115" xr:uid="{00000000-0004-0000-0300-000072000000}"/>
    <hyperlink ref="H59" r:id="rId116" xr:uid="{00000000-0004-0000-0300-000073000000}"/>
    <hyperlink ref="B60" r:id="rId117" xr:uid="{00000000-0004-0000-0300-000074000000}"/>
    <hyperlink ref="H60" r:id="rId118" xr:uid="{00000000-0004-0000-0300-000075000000}"/>
    <hyperlink ref="B61" r:id="rId119" xr:uid="{00000000-0004-0000-0300-000076000000}"/>
    <hyperlink ref="H61" r:id="rId120" xr:uid="{00000000-0004-0000-0300-000077000000}"/>
    <hyperlink ref="B62" r:id="rId121" xr:uid="{00000000-0004-0000-0300-000078000000}"/>
    <hyperlink ref="H62" r:id="rId122" xr:uid="{00000000-0004-0000-0300-000079000000}"/>
    <hyperlink ref="B63" r:id="rId123" xr:uid="{00000000-0004-0000-0300-00007A000000}"/>
    <hyperlink ref="H63" r:id="rId124" xr:uid="{00000000-0004-0000-0300-00007B000000}"/>
    <hyperlink ref="B64" r:id="rId125" xr:uid="{00000000-0004-0000-0300-00007C000000}"/>
    <hyperlink ref="H64" r:id="rId126" xr:uid="{00000000-0004-0000-0300-00007D000000}"/>
    <hyperlink ref="B65" r:id="rId127" xr:uid="{00000000-0004-0000-0300-00007E000000}"/>
    <hyperlink ref="H65" r:id="rId128" xr:uid="{00000000-0004-0000-0300-00007F000000}"/>
    <hyperlink ref="B66" r:id="rId129" xr:uid="{00000000-0004-0000-0300-000080000000}"/>
    <hyperlink ref="H66" r:id="rId130" xr:uid="{00000000-0004-0000-0300-000081000000}"/>
    <hyperlink ref="B67" r:id="rId131" xr:uid="{00000000-0004-0000-0300-000082000000}"/>
    <hyperlink ref="H67" r:id="rId132" xr:uid="{00000000-0004-0000-0300-000083000000}"/>
    <hyperlink ref="B68" r:id="rId133" xr:uid="{00000000-0004-0000-0300-000084000000}"/>
    <hyperlink ref="H68" r:id="rId134" xr:uid="{00000000-0004-0000-0300-000085000000}"/>
    <hyperlink ref="B69" r:id="rId135" xr:uid="{00000000-0004-0000-0300-000086000000}"/>
    <hyperlink ref="H69" r:id="rId136" xr:uid="{00000000-0004-0000-0300-000087000000}"/>
    <hyperlink ref="B70" r:id="rId137" xr:uid="{00000000-0004-0000-0300-000088000000}"/>
    <hyperlink ref="H70" r:id="rId138" xr:uid="{00000000-0004-0000-0300-000089000000}"/>
    <hyperlink ref="B71" r:id="rId139" xr:uid="{00000000-0004-0000-0300-00008A000000}"/>
    <hyperlink ref="H71" r:id="rId140" xr:uid="{00000000-0004-0000-0300-00008B000000}"/>
    <hyperlink ref="B72" r:id="rId141" xr:uid="{00000000-0004-0000-0300-00008C000000}"/>
    <hyperlink ref="H72" r:id="rId142" xr:uid="{00000000-0004-0000-0300-00008D000000}"/>
    <hyperlink ref="B73" r:id="rId143" xr:uid="{00000000-0004-0000-0300-00008E000000}"/>
    <hyperlink ref="H73" r:id="rId144" xr:uid="{00000000-0004-0000-0300-00008F000000}"/>
    <hyperlink ref="B74" r:id="rId145" xr:uid="{00000000-0004-0000-0300-000090000000}"/>
    <hyperlink ref="H74" r:id="rId146" xr:uid="{00000000-0004-0000-0300-000091000000}"/>
    <hyperlink ref="B75" r:id="rId147" xr:uid="{00000000-0004-0000-0300-000092000000}"/>
    <hyperlink ref="H75" r:id="rId148" xr:uid="{00000000-0004-0000-0300-000093000000}"/>
    <hyperlink ref="B76" r:id="rId149" xr:uid="{00000000-0004-0000-0300-000094000000}"/>
    <hyperlink ref="H76" r:id="rId150" xr:uid="{00000000-0004-0000-0300-000095000000}"/>
    <hyperlink ref="B77" r:id="rId151" xr:uid="{00000000-0004-0000-0300-000096000000}"/>
    <hyperlink ref="H77" r:id="rId152" xr:uid="{00000000-0004-0000-0300-000097000000}"/>
    <hyperlink ref="B78" r:id="rId153" xr:uid="{00000000-0004-0000-0300-000098000000}"/>
    <hyperlink ref="H78" r:id="rId154" xr:uid="{00000000-0004-0000-0300-000099000000}"/>
    <hyperlink ref="B79" r:id="rId155" xr:uid="{00000000-0004-0000-0300-00009A000000}"/>
    <hyperlink ref="H79" r:id="rId156" xr:uid="{00000000-0004-0000-0300-00009B000000}"/>
    <hyperlink ref="B80" r:id="rId157" xr:uid="{00000000-0004-0000-0300-00009C000000}"/>
    <hyperlink ref="H80" r:id="rId158" xr:uid="{00000000-0004-0000-0300-00009D000000}"/>
    <hyperlink ref="B81" r:id="rId159" xr:uid="{00000000-0004-0000-0300-00009E000000}"/>
    <hyperlink ref="H81" r:id="rId160" xr:uid="{00000000-0004-0000-0300-00009F000000}"/>
    <hyperlink ref="B82" r:id="rId161" xr:uid="{00000000-0004-0000-0300-0000A0000000}"/>
    <hyperlink ref="H82" r:id="rId162" xr:uid="{00000000-0004-0000-0300-0000A1000000}"/>
    <hyperlink ref="B83" r:id="rId163" xr:uid="{00000000-0004-0000-0300-0000A2000000}"/>
    <hyperlink ref="H83" r:id="rId164" xr:uid="{00000000-0004-0000-0300-0000A3000000}"/>
    <hyperlink ref="B84" r:id="rId165" xr:uid="{00000000-0004-0000-0300-0000A4000000}"/>
    <hyperlink ref="H84" r:id="rId166" xr:uid="{00000000-0004-0000-0300-0000A5000000}"/>
    <hyperlink ref="B85" r:id="rId167" xr:uid="{00000000-0004-0000-0300-0000A6000000}"/>
    <hyperlink ref="H85" r:id="rId168" xr:uid="{00000000-0004-0000-0300-0000A7000000}"/>
    <hyperlink ref="B86" r:id="rId169" xr:uid="{00000000-0004-0000-0300-0000A8000000}"/>
    <hyperlink ref="H86" r:id="rId170" xr:uid="{00000000-0004-0000-0300-0000A9000000}"/>
    <hyperlink ref="B87" r:id="rId171" xr:uid="{00000000-0004-0000-0300-0000AA000000}"/>
    <hyperlink ref="H87" r:id="rId172" xr:uid="{00000000-0004-0000-0300-0000AB000000}"/>
    <hyperlink ref="B88" r:id="rId173" xr:uid="{00000000-0004-0000-0300-0000AC000000}"/>
    <hyperlink ref="H88" r:id="rId174" xr:uid="{00000000-0004-0000-0300-0000AD000000}"/>
    <hyperlink ref="B89" r:id="rId175" xr:uid="{00000000-0004-0000-0300-0000AE000000}"/>
    <hyperlink ref="H89" r:id="rId176" xr:uid="{00000000-0004-0000-0300-0000AF000000}"/>
    <hyperlink ref="B90" r:id="rId177" xr:uid="{00000000-0004-0000-0300-0000B0000000}"/>
    <hyperlink ref="H90" r:id="rId178" xr:uid="{00000000-0004-0000-0300-0000B1000000}"/>
    <hyperlink ref="B91" r:id="rId179" xr:uid="{00000000-0004-0000-0300-0000B2000000}"/>
    <hyperlink ref="H91" r:id="rId180" xr:uid="{00000000-0004-0000-0300-0000B3000000}"/>
    <hyperlink ref="B92" r:id="rId181" xr:uid="{00000000-0004-0000-0300-0000B4000000}"/>
    <hyperlink ref="H92" r:id="rId182" xr:uid="{00000000-0004-0000-0300-0000B5000000}"/>
    <hyperlink ref="B93" r:id="rId183" xr:uid="{00000000-0004-0000-0300-0000B6000000}"/>
    <hyperlink ref="H93" r:id="rId184" xr:uid="{00000000-0004-0000-0300-0000B7000000}"/>
    <hyperlink ref="B94" r:id="rId185" xr:uid="{00000000-0004-0000-0300-0000B8000000}"/>
    <hyperlink ref="H94" r:id="rId186" xr:uid="{00000000-0004-0000-0300-0000B9000000}"/>
    <hyperlink ref="B95" r:id="rId187" xr:uid="{00000000-0004-0000-0300-0000BA000000}"/>
    <hyperlink ref="H95" r:id="rId188" xr:uid="{00000000-0004-0000-0300-0000BB000000}"/>
    <hyperlink ref="B96" r:id="rId189" xr:uid="{00000000-0004-0000-0300-0000BC000000}"/>
    <hyperlink ref="H96" r:id="rId190" xr:uid="{00000000-0004-0000-0300-0000BD000000}"/>
    <hyperlink ref="B97" r:id="rId191" xr:uid="{00000000-0004-0000-0300-0000BE000000}"/>
    <hyperlink ref="H97" r:id="rId192" xr:uid="{00000000-0004-0000-0300-0000BF000000}"/>
    <hyperlink ref="B98" r:id="rId193" xr:uid="{00000000-0004-0000-0300-0000C0000000}"/>
    <hyperlink ref="H98" r:id="rId194" xr:uid="{00000000-0004-0000-0300-0000C1000000}"/>
    <hyperlink ref="B99" r:id="rId195" xr:uid="{00000000-0004-0000-0300-0000C2000000}"/>
    <hyperlink ref="H99" r:id="rId196" xr:uid="{00000000-0004-0000-0300-0000C3000000}"/>
    <hyperlink ref="B100" r:id="rId197" xr:uid="{00000000-0004-0000-0300-0000C4000000}"/>
    <hyperlink ref="H100" r:id="rId198" xr:uid="{00000000-0004-0000-0300-0000C5000000}"/>
    <hyperlink ref="B101" r:id="rId199" xr:uid="{00000000-0004-0000-0300-0000C6000000}"/>
    <hyperlink ref="H101" r:id="rId200" xr:uid="{00000000-0004-0000-0300-0000C7000000}"/>
    <hyperlink ref="B102" r:id="rId201" xr:uid="{00000000-0004-0000-0300-0000C8000000}"/>
    <hyperlink ref="H102" r:id="rId202" xr:uid="{00000000-0004-0000-0300-0000C9000000}"/>
    <hyperlink ref="B103" r:id="rId203" xr:uid="{00000000-0004-0000-0300-0000CA000000}"/>
    <hyperlink ref="H103" r:id="rId204" xr:uid="{00000000-0004-0000-0300-0000CB000000}"/>
    <hyperlink ref="B104" r:id="rId205" xr:uid="{00000000-0004-0000-0300-0000CC000000}"/>
    <hyperlink ref="H104" r:id="rId206" xr:uid="{00000000-0004-0000-0300-0000CD000000}"/>
    <hyperlink ref="B105" r:id="rId207" xr:uid="{00000000-0004-0000-0300-0000CE000000}"/>
    <hyperlink ref="H105" r:id="rId208" xr:uid="{00000000-0004-0000-0300-0000CF000000}"/>
    <hyperlink ref="B106" r:id="rId209" xr:uid="{00000000-0004-0000-0300-0000D0000000}"/>
    <hyperlink ref="H106" r:id="rId210" xr:uid="{00000000-0004-0000-0300-0000D1000000}"/>
    <hyperlink ref="B107" r:id="rId211" xr:uid="{00000000-0004-0000-0300-0000D2000000}"/>
    <hyperlink ref="H107" r:id="rId212" xr:uid="{00000000-0004-0000-0300-0000D3000000}"/>
    <hyperlink ref="B108" r:id="rId213" xr:uid="{00000000-0004-0000-0300-0000D4000000}"/>
    <hyperlink ref="H108" r:id="rId214" xr:uid="{00000000-0004-0000-0300-0000D5000000}"/>
    <hyperlink ref="B109" r:id="rId215" xr:uid="{00000000-0004-0000-0300-0000D6000000}"/>
    <hyperlink ref="H109" r:id="rId216" xr:uid="{00000000-0004-0000-0300-0000D7000000}"/>
    <hyperlink ref="B110" r:id="rId217" xr:uid="{00000000-0004-0000-0300-0000D8000000}"/>
    <hyperlink ref="H110" r:id="rId218" xr:uid="{00000000-0004-0000-0300-0000D9000000}"/>
    <hyperlink ref="B111" r:id="rId219" xr:uid="{00000000-0004-0000-0300-0000DA000000}"/>
    <hyperlink ref="H111" r:id="rId220" xr:uid="{00000000-0004-0000-0300-0000DB000000}"/>
    <hyperlink ref="B112" r:id="rId221" xr:uid="{00000000-0004-0000-0300-0000DC000000}"/>
    <hyperlink ref="H112" r:id="rId222" xr:uid="{00000000-0004-0000-0300-0000DD000000}"/>
    <hyperlink ref="B113" r:id="rId223" xr:uid="{00000000-0004-0000-0300-0000DE000000}"/>
    <hyperlink ref="H113" r:id="rId224" xr:uid="{00000000-0004-0000-0300-0000DF000000}"/>
    <hyperlink ref="B114" r:id="rId225" xr:uid="{00000000-0004-0000-0300-0000E0000000}"/>
    <hyperlink ref="H114" r:id="rId226" xr:uid="{00000000-0004-0000-0300-0000E1000000}"/>
    <hyperlink ref="B115" r:id="rId227" xr:uid="{00000000-0004-0000-0300-0000E2000000}"/>
    <hyperlink ref="H115" r:id="rId228" xr:uid="{00000000-0004-0000-0300-0000E3000000}"/>
    <hyperlink ref="B116" r:id="rId229" xr:uid="{00000000-0004-0000-0300-0000E4000000}"/>
    <hyperlink ref="H116" r:id="rId230" xr:uid="{00000000-0004-0000-0300-0000E5000000}"/>
    <hyperlink ref="B117" r:id="rId231" xr:uid="{00000000-0004-0000-0300-0000E6000000}"/>
    <hyperlink ref="H117" r:id="rId232" xr:uid="{00000000-0004-0000-0300-0000E7000000}"/>
    <hyperlink ref="B118" r:id="rId233" xr:uid="{00000000-0004-0000-0300-0000E8000000}"/>
    <hyperlink ref="H118" r:id="rId234" xr:uid="{00000000-0004-0000-0300-0000E9000000}"/>
    <hyperlink ref="B119" r:id="rId235" xr:uid="{00000000-0004-0000-0300-0000EA000000}"/>
    <hyperlink ref="H119" r:id="rId236" xr:uid="{00000000-0004-0000-0300-0000EB000000}"/>
    <hyperlink ref="B120" r:id="rId237" xr:uid="{00000000-0004-0000-0300-0000EC000000}"/>
    <hyperlink ref="H120" r:id="rId238" xr:uid="{00000000-0004-0000-0300-0000ED000000}"/>
    <hyperlink ref="B121" r:id="rId239" xr:uid="{00000000-0004-0000-0300-0000EE000000}"/>
    <hyperlink ref="H121" r:id="rId240" xr:uid="{00000000-0004-0000-0300-0000EF000000}"/>
    <hyperlink ref="B122" r:id="rId241" xr:uid="{00000000-0004-0000-0300-0000F0000000}"/>
    <hyperlink ref="H122" r:id="rId242" xr:uid="{00000000-0004-0000-0300-0000F1000000}"/>
    <hyperlink ref="B123" r:id="rId243" xr:uid="{00000000-0004-0000-0300-0000F2000000}"/>
    <hyperlink ref="H123" r:id="rId244" xr:uid="{00000000-0004-0000-0300-0000F3000000}"/>
    <hyperlink ref="B124" r:id="rId245" xr:uid="{00000000-0004-0000-0300-0000F4000000}"/>
    <hyperlink ref="H124" r:id="rId246" xr:uid="{00000000-0004-0000-0300-0000F5000000}"/>
    <hyperlink ref="B125" r:id="rId247" xr:uid="{00000000-0004-0000-0300-0000F6000000}"/>
    <hyperlink ref="H125" r:id="rId248" xr:uid="{00000000-0004-0000-0300-0000F7000000}"/>
    <hyperlink ref="B126" r:id="rId249" xr:uid="{00000000-0004-0000-0300-0000F8000000}"/>
    <hyperlink ref="H126" r:id="rId250" xr:uid="{00000000-0004-0000-0300-0000F9000000}"/>
    <hyperlink ref="B127" r:id="rId251" xr:uid="{00000000-0004-0000-0300-0000FA000000}"/>
    <hyperlink ref="H127" r:id="rId252" xr:uid="{00000000-0004-0000-0300-0000FB000000}"/>
    <hyperlink ref="B128" r:id="rId253" xr:uid="{00000000-0004-0000-0300-0000FC000000}"/>
    <hyperlink ref="H128" r:id="rId254" xr:uid="{00000000-0004-0000-0300-0000FD000000}"/>
    <hyperlink ref="B129" r:id="rId255" xr:uid="{00000000-0004-0000-0300-0000FE000000}"/>
    <hyperlink ref="H129" r:id="rId256" xr:uid="{00000000-0004-0000-0300-0000FF000000}"/>
    <hyperlink ref="B130" r:id="rId257" xr:uid="{00000000-0004-0000-0300-000000010000}"/>
    <hyperlink ref="H130" r:id="rId258" xr:uid="{00000000-0004-0000-0300-000001010000}"/>
    <hyperlink ref="B131" r:id="rId259" xr:uid="{00000000-0004-0000-0300-000002010000}"/>
    <hyperlink ref="H131" r:id="rId260" xr:uid="{00000000-0004-0000-0300-000003010000}"/>
    <hyperlink ref="B132" r:id="rId261" xr:uid="{00000000-0004-0000-0300-000004010000}"/>
    <hyperlink ref="H132" r:id="rId262" xr:uid="{00000000-0004-0000-0300-000005010000}"/>
    <hyperlink ref="B133" r:id="rId263" xr:uid="{00000000-0004-0000-0300-000006010000}"/>
    <hyperlink ref="H133" r:id="rId264" xr:uid="{00000000-0004-0000-0300-000007010000}"/>
    <hyperlink ref="B134" r:id="rId265" xr:uid="{00000000-0004-0000-0300-000008010000}"/>
    <hyperlink ref="H134" r:id="rId266" xr:uid="{00000000-0004-0000-0300-000009010000}"/>
    <hyperlink ref="B135" r:id="rId267" xr:uid="{00000000-0004-0000-0300-00000A010000}"/>
    <hyperlink ref="H135" r:id="rId268" xr:uid="{00000000-0004-0000-0300-00000B010000}"/>
    <hyperlink ref="B136" r:id="rId269" xr:uid="{00000000-0004-0000-0300-00000C010000}"/>
    <hyperlink ref="H136" r:id="rId270" xr:uid="{00000000-0004-0000-0300-00000D010000}"/>
    <hyperlink ref="B137" r:id="rId271" xr:uid="{00000000-0004-0000-0300-00000E010000}"/>
    <hyperlink ref="H137" r:id="rId272" xr:uid="{00000000-0004-0000-0300-00000F010000}"/>
    <hyperlink ref="B138" r:id="rId273" xr:uid="{00000000-0004-0000-0300-000010010000}"/>
    <hyperlink ref="H138" r:id="rId274" xr:uid="{00000000-0004-0000-0300-000011010000}"/>
    <hyperlink ref="B139" r:id="rId275" xr:uid="{00000000-0004-0000-0300-000012010000}"/>
    <hyperlink ref="H139" r:id="rId276" xr:uid="{00000000-0004-0000-0300-000013010000}"/>
    <hyperlink ref="B140" r:id="rId277" xr:uid="{00000000-0004-0000-0300-000014010000}"/>
    <hyperlink ref="H140" r:id="rId278" xr:uid="{00000000-0004-0000-0300-000015010000}"/>
    <hyperlink ref="B141" r:id="rId279" xr:uid="{00000000-0004-0000-0300-000016010000}"/>
    <hyperlink ref="H141" r:id="rId280" xr:uid="{00000000-0004-0000-0300-000017010000}"/>
    <hyperlink ref="B142" r:id="rId281" xr:uid="{00000000-0004-0000-0300-000018010000}"/>
    <hyperlink ref="H142" r:id="rId282" xr:uid="{00000000-0004-0000-0300-000019010000}"/>
    <hyperlink ref="B143" r:id="rId283" xr:uid="{00000000-0004-0000-0300-00001A010000}"/>
    <hyperlink ref="H143" r:id="rId284" xr:uid="{00000000-0004-0000-0300-00001B010000}"/>
    <hyperlink ref="B144" r:id="rId285" xr:uid="{00000000-0004-0000-0300-00001C010000}"/>
    <hyperlink ref="H144" r:id="rId286" xr:uid="{00000000-0004-0000-0300-00001D010000}"/>
    <hyperlink ref="B145" r:id="rId287" xr:uid="{00000000-0004-0000-0300-00001E010000}"/>
    <hyperlink ref="H145" r:id="rId288" xr:uid="{00000000-0004-0000-0300-00001F010000}"/>
    <hyperlink ref="B146" r:id="rId289" xr:uid="{00000000-0004-0000-0300-000020010000}"/>
    <hyperlink ref="H146" r:id="rId290" xr:uid="{00000000-0004-0000-0300-000021010000}"/>
    <hyperlink ref="B147" r:id="rId291" xr:uid="{00000000-0004-0000-0300-000022010000}"/>
    <hyperlink ref="H147" r:id="rId292" xr:uid="{00000000-0004-0000-0300-000023010000}"/>
    <hyperlink ref="B148" r:id="rId293" xr:uid="{00000000-0004-0000-0300-000024010000}"/>
    <hyperlink ref="H148" r:id="rId294" xr:uid="{00000000-0004-0000-0300-000025010000}"/>
    <hyperlink ref="B149" r:id="rId295" xr:uid="{00000000-0004-0000-0300-000026010000}"/>
    <hyperlink ref="H149" r:id="rId296" xr:uid="{00000000-0004-0000-0300-000027010000}"/>
    <hyperlink ref="B150" r:id="rId297" xr:uid="{00000000-0004-0000-0300-000028010000}"/>
    <hyperlink ref="H150" r:id="rId298" xr:uid="{00000000-0004-0000-0300-00002901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R498"/>
  <sheetViews>
    <sheetView workbookViewId="0">
      <pane ySplit="7" topLeftCell="A8" activePane="bottomLeft" state="frozen"/>
      <selection pane="bottomLeft" activeCell="B9" sqref="B9"/>
    </sheetView>
  </sheetViews>
  <sheetFormatPr baseColWidth="10" defaultColWidth="14.44140625" defaultRowHeight="15" customHeight="1"/>
  <cols>
    <col min="1" max="1" width="6.5546875" customWidth="1"/>
    <col min="2" max="2" width="21.88671875" customWidth="1"/>
    <col min="3" max="3" width="12" customWidth="1"/>
    <col min="4" max="4" width="10.109375" customWidth="1"/>
    <col min="5" max="5" width="9.44140625" customWidth="1"/>
    <col min="6" max="6" width="11.44140625" customWidth="1"/>
    <col min="7" max="7" width="7.44140625" customWidth="1"/>
    <col min="8" max="8" width="21.88671875" customWidth="1"/>
    <col min="9" max="9" width="86.6640625" customWidth="1"/>
    <col min="10" max="10" width="37.109375" customWidth="1"/>
    <col min="11" max="11" width="9.109375" customWidth="1"/>
    <col min="12" max="12" width="21.6640625" customWidth="1"/>
    <col min="13" max="13" width="20.6640625" customWidth="1"/>
    <col min="14" max="14" width="20.5546875" customWidth="1"/>
    <col min="15" max="18" width="20.44140625" customWidth="1"/>
  </cols>
  <sheetData>
    <row r="1" spans="1:18" ht="15.75" customHeight="1">
      <c r="A1" s="161"/>
      <c r="B1" s="162"/>
      <c r="C1" s="162"/>
      <c r="D1" s="162"/>
      <c r="E1" s="163"/>
      <c r="F1" s="162"/>
      <c r="G1" s="164"/>
      <c r="H1" s="162"/>
      <c r="I1" s="165"/>
      <c r="J1" s="165"/>
      <c r="K1" s="166"/>
      <c r="L1" s="166"/>
      <c r="M1" s="167"/>
      <c r="N1" s="168"/>
      <c r="O1" s="169"/>
      <c r="P1" s="169"/>
      <c r="Q1" s="169"/>
      <c r="R1" s="169"/>
    </row>
    <row r="2" spans="1:18" ht="18" customHeight="1">
      <c r="A2" s="161"/>
      <c r="B2" s="170" t="s">
        <v>1164</v>
      </c>
      <c r="C2" s="170" t="s">
        <v>1165</v>
      </c>
      <c r="D2" s="170" t="s">
        <v>1166</v>
      </c>
      <c r="E2" s="170" t="s">
        <v>1167</v>
      </c>
      <c r="F2" s="170" t="s">
        <v>1168</v>
      </c>
      <c r="G2" s="164"/>
      <c r="H2" s="162"/>
      <c r="I2" s="171"/>
      <c r="J2" s="171"/>
      <c r="K2" s="172"/>
      <c r="L2" s="173"/>
      <c r="M2" s="173"/>
      <c r="N2" s="168"/>
      <c r="O2" s="174"/>
      <c r="P2" s="174"/>
      <c r="Q2" s="174"/>
      <c r="R2" s="174"/>
    </row>
    <row r="3" spans="1:18" ht="18" customHeight="1">
      <c r="A3" s="161"/>
      <c r="B3" s="175" t="s">
        <v>1169</v>
      </c>
      <c r="C3" s="176">
        <f>COUNTIF('NORTE - RUTH'!G:G,"A.A")</f>
        <v>103</v>
      </c>
      <c r="D3" s="176">
        <f>COUNTIF('CENTRO - CESAR'!G:G,"A.A")</f>
        <v>127</v>
      </c>
      <c r="E3" s="176">
        <f>COUNTIF( 'SUR - ESTER'!G:G,"A.A")</f>
        <v>136</v>
      </c>
      <c r="F3" s="176">
        <f t="shared" ref="F3:F5" si="0">SUM(C3:E3)</f>
        <v>366</v>
      </c>
      <c r="G3" s="164"/>
      <c r="H3" s="177"/>
      <c r="I3" s="171"/>
      <c r="J3" s="178"/>
      <c r="K3" s="179"/>
      <c r="L3" s="179"/>
      <c r="M3" s="173"/>
      <c r="N3" s="168"/>
      <c r="O3" s="174"/>
      <c r="P3" s="174"/>
      <c r="Q3" s="174"/>
      <c r="R3" s="174"/>
    </row>
    <row r="4" spans="1:18" ht="18" customHeight="1">
      <c r="A4" s="161"/>
      <c r="B4" s="180" t="s">
        <v>1170</v>
      </c>
      <c r="C4" s="181">
        <f>COUNTIF('NORTE - RUTH'!G:G,"F.A")</f>
        <v>19</v>
      </c>
      <c r="D4" s="181">
        <f>COUNTIF('CENTRO - CESAR'!G:G,"F.A")</f>
        <v>11</v>
      </c>
      <c r="E4" s="181">
        <f>COUNTIF( 'SUR - ESTER'!G:G,"F.A")</f>
        <v>12</v>
      </c>
      <c r="F4" s="181">
        <f t="shared" si="0"/>
        <v>42</v>
      </c>
      <c r="G4" s="182"/>
      <c r="H4" s="183"/>
      <c r="I4" s="184"/>
      <c r="J4" s="178"/>
      <c r="K4" s="185"/>
      <c r="L4" s="185"/>
      <c r="M4" s="173"/>
      <c r="N4" s="168"/>
      <c r="O4" s="174"/>
      <c r="P4" s="174"/>
      <c r="Q4" s="174"/>
      <c r="R4" s="174"/>
    </row>
    <row r="5" spans="1:18" ht="18" customHeight="1">
      <c r="A5" s="161"/>
      <c r="B5" s="186" t="s">
        <v>1171</v>
      </c>
      <c r="C5" s="187">
        <f>COUNTIF('NORTE - RUTH'!G:G,"N.I")</f>
        <v>7</v>
      </c>
      <c r="D5" s="187">
        <f>COUNTIF('CENTRO - CESAR'!G:G,"N.I")</f>
        <v>8</v>
      </c>
      <c r="E5" s="187">
        <f>COUNTIF( 'SUR - ESTER'!G:G,"N.I")</f>
        <v>1</v>
      </c>
      <c r="F5" s="187">
        <f t="shared" si="0"/>
        <v>16</v>
      </c>
      <c r="G5" s="188"/>
      <c r="H5" s="189"/>
      <c r="I5" s="190"/>
      <c r="J5" s="178"/>
      <c r="K5" s="179"/>
      <c r="L5" s="179"/>
      <c r="M5" s="173"/>
      <c r="N5" s="168"/>
      <c r="O5" s="174"/>
      <c r="P5" s="174"/>
      <c r="Q5" s="174"/>
      <c r="R5" s="174"/>
    </row>
    <row r="6" spans="1:18" ht="17.25" customHeight="1">
      <c r="A6" s="161"/>
      <c r="B6" s="162"/>
      <c r="C6" s="162"/>
      <c r="D6" s="162"/>
      <c r="E6" s="163"/>
      <c r="F6" s="162"/>
      <c r="G6" s="164"/>
      <c r="H6" s="277" t="s">
        <v>1172</v>
      </c>
      <c r="I6" s="278"/>
      <c r="J6" s="279"/>
      <c r="K6" s="179"/>
      <c r="L6" s="179"/>
      <c r="M6" s="173"/>
      <c r="N6" s="168"/>
      <c r="O6" s="174"/>
      <c r="P6" s="174"/>
      <c r="Q6" s="174"/>
      <c r="R6" s="174"/>
    </row>
    <row r="7" spans="1:18" ht="18" customHeight="1">
      <c r="A7" s="191" t="s">
        <v>1173</v>
      </c>
      <c r="B7" s="192" t="s">
        <v>0</v>
      </c>
      <c r="C7" s="193" t="s">
        <v>409</v>
      </c>
      <c r="D7" s="193" t="s">
        <v>2</v>
      </c>
      <c r="E7" s="191" t="s">
        <v>3</v>
      </c>
      <c r="F7" s="193" t="s">
        <v>1174</v>
      </c>
      <c r="G7" s="191" t="s">
        <v>223</v>
      </c>
      <c r="H7" s="193" t="s">
        <v>6</v>
      </c>
      <c r="I7" s="193" t="s">
        <v>1175</v>
      </c>
      <c r="J7" s="193" t="s">
        <v>1176</v>
      </c>
      <c r="K7" s="194" t="s">
        <v>9</v>
      </c>
      <c r="L7" s="195" t="s">
        <v>10</v>
      </c>
      <c r="M7" s="195" t="s">
        <v>1177</v>
      </c>
      <c r="N7" s="196" t="s">
        <v>12</v>
      </c>
      <c r="O7" s="196" t="s">
        <v>13</v>
      </c>
      <c r="P7" s="197" t="s">
        <v>14</v>
      </c>
      <c r="Q7" s="197" t="s">
        <v>15</v>
      </c>
      <c r="R7" s="197"/>
    </row>
    <row r="8" spans="1:18" ht="18" customHeight="1">
      <c r="A8" s="136">
        <v>1</v>
      </c>
      <c r="B8" s="198" t="s">
        <v>222</v>
      </c>
      <c r="C8" s="199" t="s">
        <v>45</v>
      </c>
      <c r="D8" s="199" t="s">
        <v>26</v>
      </c>
      <c r="E8" s="199">
        <v>97.9</v>
      </c>
      <c r="F8" s="199">
        <v>81</v>
      </c>
      <c r="G8" s="200" t="s">
        <v>223</v>
      </c>
      <c r="H8" s="201" t="s">
        <v>224</v>
      </c>
      <c r="I8" s="202" t="s">
        <v>225</v>
      </c>
      <c r="J8" s="203"/>
      <c r="K8" s="199" t="s">
        <v>1178</v>
      </c>
      <c r="L8" s="204" t="s">
        <v>23</v>
      </c>
      <c r="M8" s="204" t="s">
        <v>24</v>
      </c>
      <c r="N8" s="203"/>
      <c r="O8" s="205"/>
      <c r="P8" s="206">
        <v>45972</v>
      </c>
      <c r="Q8" s="207" t="s">
        <v>1179</v>
      </c>
      <c r="R8" s="208"/>
    </row>
    <row r="9" spans="1:18" ht="18" customHeight="1">
      <c r="A9" s="136">
        <v>2</v>
      </c>
      <c r="B9" s="198" t="s">
        <v>326</v>
      </c>
      <c r="C9" s="199" t="s">
        <v>45</v>
      </c>
      <c r="D9" s="199" t="s">
        <v>19</v>
      </c>
      <c r="E9" s="199">
        <v>9</v>
      </c>
      <c r="F9" s="199">
        <v>12</v>
      </c>
      <c r="G9" s="200" t="s">
        <v>223</v>
      </c>
      <c r="H9" s="201" t="s">
        <v>327</v>
      </c>
      <c r="I9" s="202" t="s">
        <v>328</v>
      </c>
      <c r="J9" s="199" t="s">
        <v>329</v>
      </c>
      <c r="K9" s="199" t="s">
        <v>1180</v>
      </c>
      <c r="L9" s="204" t="s">
        <v>23</v>
      </c>
      <c r="M9" s="204" t="s">
        <v>330</v>
      </c>
      <c r="N9" s="203"/>
      <c r="O9" s="199">
        <v>1850</v>
      </c>
      <c r="P9" s="206">
        <v>45596</v>
      </c>
      <c r="Q9" s="199" t="s">
        <v>1181</v>
      </c>
      <c r="R9" s="156"/>
    </row>
    <row r="10" spans="1:18" ht="18" customHeight="1">
      <c r="A10" s="209">
        <v>3</v>
      </c>
      <c r="B10" s="198" t="s">
        <v>326</v>
      </c>
      <c r="C10" s="199" t="s">
        <v>45</v>
      </c>
      <c r="D10" s="199" t="s">
        <v>26</v>
      </c>
      <c r="E10" s="199">
        <v>94.9</v>
      </c>
      <c r="F10" s="199">
        <v>12</v>
      </c>
      <c r="G10" s="200" t="s">
        <v>223</v>
      </c>
      <c r="H10" s="201" t="s">
        <v>327</v>
      </c>
      <c r="I10" s="202" t="s">
        <v>331</v>
      </c>
      <c r="J10" s="203"/>
      <c r="K10" s="199" t="s">
        <v>1182</v>
      </c>
      <c r="L10" s="204" t="s">
        <v>23</v>
      </c>
      <c r="M10" s="204" t="s">
        <v>24</v>
      </c>
      <c r="N10" s="203"/>
      <c r="O10" s="203"/>
      <c r="P10" s="206">
        <v>45973</v>
      </c>
      <c r="Q10" s="199" t="s">
        <v>1183</v>
      </c>
      <c r="R10" s="156"/>
    </row>
    <row r="11" spans="1:18" ht="18" customHeight="1">
      <c r="A11" s="209">
        <v>4</v>
      </c>
      <c r="B11" s="198" t="s">
        <v>335</v>
      </c>
      <c r="C11" s="199" t="s">
        <v>63</v>
      </c>
      <c r="D11" s="199" t="s">
        <v>26</v>
      </c>
      <c r="E11" s="199">
        <v>101.9</v>
      </c>
      <c r="F11" s="199">
        <v>35</v>
      </c>
      <c r="G11" s="200" t="s">
        <v>223</v>
      </c>
      <c r="H11" s="201" t="s">
        <v>336</v>
      </c>
      <c r="I11" s="202" t="s">
        <v>337</v>
      </c>
      <c r="J11" s="199" t="s">
        <v>338</v>
      </c>
      <c r="K11" s="199" t="s">
        <v>1184</v>
      </c>
      <c r="L11" s="204" t="s">
        <v>23</v>
      </c>
      <c r="M11" s="204" t="s">
        <v>24</v>
      </c>
      <c r="N11" s="203"/>
      <c r="O11" s="203"/>
      <c r="P11" s="206">
        <v>45974</v>
      </c>
      <c r="Q11" s="199" t="s">
        <v>1185</v>
      </c>
      <c r="R11" s="156"/>
    </row>
    <row r="12" spans="1:18" ht="18" customHeight="1">
      <c r="A12" s="209">
        <v>5</v>
      </c>
      <c r="B12" s="198" t="s">
        <v>104</v>
      </c>
      <c r="C12" s="199" t="s">
        <v>45</v>
      </c>
      <c r="D12" s="199" t="s">
        <v>31</v>
      </c>
      <c r="E12" s="199">
        <v>23</v>
      </c>
      <c r="F12" s="199">
        <v>53</v>
      </c>
      <c r="G12" s="200" t="s">
        <v>223</v>
      </c>
      <c r="H12" s="201" t="s">
        <v>105</v>
      </c>
      <c r="I12" s="202" t="s">
        <v>339</v>
      </c>
      <c r="J12" s="203"/>
      <c r="K12" s="199" t="s">
        <v>1186</v>
      </c>
      <c r="L12" s="210"/>
      <c r="M12" s="210"/>
      <c r="N12" s="203"/>
      <c r="O12" s="203"/>
      <c r="P12" s="206">
        <v>45964</v>
      </c>
      <c r="Q12" s="199" t="s">
        <v>1187</v>
      </c>
      <c r="R12" s="156"/>
    </row>
    <row r="13" spans="1:18" ht="18" customHeight="1">
      <c r="A13" s="211">
        <v>6</v>
      </c>
      <c r="B13" s="198" t="s">
        <v>340</v>
      </c>
      <c r="C13" s="199" t="s">
        <v>41</v>
      </c>
      <c r="D13" s="199" t="s">
        <v>26</v>
      </c>
      <c r="E13" s="199">
        <v>101.7</v>
      </c>
      <c r="F13" s="199">
        <v>69</v>
      </c>
      <c r="G13" s="200" t="s">
        <v>223</v>
      </c>
      <c r="H13" s="201" t="s">
        <v>341</v>
      </c>
      <c r="I13" s="202" t="s">
        <v>342</v>
      </c>
      <c r="J13" s="199" t="s">
        <v>338</v>
      </c>
      <c r="K13" s="199" t="s">
        <v>1188</v>
      </c>
      <c r="L13" s="204" t="s">
        <v>23</v>
      </c>
      <c r="M13" s="204" t="s">
        <v>24</v>
      </c>
      <c r="N13" s="203"/>
      <c r="O13" s="203"/>
      <c r="P13" s="206">
        <v>45983</v>
      </c>
      <c r="Q13" s="199" t="s">
        <v>1189</v>
      </c>
      <c r="R13" s="156"/>
    </row>
    <row r="14" spans="1:18" ht="18" customHeight="1">
      <c r="A14" s="136">
        <v>7</v>
      </c>
      <c r="B14" s="198" t="s">
        <v>343</v>
      </c>
      <c r="C14" s="199" t="s">
        <v>30</v>
      </c>
      <c r="D14" s="199" t="s">
        <v>26</v>
      </c>
      <c r="E14" s="199">
        <v>92.3</v>
      </c>
      <c r="F14" s="199">
        <v>33</v>
      </c>
      <c r="G14" s="200" t="s">
        <v>223</v>
      </c>
      <c r="H14" s="201" t="s">
        <v>344</v>
      </c>
      <c r="I14" s="202" t="s">
        <v>345</v>
      </c>
      <c r="J14" s="203"/>
      <c r="K14" s="199" t="s">
        <v>1190</v>
      </c>
      <c r="L14" s="210"/>
      <c r="M14" s="210"/>
      <c r="N14" s="212"/>
      <c r="O14" s="203"/>
      <c r="P14" s="206">
        <v>45973</v>
      </c>
      <c r="Q14" s="199" t="s">
        <v>1183</v>
      </c>
      <c r="R14" s="156"/>
    </row>
    <row r="15" spans="1:18" ht="18" customHeight="1">
      <c r="A15" s="136">
        <v>8</v>
      </c>
      <c r="B15" s="198" t="s">
        <v>346</v>
      </c>
      <c r="C15" s="199" t="s">
        <v>41</v>
      </c>
      <c r="D15" s="199" t="s">
        <v>26</v>
      </c>
      <c r="E15" s="199">
        <v>100.5</v>
      </c>
      <c r="F15" s="199">
        <v>69</v>
      </c>
      <c r="G15" s="200" t="s">
        <v>223</v>
      </c>
      <c r="H15" s="201" t="s">
        <v>347</v>
      </c>
      <c r="I15" s="202" t="s">
        <v>348</v>
      </c>
      <c r="J15" s="199" t="s">
        <v>349</v>
      </c>
      <c r="K15" s="199" t="s">
        <v>1191</v>
      </c>
      <c r="L15" s="203"/>
      <c r="M15" s="203"/>
      <c r="N15" s="203"/>
      <c r="O15" s="203"/>
      <c r="P15" s="206">
        <v>45945</v>
      </c>
      <c r="Q15" s="199" t="s">
        <v>1192</v>
      </c>
      <c r="R15" s="156"/>
    </row>
    <row r="16" spans="1:18" ht="18" customHeight="1">
      <c r="A16" s="209">
        <v>9</v>
      </c>
      <c r="B16" s="198" t="s">
        <v>350</v>
      </c>
      <c r="C16" s="199" t="s">
        <v>18</v>
      </c>
      <c r="D16" s="199" t="s">
        <v>26</v>
      </c>
      <c r="E16" s="199">
        <v>101.5</v>
      </c>
      <c r="F16" s="199">
        <v>142</v>
      </c>
      <c r="G16" s="200" t="s">
        <v>223</v>
      </c>
      <c r="H16" s="201" t="s">
        <v>351</v>
      </c>
      <c r="I16" s="202" t="s">
        <v>352</v>
      </c>
      <c r="J16" s="203"/>
      <c r="K16" s="199" t="s">
        <v>1193</v>
      </c>
      <c r="L16" s="210"/>
      <c r="M16" s="210"/>
      <c r="N16" s="212"/>
      <c r="O16" s="203"/>
      <c r="P16" s="206">
        <v>45973</v>
      </c>
      <c r="Q16" s="199" t="s">
        <v>1183</v>
      </c>
      <c r="R16" s="156"/>
    </row>
    <row r="17" spans="1:18" ht="18" customHeight="1">
      <c r="A17" s="209">
        <v>10</v>
      </c>
      <c r="B17" s="198" t="s">
        <v>350</v>
      </c>
      <c r="C17" s="199" t="s">
        <v>18</v>
      </c>
      <c r="D17" s="199" t="s">
        <v>19</v>
      </c>
      <c r="E17" s="199">
        <v>5</v>
      </c>
      <c r="F17" s="199">
        <v>142</v>
      </c>
      <c r="G17" s="200" t="s">
        <v>223</v>
      </c>
      <c r="H17" s="201" t="s">
        <v>351</v>
      </c>
      <c r="I17" s="202" t="s">
        <v>353</v>
      </c>
      <c r="J17" s="203"/>
      <c r="K17" s="199" t="s">
        <v>1194</v>
      </c>
      <c r="L17" s="210"/>
      <c r="M17" s="210"/>
      <c r="N17" s="212"/>
      <c r="O17" s="203"/>
      <c r="P17" s="206">
        <v>45973</v>
      </c>
      <c r="Q17" s="199" t="s">
        <v>1183</v>
      </c>
      <c r="R17" s="156"/>
    </row>
    <row r="18" spans="1:18" ht="18" customHeight="1">
      <c r="A18" s="136">
        <v>11</v>
      </c>
      <c r="B18" s="198" t="s">
        <v>354</v>
      </c>
      <c r="C18" s="199" t="s">
        <v>63</v>
      </c>
      <c r="D18" s="199" t="s">
        <v>26</v>
      </c>
      <c r="E18" s="199">
        <v>104.9</v>
      </c>
      <c r="F18" s="199">
        <v>78</v>
      </c>
      <c r="G18" s="200" t="s">
        <v>223</v>
      </c>
      <c r="H18" s="201" t="s">
        <v>355</v>
      </c>
      <c r="I18" s="202" t="s">
        <v>356</v>
      </c>
      <c r="J18" s="203"/>
      <c r="K18" s="199" t="s">
        <v>1195</v>
      </c>
      <c r="L18" s="204" t="s">
        <v>357</v>
      </c>
      <c r="M18" s="204" t="s">
        <v>24</v>
      </c>
      <c r="N18" s="203"/>
      <c r="O18" s="203"/>
      <c r="P18" s="213">
        <v>45986</v>
      </c>
      <c r="Q18" s="199" t="s">
        <v>1196</v>
      </c>
      <c r="R18" s="156"/>
    </row>
    <row r="19" spans="1:18" ht="18" customHeight="1">
      <c r="A19" s="209">
        <v>12</v>
      </c>
      <c r="B19" s="198" t="s">
        <v>154</v>
      </c>
      <c r="C19" s="199" t="s">
        <v>18</v>
      </c>
      <c r="D19" s="199" t="s">
        <v>19</v>
      </c>
      <c r="E19" s="199">
        <v>9</v>
      </c>
      <c r="F19" s="199">
        <v>153</v>
      </c>
      <c r="G19" s="200" t="s">
        <v>223</v>
      </c>
      <c r="H19" s="201" t="s">
        <v>155</v>
      </c>
      <c r="I19" s="202" t="s">
        <v>358</v>
      </c>
      <c r="J19" s="199" t="s">
        <v>359</v>
      </c>
      <c r="K19" s="199" t="s">
        <v>1197</v>
      </c>
      <c r="L19" s="204" t="s">
        <v>360</v>
      </c>
      <c r="M19" s="204" t="s">
        <v>24</v>
      </c>
      <c r="N19" s="203"/>
      <c r="O19" s="203"/>
      <c r="P19" s="206">
        <v>45958</v>
      </c>
      <c r="Q19" s="199" t="s">
        <v>1198</v>
      </c>
      <c r="R19" s="156"/>
    </row>
    <row r="20" spans="1:18" ht="18" customHeight="1">
      <c r="A20" s="136">
        <v>13</v>
      </c>
      <c r="B20" s="198" t="s">
        <v>361</v>
      </c>
      <c r="C20" s="199" t="s">
        <v>45</v>
      </c>
      <c r="D20" s="199" t="s">
        <v>19</v>
      </c>
      <c r="E20" s="199">
        <v>12</v>
      </c>
      <c r="F20" s="199">
        <v>12</v>
      </c>
      <c r="G20" s="200" t="s">
        <v>223</v>
      </c>
      <c r="H20" s="201" t="s">
        <v>362</v>
      </c>
      <c r="I20" s="202" t="s">
        <v>363</v>
      </c>
      <c r="J20" s="199" t="s">
        <v>364</v>
      </c>
      <c r="K20" s="199" t="s">
        <v>1199</v>
      </c>
      <c r="L20" s="204" t="s">
        <v>23</v>
      </c>
      <c r="M20" s="204" t="s">
        <v>24</v>
      </c>
      <c r="N20" s="199" t="s">
        <v>365</v>
      </c>
      <c r="O20" s="203"/>
      <c r="P20" s="213">
        <v>45442</v>
      </c>
      <c r="Q20" s="199" t="s">
        <v>1200</v>
      </c>
      <c r="R20" s="156"/>
    </row>
    <row r="21" spans="1:18" ht="18" customHeight="1">
      <c r="A21" s="136">
        <v>14</v>
      </c>
      <c r="B21" s="198" t="s">
        <v>18</v>
      </c>
      <c r="C21" s="199" t="s">
        <v>18</v>
      </c>
      <c r="D21" s="199" t="s">
        <v>100</v>
      </c>
      <c r="E21" s="199">
        <v>1310</v>
      </c>
      <c r="F21" s="199">
        <v>14</v>
      </c>
      <c r="G21" s="200" t="s">
        <v>223</v>
      </c>
      <c r="H21" s="201" t="s">
        <v>226</v>
      </c>
      <c r="I21" s="202" t="s">
        <v>366</v>
      </c>
      <c r="J21" s="199" t="s">
        <v>367</v>
      </c>
      <c r="K21" s="199" t="s">
        <v>1201</v>
      </c>
      <c r="L21" s="204" t="s">
        <v>368</v>
      </c>
      <c r="M21" s="204" t="s">
        <v>24</v>
      </c>
      <c r="N21" s="203"/>
      <c r="O21" s="203"/>
      <c r="P21" s="213">
        <v>43466</v>
      </c>
      <c r="Q21" s="199" t="s">
        <v>1202</v>
      </c>
      <c r="R21" s="156"/>
    </row>
    <row r="22" spans="1:18" ht="18" customHeight="1">
      <c r="A22" s="136">
        <v>15</v>
      </c>
      <c r="B22" s="198" t="s">
        <v>369</v>
      </c>
      <c r="C22" s="199" t="s">
        <v>71</v>
      </c>
      <c r="D22" s="199" t="s">
        <v>26</v>
      </c>
      <c r="E22" s="199" t="s">
        <v>370</v>
      </c>
      <c r="F22" s="199">
        <v>10</v>
      </c>
      <c r="G22" s="200" t="s">
        <v>223</v>
      </c>
      <c r="H22" s="201" t="s">
        <v>371</v>
      </c>
      <c r="I22" s="202" t="s">
        <v>372</v>
      </c>
      <c r="J22" s="203"/>
      <c r="K22" s="199" t="s">
        <v>1203</v>
      </c>
      <c r="L22" s="204" t="s">
        <v>23</v>
      </c>
      <c r="M22" s="204" t="s">
        <v>373</v>
      </c>
      <c r="N22" s="199" t="s">
        <v>374</v>
      </c>
      <c r="O22" s="203"/>
      <c r="P22" s="213">
        <v>45961</v>
      </c>
      <c r="Q22" s="199" t="s">
        <v>1204</v>
      </c>
      <c r="R22" s="156"/>
    </row>
    <row r="23" spans="1:18" ht="18" customHeight="1">
      <c r="A23" s="209">
        <v>16</v>
      </c>
      <c r="B23" s="198" t="s">
        <v>375</v>
      </c>
      <c r="C23" s="199" t="s">
        <v>71</v>
      </c>
      <c r="D23" s="199" t="s">
        <v>26</v>
      </c>
      <c r="E23" s="199">
        <v>104.1</v>
      </c>
      <c r="F23" s="199">
        <v>82</v>
      </c>
      <c r="G23" s="200" t="s">
        <v>223</v>
      </c>
      <c r="H23" s="201" t="s">
        <v>376</v>
      </c>
      <c r="I23" s="202" t="s">
        <v>377</v>
      </c>
      <c r="J23" s="203"/>
      <c r="K23" s="199" t="s">
        <v>1205</v>
      </c>
      <c r="L23" s="204" t="s">
        <v>23</v>
      </c>
      <c r="M23" s="204" t="s">
        <v>24</v>
      </c>
      <c r="N23" s="203"/>
      <c r="O23" s="203"/>
      <c r="P23" s="213">
        <v>45979</v>
      </c>
      <c r="Q23" s="199" t="s">
        <v>1206</v>
      </c>
      <c r="R23" s="156"/>
    </row>
    <row r="24" spans="1:18" ht="18" customHeight="1">
      <c r="A24" s="136">
        <v>17</v>
      </c>
      <c r="B24" s="198" t="s">
        <v>378</v>
      </c>
      <c r="C24" s="199" t="s">
        <v>18</v>
      </c>
      <c r="D24" s="199" t="s">
        <v>26</v>
      </c>
      <c r="E24" s="199">
        <v>101.1</v>
      </c>
      <c r="F24" s="199">
        <v>142</v>
      </c>
      <c r="G24" s="200" t="s">
        <v>223</v>
      </c>
      <c r="H24" s="201" t="s">
        <v>379</v>
      </c>
      <c r="I24" s="202" t="s">
        <v>380</v>
      </c>
      <c r="J24" s="203"/>
      <c r="K24" s="199" t="s">
        <v>1207</v>
      </c>
      <c r="L24" s="204" t="s">
        <v>23</v>
      </c>
      <c r="M24" s="204" t="s">
        <v>24</v>
      </c>
      <c r="N24" s="203"/>
      <c r="O24" s="203"/>
      <c r="P24" s="213">
        <v>45778</v>
      </c>
      <c r="Q24" s="199" t="s">
        <v>1208</v>
      </c>
      <c r="R24" s="156"/>
    </row>
    <row r="25" spans="1:18" ht="18" customHeight="1">
      <c r="A25" s="209">
        <v>18</v>
      </c>
      <c r="B25" s="198" t="s">
        <v>381</v>
      </c>
      <c r="C25" s="199" t="s">
        <v>18</v>
      </c>
      <c r="D25" s="199" t="s">
        <v>26</v>
      </c>
      <c r="E25" s="199">
        <v>103.1</v>
      </c>
      <c r="F25" s="199">
        <v>97</v>
      </c>
      <c r="G25" s="200" t="s">
        <v>223</v>
      </c>
      <c r="H25" s="201" t="s">
        <v>382</v>
      </c>
      <c r="I25" s="202" t="s">
        <v>383</v>
      </c>
      <c r="J25" s="203"/>
      <c r="K25" s="199" t="s">
        <v>1209</v>
      </c>
      <c r="L25" s="204" t="s">
        <v>23</v>
      </c>
      <c r="M25" s="204" t="s">
        <v>24</v>
      </c>
      <c r="N25" s="203"/>
      <c r="O25" s="203"/>
      <c r="P25" s="213"/>
      <c r="Q25" s="199" t="s">
        <v>1210</v>
      </c>
      <c r="R25" s="156"/>
    </row>
    <row r="26" spans="1:18" ht="18" customHeight="1">
      <c r="A26" s="136">
        <v>19</v>
      </c>
      <c r="B26" s="198" t="s">
        <v>314</v>
      </c>
      <c r="C26" s="199" t="s">
        <v>45</v>
      </c>
      <c r="D26" s="199" t="s">
        <v>19</v>
      </c>
      <c r="E26" s="199">
        <v>13</v>
      </c>
      <c r="F26" s="199">
        <v>144</v>
      </c>
      <c r="G26" s="200" t="s">
        <v>223</v>
      </c>
      <c r="H26" s="201" t="s">
        <v>315</v>
      </c>
      <c r="I26" s="202" t="s">
        <v>384</v>
      </c>
      <c r="J26" s="203"/>
      <c r="K26" s="199" t="s">
        <v>1211</v>
      </c>
      <c r="L26" s="204" t="s">
        <v>385</v>
      </c>
      <c r="M26" s="204" t="s">
        <v>24</v>
      </c>
      <c r="N26" s="203"/>
      <c r="O26" s="203"/>
      <c r="P26" s="213">
        <v>45442</v>
      </c>
      <c r="Q26" s="199" t="s">
        <v>1200</v>
      </c>
      <c r="R26" s="156"/>
    </row>
    <row r="27" spans="1:18" ht="18" customHeight="1">
      <c r="A27" s="136">
        <v>20</v>
      </c>
      <c r="B27" s="214" t="s">
        <v>420</v>
      </c>
      <c r="C27" s="199" t="s">
        <v>417</v>
      </c>
      <c r="D27" s="199" t="s">
        <v>26</v>
      </c>
      <c r="E27" s="199" t="s">
        <v>421</v>
      </c>
      <c r="F27" s="199">
        <v>5</v>
      </c>
      <c r="G27" s="200" t="s">
        <v>223</v>
      </c>
      <c r="H27" s="201" t="s">
        <v>422</v>
      </c>
      <c r="I27" s="202" t="s">
        <v>423</v>
      </c>
      <c r="J27" s="203"/>
      <c r="K27" s="199" t="s">
        <v>1212</v>
      </c>
      <c r="L27" s="204" t="s">
        <v>23</v>
      </c>
      <c r="M27" s="204" t="s">
        <v>24</v>
      </c>
      <c r="N27" s="203"/>
      <c r="O27" s="203"/>
      <c r="P27" s="213"/>
      <c r="Q27" s="199" t="s">
        <v>1210</v>
      </c>
      <c r="R27" s="156"/>
    </row>
    <row r="28" spans="1:18" ht="18" customHeight="1">
      <c r="A28" s="136">
        <v>21</v>
      </c>
      <c r="B28" s="214" t="s">
        <v>504</v>
      </c>
      <c r="C28" s="199" t="s">
        <v>497</v>
      </c>
      <c r="D28" s="199" t="s">
        <v>26</v>
      </c>
      <c r="E28" s="199">
        <v>93.7</v>
      </c>
      <c r="F28" s="199">
        <v>32</v>
      </c>
      <c r="G28" s="200" t="s">
        <v>223</v>
      </c>
      <c r="H28" s="201" t="s">
        <v>505</v>
      </c>
      <c r="I28" s="202" t="s">
        <v>506</v>
      </c>
      <c r="J28" s="203"/>
      <c r="K28" s="199" t="s">
        <v>1213</v>
      </c>
      <c r="L28" s="204" t="s">
        <v>357</v>
      </c>
      <c r="M28" s="204" t="s">
        <v>24</v>
      </c>
      <c r="N28" s="203"/>
      <c r="O28" s="203"/>
      <c r="P28" s="203"/>
      <c r="Q28" s="199" t="s">
        <v>1210</v>
      </c>
      <c r="R28" s="156"/>
    </row>
    <row r="29" spans="1:18" ht="18" customHeight="1">
      <c r="A29" s="209">
        <v>22</v>
      </c>
      <c r="B29" s="214" t="s">
        <v>532</v>
      </c>
      <c r="C29" s="199" t="s">
        <v>417</v>
      </c>
      <c r="D29" s="199" t="s">
        <v>26</v>
      </c>
      <c r="E29" s="199" t="s">
        <v>533</v>
      </c>
      <c r="F29" s="199">
        <v>46</v>
      </c>
      <c r="G29" s="200" t="s">
        <v>223</v>
      </c>
      <c r="H29" s="201" t="s">
        <v>534</v>
      </c>
      <c r="I29" s="202" t="s">
        <v>535</v>
      </c>
      <c r="J29" s="199" t="s">
        <v>536</v>
      </c>
      <c r="K29" s="199" t="s">
        <v>1214</v>
      </c>
      <c r="L29" s="203"/>
      <c r="M29" s="203"/>
      <c r="N29" s="203"/>
      <c r="O29" s="203"/>
      <c r="P29" s="203"/>
      <c r="Q29" s="199" t="s">
        <v>1210</v>
      </c>
      <c r="R29" s="156"/>
    </row>
    <row r="30" spans="1:18" ht="18" customHeight="1">
      <c r="A30" s="209">
        <v>23</v>
      </c>
      <c r="B30" s="214" t="s">
        <v>574</v>
      </c>
      <c r="C30" s="199" t="s">
        <v>457</v>
      </c>
      <c r="D30" s="199" t="s">
        <v>26</v>
      </c>
      <c r="E30" s="199">
        <v>100.7</v>
      </c>
      <c r="F30" s="199">
        <v>63</v>
      </c>
      <c r="G30" s="200" t="s">
        <v>223</v>
      </c>
      <c r="H30" s="201" t="s">
        <v>575</v>
      </c>
      <c r="I30" s="202" t="s">
        <v>576</v>
      </c>
      <c r="J30" s="203"/>
      <c r="K30" s="199" t="s">
        <v>1215</v>
      </c>
      <c r="L30" s="203"/>
      <c r="M30" s="203"/>
      <c r="N30" s="203"/>
      <c r="O30" s="203"/>
      <c r="P30" s="203"/>
      <c r="Q30" s="199" t="s">
        <v>1210</v>
      </c>
      <c r="R30" s="156"/>
    </row>
    <row r="31" spans="1:18" ht="18" customHeight="1">
      <c r="A31" s="209">
        <v>24</v>
      </c>
      <c r="B31" s="214" t="s">
        <v>614</v>
      </c>
      <c r="C31" s="199" t="s">
        <v>452</v>
      </c>
      <c r="D31" s="199" t="s">
        <v>26</v>
      </c>
      <c r="E31" s="199">
        <v>90.9</v>
      </c>
      <c r="F31" s="199">
        <v>75</v>
      </c>
      <c r="G31" s="200" t="s">
        <v>223</v>
      </c>
      <c r="H31" s="201" t="s">
        <v>615</v>
      </c>
      <c r="I31" s="202" t="s">
        <v>616</v>
      </c>
      <c r="J31" s="203"/>
      <c r="K31" s="199" t="s">
        <v>1216</v>
      </c>
      <c r="L31" s="204" t="s">
        <v>23</v>
      </c>
      <c r="M31" s="204" t="s">
        <v>24</v>
      </c>
      <c r="N31" s="199">
        <v>11200</v>
      </c>
      <c r="O31" s="203"/>
      <c r="P31" s="203"/>
      <c r="Q31" s="199" t="s">
        <v>1210</v>
      </c>
      <c r="R31" s="156"/>
    </row>
    <row r="32" spans="1:18" ht="32.25" customHeight="1">
      <c r="A32" s="209">
        <v>25</v>
      </c>
      <c r="B32" s="214" t="s">
        <v>614</v>
      </c>
      <c r="C32" s="199" t="s">
        <v>452</v>
      </c>
      <c r="D32" s="199" t="s">
        <v>19</v>
      </c>
      <c r="E32" s="199">
        <v>7</v>
      </c>
      <c r="F32" s="199">
        <v>75</v>
      </c>
      <c r="G32" s="200" t="s">
        <v>223</v>
      </c>
      <c r="H32" s="201" t="s">
        <v>615</v>
      </c>
      <c r="I32" s="202" t="s">
        <v>617</v>
      </c>
      <c r="J32" s="203"/>
      <c r="K32" s="199" t="s">
        <v>1217</v>
      </c>
      <c r="L32" s="203"/>
      <c r="M32" s="203"/>
      <c r="N32" s="203"/>
      <c r="O32" s="203"/>
      <c r="P32" s="213"/>
      <c r="Q32" s="199" t="s">
        <v>1210</v>
      </c>
      <c r="R32" s="156"/>
    </row>
    <row r="33" spans="1:18" ht="33" customHeight="1">
      <c r="A33" s="136">
        <v>26</v>
      </c>
      <c r="B33" s="214" t="s">
        <v>630</v>
      </c>
      <c r="C33" s="199" t="s">
        <v>452</v>
      </c>
      <c r="D33" s="199" t="s">
        <v>19</v>
      </c>
      <c r="E33" s="199">
        <v>9</v>
      </c>
      <c r="F33" s="199">
        <v>76</v>
      </c>
      <c r="G33" s="200" t="s">
        <v>223</v>
      </c>
      <c r="H33" s="201" t="s">
        <v>631</v>
      </c>
      <c r="I33" s="202" t="s">
        <v>632</v>
      </c>
      <c r="J33" s="203"/>
      <c r="K33" s="199" t="s">
        <v>1218</v>
      </c>
      <c r="L33" s="204" t="s">
        <v>23</v>
      </c>
      <c r="M33" s="204" t="s">
        <v>373</v>
      </c>
      <c r="N33" s="199" t="s">
        <v>633</v>
      </c>
      <c r="O33" s="203"/>
      <c r="P33" s="213"/>
      <c r="Q33" s="199" t="s">
        <v>1210</v>
      </c>
      <c r="R33" s="156"/>
    </row>
    <row r="34" spans="1:18" ht="30.75" customHeight="1">
      <c r="A34" s="136">
        <v>27</v>
      </c>
      <c r="B34" s="214" t="s">
        <v>639</v>
      </c>
      <c r="C34" s="199" t="s">
        <v>412</v>
      </c>
      <c r="D34" s="199" t="s">
        <v>26</v>
      </c>
      <c r="E34" s="199">
        <v>97.1</v>
      </c>
      <c r="F34" s="199">
        <v>85</v>
      </c>
      <c r="G34" s="200" t="s">
        <v>223</v>
      </c>
      <c r="H34" s="201" t="s">
        <v>640</v>
      </c>
      <c r="I34" s="202" t="s">
        <v>641</v>
      </c>
      <c r="J34" s="203"/>
      <c r="K34" s="199" t="s">
        <v>1219</v>
      </c>
      <c r="L34" s="210"/>
      <c r="M34" s="210"/>
      <c r="N34" s="203"/>
      <c r="O34" s="203"/>
      <c r="P34" s="213"/>
      <c r="Q34" s="199" t="s">
        <v>1210</v>
      </c>
      <c r="R34" s="156"/>
    </row>
    <row r="35" spans="1:18" ht="33.75" customHeight="1">
      <c r="A35" s="136">
        <v>28</v>
      </c>
      <c r="B35" s="214" t="s">
        <v>642</v>
      </c>
      <c r="C35" s="199" t="s">
        <v>412</v>
      </c>
      <c r="D35" s="199" t="s">
        <v>19</v>
      </c>
      <c r="E35" s="199">
        <v>6</v>
      </c>
      <c r="F35" s="199">
        <v>85</v>
      </c>
      <c r="G35" s="200" t="s">
        <v>223</v>
      </c>
      <c r="H35" s="201" t="s">
        <v>640</v>
      </c>
      <c r="I35" s="202" t="s">
        <v>643</v>
      </c>
      <c r="J35" s="203"/>
      <c r="K35" s="199" t="s">
        <v>1220</v>
      </c>
      <c r="L35" s="203"/>
      <c r="M35" s="203"/>
      <c r="N35" s="203"/>
      <c r="O35" s="203"/>
      <c r="P35" s="206"/>
      <c r="Q35" s="199" t="s">
        <v>1210</v>
      </c>
      <c r="R35" s="156"/>
    </row>
    <row r="36" spans="1:18" ht="27.75" customHeight="1">
      <c r="A36" s="209">
        <v>29</v>
      </c>
      <c r="B36" s="214" t="s">
        <v>666</v>
      </c>
      <c r="C36" s="199" t="s">
        <v>412</v>
      </c>
      <c r="D36" s="199" t="s">
        <v>26</v>
      </c>
      <c r="E36" s="199">
        <v>94.5</v>
      </c>
      <c r="F36" s="199">
        <v>88</v>
      </c>
      <c r="G36" s="200" t="s">
        <v>223</v>
      </c>
      <c r="H36" s="201" t="s">
        <v>667</v>
      </c>
      <c r="I36" s="202" t="s">
        <v>668</v>
      </c>
      <c r="J36" s="203"/>
      <c r="K36" s="199" t="s">
        <v>1221</v>
      </c>
      <c r="L36" s="203"/>
      <c r="M36" s="203"/>
      <c r="N36" s="203"/>
      <c r="O36" s="203"/>
      <c r="P36" s="206"/>
      <c r="Q36" s="199" t="s">
        <v>1210</v>
      </c>
      <c r="R36" s="156"/>
    </row>
    <row r="37" spans="1:18" ht="18.75" customHeight="1">
      <c r="A37" s="136">
        <v>30</v>
      </c>
      <c r="B37" s="214" t="s">
        <v>687</v>
      </c>
      <c r="C37" s="199" t="s">
        <v>427</v>
      </c>
      <c r="D37" s="199" t="s">
        <v>26</v>
      </c>
      <c r="E37" s="199">
        <v>96.1</v>
      </c>
      <c r="F37" s="199">
        <v>99</v>
      </c>
      <c r="G37" s="200" t="s">
        <v>223</v>
      </c>
      <c r="H37" s="201" t="s">
        <v>688</v>
      </c>
      <c r="I37" s="215" t="s">
        <v>689</v>
      </c>
      <c r="J37" s="203"/>
      <c r="K37" s="199" t="s">
        <v>1222</v>
      </c>
      <c r="L37" s="203"/>
      <c r="M37" s="203"/>
      <c r="N37" s="203"/>
      <c r="O37" s="203"/>
      <c r="P37" s="206"/>
      <c r="Q37" s="199" t="s">
        <v>1210</v>
      </c>
      <c r="R37" s="156"/>
    </row>
    <row r="38" spans="1:18" ht="18" customHeight="1">
      <c r="A38" s="136">
        <v>31</v>
      </c>
      <c r="B38" s="216" t="s">
        <v>783</v>
      </c>
      <c r="C38" s="199" t="s">
        <v>766</v>
      </c>
      <c r="D38" s="199" t="s">
        <v>26</v>
      </c>
      <c r="E38" s="199">
        <v>93.1</v>
      </c>
      <c r="F38" s="199">
        <v>125</v>
      </c>
      <c r="G38" s="200" t="s">
        <v>223</v>
      </c>
      <c r="H38" s="201" t="s">
        <v>785</v>
      </c>
      <c r="I38" s="202" t="s">
        <v>786</v>
      </c>
      <c r="J38" s="199" t="s">
        <v>787</v>
      </c>
      <c r="K38" s="199" t="s">
        <v>1223</v>
      </c>
      <c r="L38" s="204" t="s">
        <v>23</v>
      </c>
      <c r="M38" s="204" t="s">
        <v>24</v>
      </c>
      <c r="N38" s="203"/>
      <c r="O38" s="203"/>
      <c r="P38" s="206">
        <v>45744</v>
      </c>
      <c r="Q38" s="199" t="s">
        <v>1224</v>
      </c>
      <c r="R38" s="156"/>
    </row>
    <row r="39" spans="1:18" ht="26.25" customHeight="1">
      <c r="A39" s="136">
        <v>32</v>
      </c>
      <c r="B39" s="216" t="s">
        <v>798</v>
      </c>
      <c r="C39" s="199" t="s">
        <v>760</v>
      </c>
      <c r="D39" s="199" t="s">
        <v>19</v>
      </c>
      <c r="E39" s="199">
        <v>7</v>
      </c>
      <c r="F39" s="199">
        <v>67</v>
      </c>
      <c r="G39" s="200" t="s">
        <v>223</v>
      </c>
      <c r="H39" s="201" t="s">
        <v>802</v>
      </c>
      <c r="I39" s="202" t="s">
        <v>803</v>
      </c>
      <c r="J39" s="199" t="s">
        <v>804</v>
      </c>
      <c r="K39" s="199" t="s">
        <v>1225</v>
      </c>
      <c r="L39" s="210"/>
      <c r="M39" s="210"/>
      <c r="N39" s="203"/>
      <c r="O39" s="203"/>
      <c r="P39" s="213">
        <v>45873</v>
      </c>
      <c r="Q39" s="199" t="s">
        <v>1226</v>
      </c>
      <c r="R39" s="156"/>
    </row>
    <row r="40" spans="1:18" ht="28.5" customHeight="1">
      <c r="A40" s="209">
        <v>33</v>
      </c>
      <c r="B40" s="216" t="s">
        <v>819</v>
      </c>
      <c r="C40" s="199" t="s">
        <v>779</v>
      </c>
      <c r="D40" s="199" t="s">
        <v>26</v>
      </c>
      <c r="E40" s="199">
        <v>89.5</v>
      </c>
      <c r="F40" s="199">
        <v>138</v>
      </c>
      <c r="G40" s="200" t="s">
        <v>223</v>
      </c>
      <c r="H40" s="201" t="s">
        <v>821</v>
      </c>
      <c r="I40" s="202" t="s">
        <v>822</v>
      </c>
      <c r="J40" s="199" t="s">
        <v>823</v>
      </c>
      <c r="K40" s="199" t="s">
        <v>1227</v>
      </c>
      <c r="L40" s="204" t="s">
        <v>368</v>
      </c>
      <c r="M40" s="204" t="s">
        <v>373</v>
      </c>
      <c r="N40" s="203"/>
      <c r="O40" s="203"/>
      <c r="P40" s="213">
        <v>45901</v>
      </c>
      <c r="Q40" s="199" t="s">
        <v>1228</v>
      </c>
      <c r="R40" s="156"/>
    </row>
    <row r="41" spans="1:18" ht="37.5" customHeight="1">
      <c r="A41" s="209">
        <v>34</v>
      </c>
      <c r="B41" s="216" t="s">
        <v>858</v>
      </c>
      <c r="C41" s="199" t="s">
        <v>794</v>
      </c>
      <c r="D41" s="199" t="s">
        <v>19</v>
      </c>
      <c r="E41" s="199">
        <v>8</v>
      </c>
      <c r="F41" s="199">
        <v>21</v>
      </c>
      <c r="G41" s="200" t="s">
        <v>223</v>
      </c>
      <c r="H41" s="201" t="s">
        <v>859</v>
      </c>
      <c r="I41" s="202" t="s">
        <v>860</v>
      </c>
      <c r="J41" s="199" t="s">
        <v>861</v>
      </c>
      <c r="K41" s="199" t="s">
        <v>1229</v>
      </c>
      <c r="L41" s="210"/>
      <c r="M41" s="210"/>
      <c r="N41" s="203"/>
      <c r="O41" s="203"/>
      <c r="P41" s="206">
        <v>45959</v>
      </c>
      <c r="Q41" s="199" t="s">
        <v>1230</v>
      </c>
      <c r="R41" s="156"/>
    </row>
    <row r="42" spans="1:18" ht="35.25" customHeight="1">
      <c r="A42" s="209">
        <v>35</v>
      </c>
      <c r="B42" s="216" t="s">
        <v>858</v>
      </c>
      <c r="C42" s="199" t="s">
        <v>794</v>
      </c>
      <c r="D42" s="199" t="s">
        <v>26</v>
      </c>
      <c r="E42" s="199">
        <v>96.5</v>
      </c>
      <c r="F42" s="199">
        <v>21</v>
      </c>
      <c r="G42" s="200" t="s">
        <v>223</v>
      </c>
      <c r="H42" s="201" t="s">
        <v>859</v>
      </c>
      <c r="I42" s="202" t="s">
        <v>862</v>
      </c>
      <c r="J42" s="199" t="s">
        <v>861</v>
      </c>
      <c r="K42" s="199" t="s">
        <v>1231</v>
      </c>
      <c r="L42" s="204" t="s">
        <v>368</v>
      </c>
      <c r="M42" s="204" t="s">
        <v>373</v>
      </c>
      <c r="N42" s="217"/>
      <c r="O42" s="203"/>
      <c r="P42" s="206">
        <v>45959</v>
      </c>
      <c r="Q42" s="199" t="s">
        <v>1230</v>
      </c>
      <c r="R42" s="156"/>
    </row>
    <row r="43" spans="1:18" ht="28.5" customHeight="1">
      <c r="A43" s="136">
        <v>36</v>
      </c>
      <c r="B43" s="216" t="s">
        <v>963</v>
      </c>
      <c r="C43" s="199" t="s">
        <v>779</v>
      </c>
      <c r="D43" s="199" t="s">
        <v>19</v>
      </c>
      <c r="E43" s="199">
        <v>13</v>
      </c>
      <c r="F43" s="199">
        <v>84</v>
      </c>
      <c r="G43" s="200" t="s">
        <v>223</v>
      </c>
      <c r="H43" s="201" t="s">
        <v>964</v>
      </c>
      <c r="I43" s="202" t="s">
        <v>965</v>
      </c>
      <c r="J43" s="199" t="s">
        <v>1232</v>
      </c>
      <c r="K43" s="199" t="s">
        <v>1233</v>
      </c>
      <c r="L43" s="204" t="s">
        <v>23</v>
      </c>
      <c r="M43" s="204" t="s">
        <v>24</v>
      </c>
      <c r="N43" s="217"/>
      <c r="O43" s="203"/>
      <c r="P43" s="206">
        <v>45978</v>
      </c>
      <c r="Q43" s="199" t="s">
        <v>1234</v>
      </c>
      <c r="R43" s="156"/>
    </row>
    <row r="44" spans="1:18" ht="34.5" customHeight="1">
      <c r="A44" s="136">
        <v>37</v>
      </c>
      <c r="B44" s="216" t="s">
        <v>986</v>
      </c>
      <c r="C44" s="199" t="s">
        <v>771</v>
      </c>
      <c r="D44" s="199" t="s">
        <v>19</v>
      </c>
      <c r="E44" s="199">
        <v>9</v>
      </c>
      <c r="F44" s="199">
        <v>131</v>
      </c>
      <c r="G44" s="200" t="s">
        <v>223</v>
      </c>
      <c r="H44" s="201" t="s">
        <v>987</v>
      </c>
      <c r="I44" s="202" t="s">
        <v>989</v>
      </c>
      <c r="J44" s="199" t="s">
        <v>1235</v>
      </c>
      <c r="K44" s="199" t="s">
        <v>1236</v>
      </c>
      <c r="L44" s="204" t="s">
        <v>23</v>
      </c>
      <c r="M44" s="204" t="s">
        <v>24</v>
      </c>
      <c r="N44" s="203"/>
      <c r="O44" s="203"/>
      <c r="P44" s="206">
        <v>45925</v>
      </c>
      <c r="Q44" s="199" t="s">
        <v>1237</v>
      </c>
      <c r="R44" s="156"/>
    </row>
    <row r="45" spans="1:18" ht="31.5" customHeight="1">
      <c r="A45" s="136">
        <v>38</v>
      </c>
      <c r="B45" s="216" t="s">
        <v>1037</v>
      </c>
      <c r="C45" s="199" t="s">
        <v>794</v>
      </c>
      <c r="D45" s="199" t="s">
        <v>26</v>
      </c>
      <c r="E45" s="199">
        <v>99.3</v>
      </c>
      <c r="F45" s="199">
        <v>21</v>
      </c>
      <c r="G45" s="200" t="s">
        <v>223</v>
      </c>
      <c r="H45" s="201" t="s">
        <v>1038</v>
      </c>
      <c r="I45" s="202" t="s">
        <v>1039</v>
      </c>
      <c r="J45" s="199" t="s">
        <v>1040</v>
      </c>
      <c r="K45" s="199" t="s">
        <v>1238</v>
      </c>
      <c r="L45" s="203"/>
      <c r="M45" s="203"/>
      <c r="N45" s="199" t="s">
        <v>1239</v>
      </c>
      <c r="O45" s="203"/>
      <c r="P45" s="218">
        <v>45750</v>
      </c>
      <c r="Q45" s="219" t="s">
        <v>1240</v>
      </c>
      <c r="R45" s="220"/>
    </row>
    <row r="46" spans="1:18" ht="40.5" customHeight="1">
      <c r="A46" s="209">
        <v>39</v>
      </c>
      <c r="B46" s="216" t="s">
        <v>1062</v>
      </c>
      <c r="C46" s="199" t="s">
        <v>794</v>
      </c>
      <c r="D46" s="199" t="s">
        <v>26</v>
      </c>
      <c r="E46" s="199">
        <v>97.7</v>
      </c>
      <c r="F46" s="199">
        <v>21</v>
      </c>
      <c r="G46" s="200" t="s">
        <v>223</v>
      </c>
      <c r="H46" s="201" t="s">
        <v>597</v>
      </c>
      <c r="I46" s="202" t="s">
        <v>1065</v>
      </c>
      <c r="J46" s="203"/>
      <c r="K46" s="199" t="s">
        <v>1241</v>
      </c>
      <c r="L46" s="204" t="s">
        <v>368</v>
      </c>
      <c r="M46" s="204" t="s">
        <v>24</v>
      </c>
      <c r="N46" s="199" t="s">
        <v>1242</v>
      </c>
      <c r="O46" s="203"/>
      <c r="P46" s="218">
        <v>45966</v>
      </c>
      <c r="Q46" s="219" t="s">
        <v>1243</v>
      </c>
      <c r="R46" s="220"/>
    </row>
    <row r="47" spans="1:18" ht="30.75" customHeight="1">
      <c r="A47" s="136">
        <v>40</v>
      </c>
      <c r="B47" s="216" t="s">
        <v>1088</v>
      </c>
      <c r="C47" s="199" t="s">
        <v>766</v>
      </c>
      <c r="D47" s="199" t="s">
        <v>26</v>
      </c>
      <c r="E47" s="199">
        <v>88.7</v>
      </c>
      <c r="F47" s="199">
        <v>3</v>
      </c>
      <c r="G47" s="200" t="s">
        <v>223</v>
      </c>
      <c r="H47" s="201" t="s">
        <v>1090</v>
      </c>
      <c r="I47" s="202" t="s">
        <v>1091</v>
      </c>
      <c r="J47" s="199" t="s">
        <v>1092</v>
      </c>
      <c r="K47" s="199" t="s">
        <v>1244</v>
      </c>
      <c r="L47" s="204" t="s">
        <v>357</v>
      </c>
      <c r="M47" s="204" t="s">
        <v>330</v>
      </c>
      <c r="N47" s="199" t="s">
        <v>1245</v>
      </c>
      <c r="O47" s="203"/>
      <c r="P47" s="218">
        <v>45944</v>
      </c>
      <c r="Q47" s="219" t="s">
        <v>1246</v>
      </c>
      <c r="R47" s="220"/>
    </row>
    <row r="48" spans="1:18" ht="33.75" customHeight="1">
      <c r="A48" s="209">
        <v>41</v>
      </c>
      <c r="B48" s="216" t="s">
        <v>1138</v>
      </c>
      <c r="C48" s="199" t="s">
        <v>850</v>
      </c>
      <c r="D48" s="199" t="s">
        <v>26</v>
      </c>
      <c r="E48" s="199">
        <v>90.3</v>
      </c>
      <c r="F48" s="199">
        <v>38</v>
      </c>
      <c r="G48" s="200" t="s">
        <v>223</v>
      </c>
      <c r="H48" s="201" t="s">
        <v>1140</v>
      </c>
      <c r="I48" s="202" t="s">
        <v>1141</v>
      </c>
      <c r="J48" s="203"/>
      <c r="K48" s="199" t="s">
        <v>1247</v>
      </c>
      <c r="L48" s="204" t="s">
        <v>368</v>
      </c>
      <c r="M48" s="204" t="s">
        <v>24</v>
      </c>
      <c r="N48" s="203"/>
      <c r="O48" s="203"/>
      <c r="P48" s="218">
        <v>45971</v>
      </c>
      <c r="Q48" s="219" t="s">
        <v>1248</v>
      </c>
      <c r="R48" s="220"/>
    </row>
    <row r="49" spans="1:18" ht="31.5" customHeight="1">
      <c r="A49" s="211">
        <v>42</v>
      </c>
      <c r="B49" s="216" t="s">
        <v>1138</v>
      </c>
      <c r="C49" s="199" t="s">
        <v>850</v>
      </c>
      <c r="D49" s="199" t="s">
        <v>19</v>
      </c>
      <c r="E49" s="199">
        <v>6</v>
      </c>
      <c r="F49" s="199">
        <v>38</v>
      </c>
      <c r="G49" s="200" t="s">
        <v>223</v>
      </c>
      <c r="H49" s="201" t="s">
        <v>1140</v>
      </c>
      <c r="I49" s="202" t="s">
        <v>1142</v>
      </c>
      <c r="J49" s="203"/>
      <c r="K49" s="199" t="s">
        <v>1249</v>
      </c>
      <c r="L49" s="204" t="s">
        <v>368</v>
      </c>
      <c r="M49" s="204" t="s">
        <v>24</v>
      </c>
      <c r="N49" s="203"/>
      <c r="O49" s="203"/>
      <c r="P49" s="218">
        <v>45971</v>
      </c>
      <c r="Q49" s="219" t="s">
        <v>1248</v>
      </c>
      <c r="R49" s="220"/>
    </row>
    <row r="50" spans="1:18" ht="42" customHeight="1">
      <c r="A50" s="221"/>
      <c r="B50" s="222"/>
      <c r="C50" s="222"/>
      <c r="D50" s="222"/>
      <c r="E50" s="222"/>
      <c r="F50" s="222"/>
      <c r="G50" s="222"/>
      <c r="H50" s="222"/>
      <c r="I50" s="223"/>
      <c r="J50" s="222"/>
      <c r="K50" s="222"/>
      <c r="L50" s="222"/>
      <c r="M50" s="222"/>
      <c r="N50" s="222"/>
      <c r="O50" s="222"/>
      <c r="P50" s="218">
        <v>45971</v>
      </c>
      <c r="Q50" s="219" t="s">
        <v>1179</v>
      </c>
      <c r="R50" s="220"/>
    </row>
    <row r="51" spans="1:18" ht="18" customHeight="1">
      <c r="A51" s="224"/>
      <c r="B51" s="225"/>
      <c r="C51" s="225"/>
      <c r="D51" s="225"/>
      <c r="E51" s="225"/>
      <c r="F51" s="225"/>
      <c r="G51" s="225"/>
      <c r="H51" s="225"/>
      <c r="I51" s="225"/>
      <c r="J51" s="225"/>
      <c r="K51" s="225"/>
      <c r="L51" s="225"/>
      <c r="M51" s="225"/>
      <c r="N51" s="225"/>
      <c r="O51" s="225"/>
      <c r="P51" s="225"/>
      <c r="Q51" s="225"/>
      <c r="R51" s="225"/>
    </row>
    <row r="52" spans="1:18" ht="30.75" customHeight="1">
      <c r="A52" s="225"/>
      <c r="B52" s="225"/>
      <c r="C52" s="225"/>
      <c r="D52" s="225"/>
      <c r="E52" s="225"/>
      <c r="F52" s="225"/>
      <c r="G52" s="225"/>
      <c r="H52" s="225"/>
      <c r="I52" s="225"/>
      <c r="J52" s="225"/>
      <c r="K52" s="225"/>
      <c r="L52" s="225"/>
      <c r="M52" s="225"/>
      <c r="N52" s="225"/>
      <c r="O52" s="225"/>
      <c r="P52" s="225"/>
      <c r="Q52" s="225"/>
      <c r="R52" s="225"/>
    </row>
    <row r="53" spans="1:18" ht="30.75" customHeight="1">
      <c r="A53" s="224"/>
      <c r="B53" s="225"/>
      <c r="C53" s="225"/>
      <c r="D53" s="225"/>
      <c r="E53" s="225"/>
      <c r="F53" s="225"/>
      <c r="G53" s="225"/>
      <c r="H53" s="225"/>
      <c r="I53" s="225"/>
      <c r="J53" s="225"/>
      <c r="K53" s="225"/>
      <c r="L53" s="225"/>
      <c r="M53" s="225"/>
      <c r="N53" s="225"/>
      <c r="O53" s="225"/>
      <c r="P53" s="225"/>
      <c r="Q53" s="225"/>
      <c r="R53" s="225"/>
    </row>
    <row r="54" spans="1:18" ht="18" customHeight="1">
      <c r="A54" s="224"/>
      <c r="B54" s="225"/>
      <c r="C54" s="225"/>
      <c r="D54" s="225"/>
      <c r="E54" s="225"/>
      <c r="F54" s="225"/>
      <c r="G54" s="225"/>
      <c r="H54" s="225"/>
      <c r="I54" s="225"/>
      <c r="J54" s="225"/>
      <c r="K54" s="225"/>
      <c r="L54" s="225"/>
      <c r="M54" s="225"/>
      <c r="N54" s="225"/>
      <c r="O54" s="225"/>
      <c r="P54" s="225"/>
      <c r="Q54" s="225"/>
      <c r="R54" s="225"/>
    </row>
    <row r="55" spans="1:18" ht="18" customHeight="1">
      <c r="A55" s="225"/>
      <c r="B55" s="225"/>
      <c r="C55" s="225"/>
      <c r="D55" s="225"/>
      <c r="E55" s="225"/>
      <c r="F55" s="225"/>
      <c r="G55" s="225"/>
      <c r="H55" s="225"/>
      <c r="I55" s="225"/>
      <c r="J55" s="225"/>
      <c r="K55" s="225"/>
      <c r="L55" s="226"/>
      <c r="M55" s="225"/>
      <c r="N55" s="225"/>
      <c r="O55" s="225"/>
      <c r="P55" s="225"/>
      <c r="Q55" s="225"/>
      <c r="R55" s="225"/>
    </row>
    <row r="56" spans="1:18" ht="18" customHeight="1">
      <c r="A56" s="225"/>
      <c r="B56" s="225"/>
      <c r="C56" s="225"/>
      <c r="D56" s="225"/>
      <c r="E56" s="225"/>
      <c r="F56" s="225"/>
      <c r="G56" s="225"/>
      <c r="H56" s="225"/>
      <c r="I56" s="225"/>
      <c r="J56" s="225"/>
      <c r="K56" s="225"/>
      <c r="L56" s="227"/>
      <c r="M56" s="225"/>
      <c r="N56" s="225"/>
      <c r="O56" s="225"/>
      <c r="P56" s="225"/>
      <c r="Q56" s="225"/>
      <c r="R56" s="225"/>
    </row>
    <row r="57" spans="1:18" ht="18" customHeight="1">
      <c r="A57" s="225"/>
      <c r="B57" s="225"/>
      <c r="C57" s="225"/>
      <c r="D57" s="225"/>
      <c r="E57" s="225"/>
      <c r="F57" s="225"/>
      <c r="G57" s="225"/>
      <c r="H57" s="225"/>
      <c r="I57" s="225"/>
      <c r="J57" s="225"/>
      <c r="K57" s="225"/>
      <c r="L57" s="227"/>
      <c r="M57" s="225"/>
      <c r="N57" s="225"/>
      <c r="O57" s="225"/>
      <c r="P57" s="225"/>
      <c r="Q57" s="225"/>
      <c r="R57" s="225"/>
    </row>
    <row r="58" spans="1:18" ht="18" customHeight="1">
      <c r="A58" s="225"/>
      <c r="B58" s="225"/>
      <c r="C58" s="225"/>
      <c r="D58" s="225"/>
      <c r="E58" s="225"/>
      <c r="F58" s="225"/>
      <c r="G58" s="225"/>
      <c r="H58" s="225"/>
      <c r="I58" s="225"/>
      <c r="J58" s="225"/>
      <c r="K58" s="225"/>
      <c r="L58" s="227"/>
      <c r="M58" s="225"/>
      <c r="N58" s="225"/>
      <c r="O58" s="225"/>
      <c r="P58" s="225"/>
      <c r="Q58" s="225"/>
      <c r="R58" s="225"/>
    </row>
    <row r="59" spans="1:18" ht="18" customHeight="1">
      <c r="A59" s="225"/>
      <c r="B59" s="225"/>
      <c r="C59" s="225"/>
      <c r="D59" s="225"/>
      <c r="E59" s="225"/>
      <c r="F59" s="225"/>
      <c r="G59" s="225"/>
      <c r="H59" s="225"/>
      <c r="I59" s="225"/>
      <c r="J59" s="225"/>
      <c r="K59" s="225"/>
      <c r="L59" s="226"/>
      <c r="M59" s="225"/>
      <c r="N59" s="225"/>
      <c r="O59" s="225"/>
      <c r="P59" s="225"/>
      <c r="Q59" s="225"/>
      <c r="R59" s="225"/>
    </row>
    <row r="60" spans="1:18" ht="18" customHeight="1">
      <c r="A60" s="225"/>
      <c r="B60" s="225"/>
      <c r="C60" s="225"/>
      <c r="D60" s="225"/>
      <c r="E60" s="225"/>
      <c r="F60" s="225"/>
      <c r="G60" s="225"/>
      <c r="H60" s="225"/>
      <c r="I60" s="225"/>
      <c r="J60" s="225"/>
      <c r="K60" s="225"/>
      <c r="L60" s="227"/>
      <c r="M60" s="225"/>
      <c r="N60" s="225"/>
      <c r="O60" s="225"/>
      <c r="P60" s="225"/>
      <c r="Q60" s="225"/>
      <c r="R60" s="225"/>
    </row>
    <row r="61" spans="1:18" ht="18" customHeight="1">
      <c r="A61" s="225"/>
      <c r="B61" s="225"/>
      <c r="C61" s="225"/>
      <c r="D61" s="225"/>
      <c r="E61" s="225"/>
      <c r="F61" s="225"/>
      <c r="G61" s="225"/>
      <c r="H61" s="225"/>
      <c r="I61" s="225"/>
      <c r="J61" s="225"/>
      <c r="K61" s="225"/>
      <c r="L61" s="227"/>
      <c r="M61" s="225"/>
      <c r="N61" s="225"/>
      <c r="O61" s="225"/>
      <c r="P61" s="225"/>
      <c r="Q61" s="225"/>
      <c r="R61" s="225"/>
    </row>
    <row r="62" spans="1:18" ht="18" customHeight="1">
      <c r="A62" s="225"/>
      <c r="B62" s="225"/>
      <c r="C62" s="225"/>
      <c r="D62" s="225"/>
      <c r="E62" s="225"/>
      <c r="F62" s="225"/>
      <c r="G62" s="225"/>
      <c r="H62" s="225"/>
      <c r="I62" s="225"/>
      <c r="J62" s="225"/>
      <c r="K62" s="225"/>
      <c r="L62" s="227"/>
      <c r="M62" s="225"/>
      <c r="N62" s="225"/>
      <c r="O62" s="225"/>
      <c r="P62" s="225"/>
      <c r="Q62" s="225"/>
      <c r="R62" s="225"/>
    </row>
    <row r="63" spans="1:18" ht="18" customHeight="1">
      <c r="A63" s="225"/>
      <c r="B63" s="225"/>
      <c r="C63" s="225"/>
      <c r="D63" s="225"/>
      <c r="E63" s="225"/>
      <c r="F63" s="225"/>
      <c r="G63" s="225"/>
      <c r="H63" s="225"/>
      <c r="I63" s="225"/>
      <c r="J63" s="225"/>
      <c r="K63" s="225"/>
      <c r="L63" s="227"/>
      <c r="M63" s="225"/>
      <c r="N63" s="225"/>
      <c r="O63" s="225"/>
      <c r="P63" s="225"/>
      <c r="Q63" s="225"/>
      <c r="R63" s="225"/>
    </row>
    <row r="64" spans="1:18" ht="18" customHeight="1">
      <c r="A64" s="225"/>
      <c r="B64" s="225"/>
      <c r="C64" s="225"/>
      <c r="D64" s="225"/>
      <c r="E64" s="225"/>
      <c r="F64" s="225"/>
      <c r="G64" s="225"/>
      <c r="H64" s="225"/>
      <c r="I64" s="225"/>
      <c r="J64" s="225"/>
      <c r="K64" s="225"/>
      <c r="L64" s="227"/>
      <c r="M64" s="225"/>
      <c r="N64" s="225"/>
      <c r="O64" s="225"/>
      <c r="P64" s="225"/>
      <c r="Q64" s="225"/>
      <c r="R64" s="225"/>
    </row>
    <row r="65" spans="1:18" ht="18" customHeight="1">
      <c r="A65" s="225"/>
      <c r="B65" s="225"/>
      <c r="C65" s="225"/>
      <c r="D65" s="225"/>
      <c r="E65" s="225"/>
      <c r="F65" s="225"/>
      <c r="G65" s="225"/>
      <c r="H65" s="225"/>
      <c r="I65" s="225"/>
      <c r="J65" s="225"/>
      <c r="K65" s="225"/>
      <c r="L65" s="227"/>
      <c r="M65" s="225"/>
      <c r="N65" s="225"/>
      <c r="O65" s="225"/>
      <c r="P65" s="225"/>
      <c r="Q65" s="225"/>
      <c r="R65" s="225"/>
    </row>
    <row r="66" spans="1:18" ht="18" customHeight="1">
      <c r="A66" s="224"/>
      <c r="B66" s="225"/>
      <c r="C66" s="225"/>
      <c r="D66" s="225"/>
      <c r="E66" s="225"/>
      <c r="F66" s="225"/>
      <c r="G66" s="225"/>
      <c r="H66" s="225"/>
      <c r="I66" s="225"/>
      <c r="J66" s="225"/>
      <c r="K66" s="225"/>
      <c r="L66" s="227"/>
      <c r="M66" s="225"/>
      <c r="N66" s="225"/>
      <c r="O66" s="225"/>
      <c r="P66" s="225"/>
      <c r="Q66" s="225"/>
      <c r="R66" s="225"/>
    </row>
    <row r="67" spans="1:18" ht="18" customHeight="1">
      <c r="A67" s="224"/>
      <c r="C67" s="225"/>
      <c r="D67" s="225"/>
      <c r="E67" s="225"/>
      <c r="F67" s="225"/>
      <c r="G67" s="225"/>
      <c r="H67" s="225"/>
      <c r="I67" s="225"/>
      <c r="J67" s="225"/>
      <c r="K67" s="225"/>
      <c r="L67" s="227"/>
      <c r="M67" s="225"/>
      <c r="N67" s="225"/>
      <c r="O67" s="225"/>
      <c r="P67" s="225"/>
      <c r="Q67" s="225"/>
      <c r="R67" s="225"/>
    </row>
    <row r="68" spans="1:18" ht="18" customHeight="1">
      <c r="A68" s="225"/>
      <c r="C68" s="225"/>
      <c r="D68" s="225"/>
      <c r="E68" s="225"/>
      <c r="F68" s="225"/>
      <c r="G68" s="225"/>
      <c r="H68" s="225"/>
      <c r="I68" s="225"/>
      <c r="J68" s="225"/>
      <c r="K68" s="225"/>
      <c r="L68" s="227"/>
      <c r="M68" s="225"/>
      <c r="N68" s="225"/>
      <c r="O68" s="225"/>
      <c r="P68" s="225"/>
      <c r="Q68" s="225"/>
      <c r="R68" s="225"/>
    </row>
    <row r="69" spans="1:18" ht="18" customHeight="1">
      <c r="C69" s="225"/>
      <c r="D69" s="225"/>
      <c r="E69" s="225"/>
      <c r="F69" s="225"/>
      <c r="G69" s="225"/>
      <c r="H69" s="225"/>
      <c r="I69" s="225"/>
      <c r="K69" s="225"/>
      <c r="L69" s="227"/>
      <c r="M69" s="225"/>
      <c r="N69" s="225"/>
      <c r="O69" s="225"/>
      <c r="P69" s="225"/>
      <c r="Q69" s="225"/>
      <c r="R69" s="225"/>
    </row>
    <row r="70" spans="1:18" ht="18" customHeight="1">
      <c r="C70" s="225"/>
      <c r="D70" s="225"/>
      <c r="E70" s="225"/>
      <c r="F70" s="225"/>
      <c r="G70" s="225"/>
      <c r="H70" s="225"/>
      <c r="I70" s="225"/>
      <c r="K70" s="225"/>
      <c r="L70" s="227"/>
      <c r="N70" s="225"/>
      <c r="O70" s="225"/>
      <c r="P70" s="225"/>
      <c r="Q70" s="225"/>
      <c r="R70" s="225"/>
    </row>
    <row r="71" spans="1:18" ht="18" customHeight="1">
      <c r="C71" s="225"/>
      <c r="D71" s="225"/>
      <c r="E71" s="225"/>
      <c r="F71" s="225"/>
      <c r="G71" s="225"/>
      <c r="H71" s="225"/>
      <c r="I71" s="225"/>
      <c r="K71" s="225"/>
      <c r="L71" s="227"/>
    </row>
    <row r="72" spans="1:18" ht="18" customHeight="1">
      <c r="B72" s="225"/>
      <c r="C72" s="225"/>
      <c r="D72" s="225"/>
      <c r="E72" s="225"/>
      <c r="F72" s="225"/>
      <c r="G72" s="225"/>
      <c r="H72" s="225"/>
      <c r="I72" s="225"/>
      <c r="K72" s="225"/>
    </row>
    <row r="73" spans="1:18" ht="18" customHeight="1">
      <c r="K73" s="228"/>
    </row>
    <row r="74" spans="1:18" ht="18" customHeight="1">
      <c r="K74" s="228"/>
    </row>
    <row r="75" spans="1:18" ht="18" customHeight="1">
      <c r="K75" s="228"/>
    </row>
    <row r="76" spans="1:18" ht="18" customHeight="1">
      <c r="K76" s="228"/>
    </row>
    <row r="77" spans="1:18" ht="18" customHeight="1">
      <c r="K77" s="228"/>
    </row>
    <row r="78" spans="1:18" ht="18" customHeight="1">
      <c r="K78" s="228"/>
    </row>
    <row r="79" spans="1:18" ht="18" customHeight="1">
      <c r="K79" s="228"/>
    </row>
    <row r="80" spans="1:18" ht="18" customHeight="1">
      <c r="K80" s="228"/>
    </row>
    <row r="81" spans="11:11" ht="18" customHeight="1">
      <c r="K81" s="228"/>
    </row>
    <row r="82" spans="11:11" ht="18" customHeight="1">
      <c r="K82" s="228"/>
    </row>
    <row r="83" spans="11:11" ht="18" customHeight="1">
      <c r="K83" s="228"/>
    </row>
    <row r="84" spans="11:11" ht="18" customHeight="1">
      <c r="K84" s="228"/>
    </row>
    <row r="85" spans="11:11" ht="18" customHeight="1">
      <c r="K85" s="228"/>
    </row>
    <row r="86" spans="11:11" ht="18" customHeight="1">
      <c r="K86" s="228"/>
    </row>
    <row r="87" spans="11:11" ht="18" customHeight="1">
      <c r="K87" s="228"/>
    </row>
    <row r="88" spans="11:11" ht="18" customHeight="1">
      <c r="K88" s="228"/>
    </row>
    <row r="89" spans="11:11" ht="18" customHeight="1">
      <c r="K89" s="228"/>
    </row>
    <row r="90" spans="11:11" ht="18" customHeight="1">
      <c r="K90" s="228"/>
    </row>
    <row r="91" spans="11:11" ht="18" customHeight="1">
      <c r="K91" s="228"/>
    </row>
    <row r="92" spans="11:11" ht="18" customHeight="1">
      <c r="K92" s="228"/>
    </row>
    <row r="93" spans="11:11" ht="18" customHeight="1">
      <c r="K93" s="228"/>
    </row>
    <row r="94" spans="11:11" ht="18" customHeight="1">
      <c r="K94" s="228"/>
    </row>
    <row r="95" spans="11:11" ht="18" customHeight="1">
      <c r="K95" s="228"/>
    </row>
    <row r="96" spans="11:11" ht="18" customHeight="1">
      <c r="K96" s="228"/>
    </row>
    <row r="97" spans="11:11" ht="18" customHeight="1">
      <c r="K97" s="228"/>
    </row>
    <row r="98" spans="11:11" ht="18" customHeight="1">
      <c r="K98" s="228"/>
    </row>
    <row r="99" spans="11:11" ht="18" customHeight="1">
      <c r="K99" s="228"/>
    </row>
    <row r="100" spans="11:11" ht="18" customHeight="1">
      <c r="K100" s="228"/>
    </row>
    <row r="101" spans="11:11" ht="18" customHeight="1">
      <c r="K101" s="228"/>
    </row>
    <row r="102" spans="11:11" ht="18" customHeight="1">
      <c r="K102" s="228"/>
    </row>
    <row r="103" spans="11:11" ht="18" customHeight="1">
      <c r="K103" s="228"/>
    </row>
    <row r="104" spans="11:11" ht="18" customHeight="1">
      <c r="K104" s="228"/>
    </row>
    <row r="105" spans="11:11" ht="18" customHeight="1">
      <c r="K105" s="228"/>
    </row>
    <row r="106" spans="11:11" ht="18" customHeight="1">
      <c r="K106" s="228"/>
    </row>
    <row r="107" spans="11:11" ht="18" customHeight="1">
      <c r="K107" s="228"/>
    </row>
    <row r="108" spans="11:11" ht="18" customHeight="1">
      <c r="K108" s="228"/>
    </row>
    <row r="109" spans="11:11" ht="18" customHeight="1">
      <c r="K109" s="228"/>
    </row>
    <row r="110" spans="11:11" ht="18" customHeight="1">
      <c r="K110" s="228"/>
    </row>
    <row r="111" spans="11:11" ht="18" customHeight="1">
      <c r="K111" s="228"/>
    </row>
    <row r="112" spans="11:11" ht="18" customHeight="1">
      <c r="K112" s="228"/>
    </row>
    <row r="113" spans="11:11" ht="18" customHeight="1">
      <c r="K113" s="228"/>
    </row>
    <row r="114" spans="11:11" ht="18" customHeight="1">
      <c r="K114" s="228"/>
    </row>
    <row r="115" spans="11:11" ht="18" customHeight="1">
      <c r="K115" s="228"/>
    </row>
    <row r="116" spans="11:11" ht="18" customHeight="1">
      <c r="K116" s="228"/>
    </row>
    <row r="117" spans="11:11" ht="18" customHeight="1">
      <c r="K117" s="228"/>
    </row>
    <row r="118" spans="11:11" ht="18" customHeight="1">
      <c r="K118" s="228"/>
    </row>
    <row r="119" spans="11:11" ht="18" customHeight="1">
      <c r="K119" s="228"/>
    </row>
    <row r="120" spans="11:11" ht="18" customHeight="1">
      <c r="K120" s="228"/>
    </row>
    <row r="121" spans="11:11" ht="18" customHeight="1">
      <c r="K121" s="228"/>
    </row>
    <row r="122" spans="11:11" ht="18" customHeight="1">
      <c r="K122" s="228"/>
    </row>
    <row r="123" spans="11:11" ht="18" customHeight="1">
      <c r="K123" s="228"/>
    </row>
    <row r="124" spans="11:11" ht="18" customHeight="1">
      <c r="K124" s="228"/>
    </row>
    <row r="125" spans="11:11" ht="18" customHeight="1">
      <c r="K125" s="228"/>
    </row>
    <row r="126" spans="11:11" ht="18" customHeight="1">
      <c r="K126" s="228"/>
    </row>
    <row r="127" spans="11:11" ht="18" customHeight="1">
      <c r="K127" s="228"/>
    </row>
    <row r="128" spans="11:11" ht="18" customHeight="1">
      <c r="K128" s="228"/>
    </row>
    <row r="129" spans="11:11" ht="18" customHeight="1">
      <c r="K129" s="228"/>
    </row>
    <row r="130" spans="11:11" ht="18" customHeight="1">
      <c r="K130" s="228"/>
    </row>
    <row r="131" spans="11:11" ht="18" customHeight="1">
      <c r="K131" s="228"/>
    </row>
    <row r="132" spans="11:11" ht="18" customHeight="1">
      <c r="K132" s="228"/>
    </row>
    <row r="133" spans="11:11" ht="18" customHeight="1">
      <c r="K133" s="228"/>
    </row>
    <row r="134" spans="11:11" ht="18" customHeight="1">
      <c r="K134" s="228"/>
    </row>
    <row r="135" spans="11:11" ht="18" customHeight="1">
      <c r="K135" s="228"/>
    </row>
    <row r="136" spans="11:11" ht="18" customHeight="1">
      <c r="K136" s="228"/>
    </row>
    <row r="137" spans="11:11" ht="18" customHeight="1">
      <c r="K137" s="228"/>
    </row>
    <row r="138" spans="11:11" ht="18" customHeight="1">
      <c r="K138" s="228"/>
    </row>
    <row r="139" spans="11:11" ht="18" customHeight="1">
      <c r="K139" s="228"/>
    </row>
    <row r="140" spans="11:11" ht="18" customHeight="1">
      <c r="K140" s="228"/>
    </row>
    <row r="141" spans="11:11" ht="18" customHeight="1">
      <c r="K141" s="228"/>
    </row>
    <row r="142" spans="11:11" ht="18" customHeight="1">
      <c r="K142" s="228"/>
    </row>
    <row r="143" spans="11:11" ht="18" customHeight="1">
      <c r="K143" s="228"/>
    </row>
    <row r="144" spans="11:11" ht="18" customHeight="1">
      <c r="K144" s="228"/>
    </row>
    <row r="145" spans="11:11" ht="18" customHeight="1">
      <c r="K145" s="228"/>
    </row>
    <row r="146" spans="11:11" ht="18" customHeight="1">
      <c r="K146" s="228"/>
    </row>
    <row r="147" spans="11:11" ht="18" customHeight="1">
      <c r="K147" s="228"/>
    </row>
    <row r="148" spans="11:11" ht="18" customHeight="1">
      <c r="K148" s="228"/>
    </row>
    <row r="149" spans="11:11" ht="18" customHeight="1">
      <c r="K149" s="228"/>
    </row>
    <row r="150" spans="11:11" ht="18" customHeight="1">
      <c r="K150" s="228"/>
    </row>
    <row r="151" spans="11:11" ht="18" customHeight="1">
      <c r="K151" s="228"/>
    </row>
    <row r="152" spans="11:11" ht="18" customHeight="1">
      <c r="K152" s="228"/>
    </row>
    <row r="153" spans="11:11" ht="18" customHeight="1">
      <c r="K153" s="228"/>
    </row>
    <row r="154" spans="11:11" ht="18" customHeight="1">
      <c r="K154" s="228"/>
    </row>
    <row r="155" spans="11:11" ht="18" customHeight="1">
      <c r="K155" s="228"/>
    </row>
    <row r="156" spans="11:11" ht="18" customHeight="1">
      <c r="K156" s="228"/>
    </row>
    <row r="157" spans="11:11" ht="18" customHeight="1">
      <c r="K157" s="228"/>
    </row>
    <row r="158" spans="11:11" ht="18" customHeight="1">
      <c r="K158" s="228"/>
    </row>
    <row r="159" spans="11:11" ht="18" customHeight="1">
      <c r="K159" s="228"/>
    </row>
    <row r="160" spans="11:11" ht="18" customHeight="1">
      <c r="K160" s="228"/>
    </row>
    <row r="161" spans="11:11" ht="18" customHeight="1">
      <c r="K161" s="228"/>
    </row>
    <row r="162" spans="11:11" ht="18" customHeight="1">
      <c r="K162" s="228"/>
    </row>
    <row r="163" spans="11:11" ht="18" customHeight="1">
      <c r="K163" s="228"/>
    </row>
    <row r="164" spans="11:11" ht="18" customHeight="1">
      <c r="K164" s="228"/>
    </row>
    <row r="165" spans="11:11" ht="18" customHeight="1">
      <c r="K165" s="228"/>
    </row>
    <row r="166" spans="11:11" ht="18" customHeight="1">
      <c r="K166" s="228"/>
    </row>
    <row r="167" spans="11:11" ht="18" customHeight="1">
      <c r="K167" s="228"/>
    </row>
    <row r="168" spans="11:11" ht="18" customHeight="1">
      <c r="K168" s="228"/>
    </row>
    <row r="169" spans="11:11" ht="18" customHeight="1">
      <c r="K169" s="228"/>
    </row>
    <row r="170" spans="11:11" ht="18" customHeight="1">
      <c r="K170" s="228"/>
    </row>
    <row r="171" spans="11:11" ht="18" customHeight="1">
      <c r="K171" s="228"/>
    </row>
    <row r="172" spans="11:11" ht="18" customHeight="1">
      <c r="K172" s="228"/>
    </row>
    <row r="173" spans="11:11" ht="18" customHeight="1">
      <c r="K173" s="228"/>
    </row>
    <row r="174" spans="11:11" ht="18" customHeight="1">
      <c r="K174" s="228"/>
    </row>
    <row r="175" spans="11:11" ht="18" customHeight="1">
      <c r="K175" s="228"/>
    </row>
    <row r="176" spans="11:11" ht="18" customHeight="1">
      <c r="K176" s="228"/>
    </row>
    <row r="177" spans="11:11" ht="18" customHeight="1">
      <c r="K177" s="228"/>
    </row>
    <row r="178" spans="11:11" ht="18" customHeight="1">
      <c r="K178" s="228"/>
    </row>
    <row r="179" spans="11:11" ht="18" customHeight="1">
      <c r="K179" s="228"/>
    </row>
    <row r="180" spans="11:11" ht="18" customHeight="1">
      <c r="K180" s="228"/>
    </row>
    <row r="181" spans="11:11" ht="18" customHeight="1">
      <c r="K181" s="228"/>
    </row>
    <row r="182" spans="11:11" ht="18" customHeight="1">
      <c r="K182" s="228"/>
    </row>
    <row r="183" spans="11:11" ht="18" customHeight="1">
      <c r="K183" s="228"/>
    </row>
    <row r="184" spans="11:11" ht="18" customHeight="1">
      <c r="K184" s="228"/>
    </row>
    <row r="185" spans="11:11" ht="18" customHeight="1">
      <c r="K185" s="228"/>
    </row>
    <row r="186" spans="11:11" ht="18" customHeight="1">
      <c r="K186" s="228"/>
    </row>
    <row r="187" spans="11:11" ht="18" customHeight="1">
      <c r="K187" s="228"/>
    </row>
    <row r="188" spans="11:11" ht="18" customHeight="1">
      <c r="K188" s="228"/>
    </row>
    <row r="189" spans="11:11" ht="18" customHeight="1">
      <c r="K189" s="228"/>
    </row>
    <row r="190" spans="11:11" ht="18" customHeight="1">
      <c r="K190" s="228"/>
    </row>
    <row r="191" spans="11:11" ht="18" customHeight="1">
      <c r="K191" s="228"/>
    </row>
    <row r="192" spans="11:11" ht="18" customHeight="1">
      <c r="K192" s="228"/>
    </row>
    <row r="193" spans="11:11" ht="18" customHeight="1">
      <c r="K193" s="228"/>
    </row>
    <row r="194" spans="11:11" ht="18" customHeight="1">
      <c r="K194" s="228"/>
    </row>
    <row r="195" spans="11:11" ht="18" customHeight="1">
      <c r="K195" s="228"/>
    </row>
    <row r="196" spans="11:11" ht="18" customHeight="1">
      <c r="K196" s="228"/>
    </row>
    <row r="197" spans="11:11" ht="18" customHeight="1">
      <c r="K197" s="228"/>
    </row>
    <row r="198" spans="11:11" ht="18" customHeight="1">
      <c r="K198" s="228"/>
    </row>
    <row r="199" spans="11:11" ht="18" customHeight="1">
      <c r="K199" s="228"/>
    </row>
    <row r="200" spans="11:11" ht="18" customHeight="1">
      <c r="K200" s="228"/>
    </row>
    <row r="201" spans="11:11" ht="18" customHeight="1">
      <c r="K201" s="228"/>
    </row>
    <row r="202" spans="11:11" ht="18" customHeight="1">
      <c r="K202" s="228"/>
    </row>
    <row r="203" spans="11:11" ht="18" customHeight="1">
      <c r="K203" s="228"/>
    </row>
    <row r="204" spans="11:11" ht="18" customHeight="1">
      <c r="K204" s="228"/>
    </row>
    <row r="205" spans="11:11" ht="18" customHeight="1">
      <c r="K205" s="228"/>
    </row>
    <row r="206" spans="11:11" ht="18" customHeight="1">
      <c r="K206" s="228"/>
    </row>
    <row r="207" spans="11:11" ht="18" customHeight="1">
      <c r="K207" s="228"/>
    </row>
    <row r="208" spans="11:11" ht="18" customHeight="1">
      <c r="K208" s="228"/>
    </row>
    <row r="209" spans="11:11" ht="18" customHeight="1">
      <c r="K209" s="228"/>
    </row>
    <row r="210" spans="11:11" ht="18" customHeight="1">
      <c r="K210" s="228"/>
    </row>
    <row r="211" spans="11:11" ht="18" customHeight="1">
      <c r="K211" s="228"/>
    </row>
    <row r="212" spans="11:11" ht="18" customHeight="1">
      <c r="K212" s="228"/>
    </row>
    <row r="213" spans="11:11" ht="18" customHeight="1">
      <c r="K213" s="228"/>
    </row>
    <row r="214" spans="11:11" ht="18" customHeight="1">
      <c r="K214" s="228"/>
    </row>
    <row r="215" spans="11:11" ht="18" customHeight="1">
      <c r="K215" s="228"/>
    </row>
    <row r="216" spans="11:11" ht="18" customHeight="1">
      <c r="K216" s="228"/>
    </row>
    <row r="217" spans="11:11" ht="18" customHeight="1">
      <c r="K217" s="228"/>
    </row>
    <row r="218" spans="11:11" ht="18" customHeight="1">
      <c r="K218" s="228"/>
    </row>
    <row r="219" spans="11:11" ht="18" customHeight="1">
      <c r="K219" s="228"/>
    </row>
    <row r="220" spans="11:11" ht="18" customHeight="1">
      <c r="K220" s="228"/>
    </row>
    <row r="221" spans="11:11" ht="18" customHeight="1">
      <c r="K221" s="228"/>
    </row>
    <row r="222" spans="11:11" ht="18" customHeight="1">
      <c r="K222" s="228"/>
    </row>
    <row r="223" spans="11:11" ht="18" customHeight="1">
      <c r="K223" s="228"/>
    </row>
    <row r="224" spans="11:11" ht="18" customHeight="1">
      <c r="K224" s="228"/>
    </row>
    <row r="225" spans="11:11" ht="18" customHeight="1">
      <c r="K225" s="228"/>
    </row>
    <row r="226" spans="11:11" ht="18" customHeight="1">
      <c r="K226" s="228"/>
    </row>
    <row r="227" spans="11:11" ht="18" customHeight="1">
      <c r="K227" s="228"/>
    </row>
    <row r="228" spans="11:11" ht="18" customHeight="1">
      <c r="K228" s="228"/>
    </row>
    <row r="229" spans="11:11" ht="18" customHeight="1">
      <c r="K229" s="228"/>
    </row>
    <row r="230" spans="11:11" ht="18" customHeight="1">
      <c r="K230" s="228"/>
    </row>
    <row r="231" spans="11:11" ht="18" customHeight="1">
      <c r="K231" s="228"/>
    </row>
    <row r="232" spans="11:11" ht="18" customHeight="1">
      <c r="K232" s="228"/>
    </row>
    <row r="233" spans="11:11" ht="18" customHeight="1">
      <c r="K233" s="228"/>
    </row>
    <row r="234" spans="11:11" ht="18" customHeight="1">
      <c r="K234" s="228"/>
    </row>
    <row r="235" spans="11:11" ht="18" customHeight="1">
      <c r="K235" s="228"/>
    </row>
    <row r="236" spans="11:11" ht="18" customHeight="1">
      <c r="K236" s="228"/>
    </row>
    <row r="237" spans="11:11" ht="18" customHeight="1">
      <c r="K237" s="228"/>
    </row>
    <row r="238" spans="11:11" ht="18" customHeight="1">
      <c r="K238" s="228"/>
    </row>
    <row r="239" spans="11:11" ht="18" customHeight="1">
      <c r="K239" s="228"/>
    </row>
    <row r="240" spans="11:11" ht="18" customHeight="1">
      <c r="K240" s="228"/>
    </row>
    <row r="241" spans="11:11" ht="18" customHeight="1">
      <c r="K241" s="228"/>
    </row>
    <row r="242" spans="11:11" ht="18" customHeight="1">
      <c r="K242" s="228"/>
    </row>
    <row r="243" spans="11:11" ht="18" customHeight="1">
      <c r="K243" s="228"/>
    </row>
    <row r="244" spans="11:11" ht="18" customHeight="1">
      <c r="K244" s="228"/>
    </row>
    <row r="245" spans="11:11" ht="18" customHeight="1">
      <c r="K245" s="228"/>
    </row>
    <row r="246" spans="11:11" ht="18" customHeight="1">
      <c r="K246" s="228"/>
    </row>
    <row r="247" spans="11:11" ht="18" customHeight="1">
      <c r="K247" s="228"/>
    </row>
    <row r="248" spans="11:11" ht="18" customHeight="1">
      <c r="K248" s="228"/>
    </row>
    <row r="249" spans="11:11" ht="18" customHeight="1">
      <c r="K249" s="228"/>
    </row>
    <row r="250" spans="11:11" ht="18" customHeight="1">
      <c r="K250" s="228"/>
    </row>
    <row r="251" spans="11:11" ht="18" customHeight="1">
      <c r="K251" s="228"/>
    </row>
    <row r="252" spans="11:11" ht="18" customHeight="1">
      <c r="K252" s="228"/>
    </row>
    <row r="253" spans="11:11" ht="18" customHeight="1">
      <c r="K253" s="228"/>
    </row>
    <row r="254" spans="11:11" ht="18" customHeight="1">
      <c r="K254" s="228"/>
    </row>
    <row r="255" spans="11:11" ht="18" customHeight="1">
      <c r="K255" s="228"/>
    </row>
    <row r="256" spans="11:11" ht="18" customHeight="1">
      <c r="K256" s="228"/>
    </row>
    <row r="257" spans="11:11" ht="18" customHeight="1">
      <c r="K257" s="228"/>
    </row>
    <row r="258" spans="11:11" ht="18" customHeight="1">
      <c r="K258" s="228"/>
    </row>
    <row r="259" spans="11:11" ht="18" customHeight="1">
      <c r="K259" s="228"/>
    </row>
    <row r="260" spans="11:11" ht="18" customHeight="1">
      <c r="K260" s="228"/>
    </row>
    <row r="261" spans="11:11" ht="18" customHeight="1">
      <c r="K261" s="228"/>
    </row>
    <row r="262" spans="11:11" ht="18" customHeight="1">
      <c r="K262" s="228"/>
    </row>
    <row r="263" spans="11:11" ht="18" customHeight="1">
      <c r="K263" s="228"/>
    </row>
    <row r="264" spans="11:11" ht="18" customHeight="1">
      <c r="K264" s="228"/>
    </row>
    <row r="265" spans="11:11" ht="18" customHeight="1">
      <c r="K265" s="228"/>
    </row>
    <row r="266" spans="11:11" ht="18" customHeight="1">
      <c r="K266" s="228"/>
    </row>
    <row r="267" spans="11:11" ht="18" customHeight="1">
      <c r="K267" s="228"/>
    </row>
    <row r="268" spans="11:11" ht="18" customHeight="1">
      <c r="K268" s="228"/>
    </row>
    <row r="269" spans="11:11" ht="18" customHeight="1">
      <c r="K269" s="228"/>
    </row>
    <row r="270" spans="11:11" ht="18" customHeight="1">
      <c r="K270" s="228"/>
    </row>
    <row r="271" spans="11:11" ht="18" customHeight="1">
      <c r="K271" s="228"/>
    </row>
    <row r="272" spans="11:11" ht="18" customHeight="1">
      <c r="K272" s="228"/>
    </row>
    <row r="273" spans="11:11" ht="18" customHeight="1">
      <c r="K273" s="228"/>
    </row>
    <row r="274" spans="11:11" ht="18" customHeight="1">
      <c r="K274" s="228"/>
    </row>
    <row r="275" spans="11:11" ht="18" customHeight="1">
      <c r="K275" s="228"/>
    </row>
    <row r="276" spans="11:11" ht="18" customHeight="1">
      <c r="K276" s="228"/>
    </row>
    <row r="277" spans="11:11" ht="18" customHeight="1">
      <c r="K277" s="228"/>
    </row>
    <row r="278" spans="11:11" ht="18" customHeight="1">
      <c r="K278" s="228"/>
    </row>
    <row r="279" spans="11:11" ht="18" customHeight="1">
      <c r="K279" s="228"/>
    </row>
    <row r="280" spans="11:11" ht="18" customHeight="1">
      <c r="K280" s="228"/>
    </row>
    <row r="281" spans="11:11" ht="18" customHeight="1">
      <c r="K281" s="228"/>
    </row>
    <row r="282" spans="11:11" ht="18" customHeight="1">
      <c r="K282" s="228"/>
    </row>
    <row r="283" spans="11:11" ht="18" customHeight="1">
      <c r="K283" s="228"/>
    </row>
    <row r="284" spans="11:11" ht="18" customHeight="1">
      <c r="K284" s="228"/>
    </row>
    <row r="285" spans="11:11" ht="18" customHeight="1">
      <c r="K285" s="228"/>
    </row>
    <row r="286" spans="11:11" ht="18" customHeight="1">
      <c r="K286" s="228"/>
    </row>
    <row r="287" spans="11:11" ht="18" customHeight="1">
      <c r="K287" s="228"/>
    </row>
    <row r="288" spans="11:11" ht="18" customHeight="1">
      <c r="K288" s="228"/>
    </row>
    <row r="289" spans="11:11" ht="18" customHeight="1">
      <c r="K289" s="228"/>
    </row>
    <row r="290" spans="11:11" ht="18" customHeight="1">
      <c r="K290" s="228"/>
    </row>
    <row r="291" spans="11:11" ht="18" customHeight="1">
      <c r="K291" s="228"/>
    </row>
    <row r="292" spans="11:11" ht="18" customHeight="1">
      <c r="K292" s="228"/>
    </row>
    <row r="293" spans="11:11" ht="18" customHeight="1">
      <c r="K293" s="228"/>
    </row>
    <row r="294" spans="11:11" ht="18" customHeight="1">
      <c r="K294" s="228"/>
    </row>
    <row r="295" spans="11:11" ht="18" customHeight="1">
      <c r="K295" s="228"/>
    </row>
    <row r="296" spans="11:11" ht="18" customHeight="1">
      <c r="K296" s="228"/>
    </row>
    <row r="297" spans="11:11" ht="18" customHeight="1">
      <c r="K297" s="228"/>
    </row>
    <row r="298" spans="11:11" ht="18" customHeight="1">
      <c r="K298" s="228"/>
    </row>
    <row r="299" spans="11:11" ht="18" customHeight="1">
      <c r="K299" s="228"/>
    </row>
    <row r="300" spans="11:11" ht="18" customHeight="1">
      <c r="K300" s="228"/>
    </row>
    <row r="301" spans="11:11" ht="18" customHeight="1">
      <c r="K301" s="228"/>
    </row>
    <row r="302" spans="11:11" ht="18" customHeight="1">
      <c r="K302" s="228"/>
    </row>
    <row r="303" spans="11:11" ht="18" customHeight="1">
      <c r="K303" s="228"/>
    </row>
    <row r="304" spans="11:11" ht="18" customHeight="1">
      <c r="K304" s="228"/>
    </row>
    <row r="305" spans="11:11" ht="18" customHeight="1">
      <c r="K305" s="228"/>
    </row>
    <row r="306" spans="11:11" ht="18" customHeight="1">
      <c r="K306" s="228"/>
    </row>
    <row r="307" spans="11:11" ht="18" customHeight="1">
      <c r="K307" s="228"/>
    </row>
    <row r="308" spans="11:11" ht="18" customHeight="1">
      <c r="K308" s="228"/>
    </row>
    <row r="309" spans="11:11" ht="18" customHeight="1">
      <c r="K309" s="228"/>
    </row>
    <row r="310" spans="11:11" ht="18" customHeight="1">
      <c r="K310" s="228"/>
    </row>
    <row r="311" spans="11:11" ht="18" customHeight="1">
      <c r="K311" s="228"/>
    </row>
    <row r="312" spans="11:11" ht="18" customHeight="1">
      <c r="K312" s="228"/>
    </row>
    <row r="313" spans="11:11" ht="18" customHeight="1">
      <c r="K313" s="228"/>
    </row>
    <row r="314" spans="11:11" ht="18" customHeight="1">
      <c r="K314" s="228"/>
    </row>
    <row r="315" spans="11:11" ht="18" customHeight="1">
      <c r="K315" s="228"/>
    </row>
    <row r="316" spans="11:11" ht="18" customHeight="1">
      <c r="K316" s="228"/>
    </row>
    <row r="317" spans="11:11" ht="18" customHeight="1">
      <c r="K317" s="228"/>
    </row>
    <row r="318" spans="11:11" ht="18" customHeight="1">
      <c r="K318" s="228"/>
    </row>
    <row r="319" spans="11:11" ht="18" customHeight="1">
      <c r="K319" s="228"/>
    </row>
    <row r="320" spans="11:11" ht="18" customHeight="1">
      <c r="K320" s="228"/>
    </row>
    <row r="321" spans="11:11" ht="18" customHeight="1">
      <c r="K321" s="228"/>
    </row>
    <row r="322" spans="11:11" ht="18" customHeight="1">
      <c r="K322" s="228"/>
    </row>
    <row r="323" spans="11:11" ht="18" customHeight="1">
      <c r="K323" s="228"/>
    </row>
    <row r="324" spans="11:11" ht="18" customHeight="1">
      <c r="K324" s="228"/>
    </row>
    <row r="325" spans="11:11" ht="18" customHeight="1">
      <c r="K325" s="228"/>
    </row>
    <row r="326" spans="11:11" ht="18" customHeight="1">
      <c r="K326" s="228"/>
    </row>
    <row r="327" spans="11:11" ht="18" customHeight="1">
      <c r="K327" s="228"/>
    </row>
    <row r="328" spans="11:11" ht="18" customHeight="1">
      <c r="K328" s="228"/>
    </row>
    <row r="329" spans="11:11" ht="18" customHeight="1">
      <c r="K329" s="228"/>
    </row>
    <row r="330" spans="11:11" ht="18" customHeight="1">
      <c r="K330" s="228"/>
    </row>
    <row r="331" spans="11:11" ht="18" customHeight="1">
      <c r="K331" s="228"/>
    </row>
    <row r="332" spans="11:11" ht="18" customHeight="1">
      <c r="K332" s="228"/>
    </row>
    <row r="333" spans="11:11" ht="18" customHeight="1">
      <c r="K333" s="228"/>
    </row>
    <row r="334" spans="11:11" ht="18" customHeight="1">
      <c r="K334" s="228"/>
    </row>
    <row r="335" spans="11:11" ht="18" customHeight="1">
      <c r="K335" s="228"/>
    </row>
    <row r="336" spans="11:11" ht="18" customHeight="1">
      <c r="K336" s="228"/>
    </row>
    <row r="337" spans="11:11" ht="18" customHeight="1">
      <c r="K337" s="228"/>
    </row>
    <row r="338" spans="11:11" ht="18" customHeight="1">
      <c r="K338" s="228"/>
    </row>
    <row r="339" spans="11:11" ht="18" customHeight="1">
      <c r="K339" s="228"/>
    </row>
    <row r="340" spans="11:11" ht="18" customHeight="1">
      <c r="K340" s="228"/>
    </row>
    <row r="341" spans="11:11" ht="18" customHeight="1">
      <c r="K341" s="228"/>
    </row>
    <row r="342" spans="11:11" ht="18" customHeight="1">
      <c r="K342" s="228"/>
    </row>
    <row r="343" spans="11:11" ht="18" customHeight="1">
      <c r="K343" s="228"/>
    </row>
    <row r="344" spans="11:11" ht="18" customHeight="1">
      <c r="K344" s="228"/>
    </row>
    <row r="345" spans="11:11" ht="18" customHeight="1">
      <c r="K345" s="228"/>
    </row>
    <row r="346" spans="11:11" ht="18" customHeight="1">
      <c r="K346" s="228"/>
    </row>
    <row r="347" spans="11:11" ht="18" customHeight="1">
      <c r="K347" s="228"/>
    </row>
    <row r="348" spans="11:11" ht="18" customHeight="1">
      <c r="K348" s="228"/>
    </row>
    <row r="349" spans="11:11" ht="18" customHeight="1">
      <c r="K349" s="228"/>
    </row>
    <row r="350" spans="11:11" ht="18" customHeight="1">
      <c r="K350" s="228"/>
    </row>
    <row r="351" spans="11:11" ht="18" customHeight="1">
      <c r="K351" s="228"/>
    </row>
    <row r="352" spans="11:11" ht="18" customHeight="1">
      <c r="K352" s="228"/>
    </row>
    <row r="353" spans="11:11" ht="18" customHeight="1">
      <c r="K353" s="228"/>
    </row>
    <row r="354" spans="11:11" ht="18" customHeight="1">
      <c r="K354" s="228"/>
    </row>
    <row r="355" spans="11:11" ht="18" customHeight="1">
      <c r="K355" s="228"/>
    </row>
    <row r="356" spans="11:11" ht="18" customHeight="1">
      <c r="K356" s="228"/>
    </row>
    <row r="357" spans="11:11" ht="18" customHeight="1">
      <c r="K357" s="228"/>
    </row>
    <row r="358" spans="11:11" ht="18" customHeight="1">
      <c r="K358" s="228"/>
    </row>
    <row r="359" spans="11:11" ht="18" customHeight="1">
      <c r="K359" s="228"/>
    </row>
    <row r="360" spans="11:11" ht="18" customHeight="1">
      <c r="K360" s="228"/>
    </row>
    <row r="361" spans="11:11" ht="18" customHeight="1">
      <c r="K361" s="228"/>
    </row>
    <row r="362" spans="11:11" ht="18" customHeight="1">
      <c r="K362" s="228"/>
    </row>
    <row r="363" spans="11:11" ht="18" customHeight="1">
      <c r="K363" s="228"/>
    </row>
    <row r="364" spans="11:11" ht="18" customHeight="1">
      <c r="K364" s="228"/>
    </row>
    <row r="365" spans="11:11" ht="18" customHeight="1">
      <c r="K365" s="228"/>
    </row>
    <row r="366" spans="11:11" ht="18" customHeight="1">
      <c r="K366" s="228"/>
    </row>
    <row r="367" spans="11:11" ht="18" customHeight="1">
      <c r="K367" s="228"/>
    </row>
    <row r="368" spans="11:11" ht="18" customHeight="1">
      <c r="K368" s="228"/>
    </row>
    <row r="369" spans="11:11" ht="18" customHeight="1">
      <c r="K369" s="228"/>
    </row>
    <row r="370" spans="11:11" ht="18" customHeight="1">
      <c r="K370" s="228"/>
    </row>
    <row r="371" spans="11:11" ht="18" customHeight="1">
      <c r="K371" s="228"/>
    </row>
    <row r="372" spans="11:11" ht="18" customHeight="1">
      <c r="K372" s="228"/>
    </row>
    <row r="373" spans="11:11" ht="18" customHeight="1">
      <c r="K373" s="228"/>
    </row>
    <row r="374" spans="11:11" ht="18" customHeight="1">
      <c r="K374" s="228"/>
    </row>
    <row r="375" spans="11:11" ht="18" customHeight="1">
      <c r="K375" s="228"/>
    </row>
    <row r="376" spans="11:11" ht="18" customHeight="1">
      <c r="K376" s="228"/>
    </row>
    <row r="377" spans="11:11" ht="18" customHeight="1">
      <c r="K377" s="228"/>
    </row>
    <row r="378" spans="11:11" ht="18" customHeight="1">
      <c r="K378" s="228"/>
    </row>
    <row r="379" spans="11:11" ht="18" customHeight="1">
      <c r="K379" s="228"/>
    </row>
    <row r="380" spans="11:11" ht="18" customHeight="1">
      <c r="K380" s="228"/>
    </row>
    <row r="381" spans="11:11" ht="18" customHeight="1">
      <c r="K381" s="228"/>
    </row>
    <row r="382" spans="11:11" ht="18" customHeight="1">
      <c r="K382" s="228"/>
    </row>
    <row r="383" spans="11:11" ht="18" customHeight="1">
      <c r="K383" s="228"/>
    </row>
    <row r="384" spans="11:11" ht="18" customHeight="1">
      <c r="K384" s="228"/>
    </row>
    <row r="385" spans="11:11" ht="18" customHeight="1">
      <c r="K385" s="228"/>
    </row>
    <row r="386" spans="11:11" ht="18" customHeight="1">
      <c r="K386" s="228"/>
    </row>
    <row r="387" spans="11:11" ht="18" customHeight="1">
      <c r="K387" s="228"/>
    </row>
    <row r="388" spans="11:11" ht="18" customHeight="1">
      <c r="K388" s="228"/>
    </row>
    <row r="389" spans="11:11" ht="18" customHeight="1">
      <c r="K389" s="228"/>
    </row>
    <row r="390" spans="11:11" ht="18" customHeight="1">
      <c r="K390" s="228"/>
    </row>
    <row r="391" spans="11:11" ht="18" customHeight="1">
      <c r="K391" s="228"/>
    </row>
    <row r="392" spans="11:11" ht="18" customHeight="1">
      <c r="K392" s="228"/>
    </row>
    <row r="393" spans="11:11" ht="18" customHeight="1">
      <c r="K393" s="228"/>
    </row>
    <row r="394" spans="11:11" ht="18" customHeight="1">
      <c r="K394" s="228"/>
    </row>
    <row r="395" spans="11:11" ht="18" customHeight="1">
      <c r="K395" s="228"/>
    </row>
    <row r="396" spans="11:11" ht="18" customHeight="1">
      <c r="K396" s="228"/>
    </row>
    <row r="397" spans="11:11" ht="18" customHeight="1">
      <c r="K397" s="228"/>
    </row>
    <row r="398" spans="11:11" ht="18" customHeight="1">
      <c r="K398" s="228"/>
    </row>
    <row r="399" spans="11:11" ht="18" customHeight="1">
      <c r="K399" s="228"/>
    </row>
    <row r="400" spans="11:11" ht="18" customHeight="1">
      <c r="K400" s="228"/>
    </row>
    <row r="401" spans="11:11" ht="18" customHeight="1">
      <c r="K401" s="228"/>
    </row>
    <row r="402" spans="11:11" ht="18" customHeight="1">
      <c r="K402" s="228"/>
    </row>
    <row r="403" spans="11:11" ht="18" customHeight="1">
      <c r="K403" s="228"/>
    </row>
    <row r="404" spans="11:11" ht="18" customHeight="1">
      <c r="K404" s="228"/>
    </row>
    <row r="405" spans="11:11" ht="18" customHeight="1">
      <c r="K405" s="228"/>
    </row>
    <row r="406" spans="11:11" ht="18" customHeight="1">
      <c r="K406" s="228"/>
    </row>
    <row r="407" spans="11:11" ht="18" customHeight="1">
      <c r="K407" s="228"/>
    </row>
    <row r="408" spans="11:11" ht="18" customHeight="1">
      <c r="K408" s="228"/>
    </row>
    <row r="409" spans="11:11" ht="18" customHeight="1">
      <c r="K409" s="228"/>
    </row>
    <row r="410" spans="11:11" ht="18" customHeight="1">
      <c r="K410" s="228"/>
    </row>
    <row r="411" spans="11:11" ht="18" customHeight="1">
      <c r="K411" s="228"/>
    </row>
    <row r="412" spans="11:11" ht="18" customHeight="1">
      <c r="K412" s="228"/>
    </row>
    <row r="413" spans="11:11" ht="18" customHeight="1">
      <c r="K413" s="228"/>
    </row>
    <row r="414" spans="11:11" ht="18" customHeight="1">
      <c r="K414" s="228"/>
    </row>
    <row r="415" spans="11:11" ht="18" customHeight="1">
      <c r="K415" s="228"/>
    </row>
    <row r="416" spans="11:11" ht="18" customHeight="1">
      <c r="K416" s="228"/>
    </row>
    <row r="417" spans="11:11" ht="18" customHeight="1">
      <c r="K417" s="228"/>
    </row>
    <row r="418" spans="11:11" ht="18" customHeight="1">
      <c r="K418" s="228"/>
    </row>
    <row r="419" spans="11:11" ht="18" customHeight="1">
      <c r="K419" s="228"/>
    </row>
    <row r="420" spans="11:11" ht="18" customHeight="1">
      <c r="K420" s="228"/>
    </row>
    <row r="421" spans="11:11" ht="18" customHeight="1">
      <c r="K421" s="228"/>
    </row>
    <row r="422" spans="11:11" ht="18" customHeight="1">
      <c r="K422" s="228"/>
    </row>
    <row r="423" spans="11:11" ht="18" customHeight="1">
      <c r="K423" s="228"/>
    </row>
    <row r="424" spans="11:11" ht="18" customHeight="1">
      <c r="K424" s="228"/>
    </row>
    <row r="425" spans="11:11" ht="18" customHeight="1">
      <c r="K425" s="228"/>
    </row>
    <row r="426" spans="11:11" ht="18" customHeight="1">
      <c r="K426" s="228"/>
    </row>
    <row r="427" spans="11:11" ht="18" customHeight="1">
      <c r="K427" s="228"/>
    </row>
    <row r="428" spans="11:11" ht="18" customHeight="1">
      <c r="K428" s="228"/>
    </row>
    <row r="429" spans="11:11" ht="18" customHeight="1">
      <c r="K429" s="228"/>
    </row>
    <row r="430" spans="11:11" ht="18" customHeight="1">
      <c r="K430" s="228"/>
    </row>
    <row r="431" spans="11:11" ht="18" customHeight="1">
      <c r="K431" s="228"/>
    </row>
    <row r="432" spans="11:11" ht="18" customHeight="1">
      <c r="K432" s="228"/>
    </row>
    <row r="433" spans="11:11" ht="18" customHeight="1">
      <c r="K433" s="228"/>
    </row>
    <row r="434" spans="11:11" ht="18" customHeight="1">
      <c r="K434" s="228"/>
    </row>
    <row r="435" spans="11:11" ht="18" customHeight="1">
      <c r="K435" s="228"/>
    </row>
    <row r="436" spans="11:11" ht="18" customHeight="1">
      <c r="K436" s="228"/>
    </row>
    <row r="437" spans="11:11" ht="18" customHeight="1">
      <c r="K437" s="228"/>
    </row>
    <row r="438" spans="11:11" ht="18" customHeight="1">
      <c r="K438" s="228"/>
    </row>
    <row r="439" spans="11:11" ht="18" customHeight="1">
      <c r="K439" s="228"/>
    </row>
    <row r="440" spans="11:11" ht="18" customHeight="1">
      <c r="K440" s="228"/>
    </row>
    <row r="441" spans="11:11" ht="18" customHeight="1">
      <c r="K441" s="228"/>
    </row>
    <row r="442" spans="11:11" ht="18" customHeight="1">
      <c r="K442" s="228"/>
    </row>
    <row r="443" spans="11:11" ht="18" customHeight="1">
      <c r="K443" s="228"/>
    </row>
    <row r="444" spans="11:11" ht="18" customHeight="1">
      <c r="K444" s="228"/>
    </row>
    <row r="445" spans="11:11" ht="18" customHeight="1">
      <c r="K445" s="228"/>
    </row>
    <row r="446" spans="11:11" ht="18" customHeight="1">
      <c r="K446" s="228"/>
    </row>
    <row r="447" spans="11:11" ht="18" customHeight="1">
      <c r="K447" s="228"/>
    </row>
    <row r="448" spans="11:11" ht="18" customHeight="1">
      <c r="K448" s="228"/>
    </row>
    <row r="449" spans="11:11" ht="18" customHeight="1">
      <c r="K449" s="228"/>
    </row>
    <row r="450" spans="11:11" ht="18" customHeight="1">
      <c r="K450" s="228"/>
    </row>
    <row r="451" spans="11:11" ht="18" customHeight="1">
      <c r="K451" s="228"/>
    </row>
    <row r="452" spans="11:11" ht="18" customHeight="1">
      <c r="K452" s="228"/>
    </row>
    <row r="453" spans="11:11" ht="18" customHeight="1">
      <c r="K453" s="228"/>
    </row>
    <row r="454" spans="11:11" ht="18" customHeight="1">
      <c r="K454" s="228"/>
    </row>
    <row r="455" spans="11:11" ht="18" customHeight="1">
      <c r="K455" s="228"/>
    </row>
    <row r="456" spans="11:11" ht="18" customHeight="1">
      <c r="K456" s="228"/>
    </row>
    <row r="457" spans="11:11" ht="18" customHeight="1">
      <c r="K457" s="228"/>
    </row>
    <row r="458" spans="11:11" ht="18" customHeight="1">
      <c r="K458" s="228"/>
    </row>
    <row r="459" spans="11:11" ht="18" customHeight="1">
      <c r="K459" s="228"/>
    </row>
    <row r="460" spans="11:11" ht="18" customHeight="1">
      <c r="K460" s="228"/>
    </row>
    <row r="461" spans="11:11" ht="18" customHeight="1">
      <c r="K461" s="228"/>
    </row>
    <row r="462" spans="11:11" ht="18" customHeight="1">
      <c r="K462" s="228"/>
    </row>
    <row r="463" spans="11:11" ht="18" customHeight="1">
      <c r="K463" s="228"/>
    </row>
    <row r="464" spans="11:11" ht="18" customHeight="1">
      <c r="K464" s="228"/>
    </row>
    <row r="465" spans="11:11" ht="18" customHeight="1">
      <c r="K465" s="228"/>
    </row>
    <row r="466" spans="11:11" ht="18" customHeight="1">
      <c r="K466" s="228"/>
    </row>
    <row r="467" spans="11:11" ht="18" customHeight="1">
      <c r="K467" s="228"/>
    </row>
    <row r="468" spans="11:11" ht="18" customHeight="1">
      <c r="K468" s="228"/>
    </row>
    <row r="469" spans="11:11" ht="18" customHeight="1">
      <c r="K469" s="228"/>
    </row>
    <row r="470" spans="11:11" ht="18" customHeight="1">
      <c r="K470" s="228"/>
    </row>
    <row r="471" spans="11:11" ht="18" customHeight="1">
      <c r="K471" s="228"/>
    </row>
    <row r="472" spans="11:11" ht="18" customHeight="1">
      <c r="K472" s="228"/>
    </row>
    <row r="473" spans="11:11" ht="18" customHeight="1">
      <c r="K473" s="228"/>
    </row>
    <row r="474" spans="11:11" ht="18" customHeight="1">
      <c r="K474" s="228"/>
    </row>
    <row r="475" spans="11:11" ht="18" customHeight="1">
      <c r="K475" s="228"/>
    </row>
    <row r="476" spans="11:11" ht="18" customHeight="1">
      <c r="K476" s="228"/>
    </row>
    <row r="477" spans="11:11" ht="18" customHeight="1">
      <c r="K477" s="228"/>
    </row>
    <row r="478" spans="11:11" ht="18" customHeight="1">
      <c r="K478" s="228"/>
    </row>
    <row r="479" spans="11:11" ht="18" customHeight="1">
      <c r="K479" s="228"/>
    </row>
    <row r="480" spans="11:11" ht="18" customHeight="1">
      <c r="K480" s="228"/>
    </row>
    <row r="481" spans="11:11" ht="18" customHeight="1">
      <c r="K481" s="228"/>
    </row>
    <row r="482" spans="11:11" ht="18" customHeight="1">
      <c r="K482" s="228"/>
    </row>
    <row r="483" spans="11:11" ht="18" customHeight="1">
      <c r="K483" s="228"/>
    </row>
    <row r="484" spans="11:11" ht="18" customHeight="1">
      <c r="K484" s="228"/>
    </row>
    <row r="485" spans="11:11" ht="18" customHeight="1">
      <c r="K485" s="228"/>
    </row>
    <row r="486" spans="11:11" ht="18" customHeight="1">
      <c r="K486" s="228"/>
    </row>
    <row r="487" spans="11:11" ht="18" customHeight="1">
      <c r="K487" s="228"/>
    </row>
    <row r="488" spans="11:11" ht="18" customHeight="1">
      <c r="K488" s="228"/>
    </row>
    <row r="489" spans="11:11" ht="18" customHeight="1">
      <c r="K489" s="228"/>
    </row>
    <row r="490" spans="11:11" ht="18" customHeight="1">
      <c r="K490" s="228"/>
    </row>
    <row r="491" spans="11:11" ht="18" customHeight="1">
      <c r="K491" s="228"/>
    </row>
    <row r="492" spans="11:11" ht="18" customHeight="1">
      <c r="K492" s="228"/>
    </row>
    <row r="493" spans="11:11" ht="18" customHeight="1">
      <c r="K493" s="228"/>
    </row>
    <row r="494" spans="11:11" ht="18" customHeight="1">
      <c r="K494" s="228"/>
    </row>
    <row r="495" spans="11:11" ht="18" customHeight="1">
      <c r="K495" s="228"/>
    </row>
    <row r="496" spans="11:11" ht="18" customHeight="1">
      <c r="K496" s="228"/>
    </row>
    <row r="497" spans="11:11" ht="18" customHeight="1">
      <c r="K497" s="228"/>
    </row>
    <row r="498" spans="11:11" ht="18" customHeight="1">
      <c r="K498" s="228"/>
    </row>
  </sheetData>
  <autoFilter ref="A7:Q50" xr:uid="{00000000-0009-0000-0000-000004000000}"/>
  <mergeCells count="1">
    <mergeCell ref="H6:J6"/>
  </mergeCells>
  <hyperlinks>
    <hyperlink ref="B8" r:id="rId1" xr:uid="{00000000-0004-0000-0400-000000000000}"/>
    <hyperlink ref="H8" r:id="rId2" xr:uid="{00000000-0004-0000-0400-000001000000}"/>
    <hyperlink ref="B9" r:id="rId3" xr:uid="{00000000-0004-0000-0400-000002000000}"/>
    <hyperlink ref="H9" r:id="rId4" xr:uid="{00000000-0004-0000-0400-000003000000}"/>
    <hyperlink ref="B10" r:id="rId5" xr:uid="{00000000-0004-0000-0400-000004000000}"/>
    <hyperlink ref="H10" r:id="rId6" xr:uid="{00000000-0004-0000-0400-000005000000}"/>
    <hyperlink ref="B11" r:id="rId7" xr:uid="{00000000-0004-0000-0400-000006000000}"/>
    <hyperlink ref="H11" r:id="rId8" xr:uid="{00000000-0004-0000-0400-000007000000}"/>
    <hyperlink ref="B12" r:id="rId9" xr:uid="{00000000-0004-0000-0400-000008000000}"/>
    <hyperlink ref="H12" r:id="rId10" xr:uid="{00000000-0004-0000-0400-000009000000}"/>
    <hyperlink ref="B13" r:id="rId11" xr:uid="{00000000-0004-0000-0400-00000A000000}"/>
    <hyperlink ref="H13" r:id="rId12" xr:uid="{00000000-0004-0000-0400-00000B000000}"/>
    <hyperlink ref="B14" r:id="rId13" xr:uid="{00000000-0004-0000-0400-00000C000000}"/>
    <hyperlink ref="H14" r:id="rId14" xr:uid="{00000000-0004-0000-0400-00000D000000}"/>
    <hyperlink ref="B15" r:id="rId15" xr:uid="{00000000-0004-0000-0400-00000E000000}"/>
    <hyperlink ref="H15" r:id="rId16" xr:uid="{00000000-0004-0000-0400-00000F000000}"/>
    <hyperlink ref="B16" r:id="rId17" xr:uid="{00000000-0004-0000-0400-000010000000}"/>
    <hyperlink ref="H16" r:id="rId18" xr:uid="{00000000-0004-0000-0400-000011000000}"/>
    <hyperlink ref="B17" r:id="rId19" xr:uid="{00000000-0004-0000-0400-000012000000}"/>
    <hyperlink ref="H17" r:id="rId20" xr:uid="{00000000-0004-0000-0400-000013000000}"/>
    <hyperlink ref="B18" r:id="rId21" xr:uid="{00000000-0004-0000-0400-000014000000}"/>
    <hyperlink ref="H18" r:id="rId22" xr:uid="{00000000-0004-0000-0400-000015000000}"/>
    <hyperlink ref="B19" r:id="rId23" xr:uid="{00000000-0004-0000-0400-000016000000}"/>
    <hyperlink ref="H19" r:id="rId24" xr:uid="{00000000-0004-0000-0400-000017000000}"/>
    <hyperlink ref="B20" r:id="rId25" xr:uid="{00000000-0004-0000-0400-000018000000}"/>
    <hyperlink ref="H20" r:id="rId26" xr:uid="{00000000-0004-0000-0400-000019000000}"/>
    <hyperlink ref="B21" r:id="rId27" xr:uid="{00000000-0004-0000-0400-00001A000000}"/>
    <hyperlink ref="H21" r:id="rId28" xr:uid="{00000000-0004-0000-0400-00001B000000}"/>
    <hyperlink ref="B22" r:id="rId29" xr:uid="{00000000-0004-0000-0400-00001C000000}"/>
    <hyperlink ref="H22" r:id="rId30" xr:uid="{00000000-0004-0000-0400-00001D000000}"/>
    <hyperlink ref="B23" r:id="rId31" xr:uid="{00000000-0004-0000-0400-00001E000000}"/>
    <hyperlink ref="H23" r:id="rId32" xr:uid="{00000000-0004-0000-0400-00001F000000}"/>
    <hyperlink ref="B24" r:id="rId33" xr:uid="{00000000-0004-0000-0400-000020000000}"/>
    <hyperlink ref="H24" r:id="rId34" xr:uid="{00000000-0004-0000-0400-000021000000}"/>
    <hyperlink ref="B25" r:id="rId35" xr:uid="{00000000-0004-0000-0400-000022000000}"/>
    <hyperlink ref="H25" r:id="rId36" xr:uid="{00000000-0004-0000-0400-000023000000}"/>
    <hyperlink ref="B26" r:id="rId37" xr:uid="{00000000-0004-0000-0400-000024000000}"/>
    <hyperlink ref="H26" r:id="rId38" xr:uid="{00000000-0004-0000-0400-000025000000}"/>
    <hyperlink ref="B27" r:id="rId39" xr:uid="{00000000-0004-0000-0400-000026000000}"/>
    <hyperlink ref="H27" r:id="rId40" xr:uid="{00000000-0004-0000-0400-000027000000}"/>
    <hyperlink ref="B28" r:id="rId41" xr:uid="{00000000-0004-0000-0400-000028000000}"/>
    <hyperlink ref="H28" r:id="rId42" xr:uid="{00000000-0004-0000-0400-000029000000}"/>
    <hyperlink ref="B29" r:id="rId43" xr:uid="{00000000-0004-0000-0400-00002A000000}"/>
    <hyperlink ref="H29" r:id="rId44" xr:uid="{00000000-0004-0000-0400-00002B000000}"/>
    <hyperlink ref="B30" r:id="rId45" xr:uid="{00000000-0004-0000-0400-00002C000000}"/>
    <hyperlink ref="H30" r:id="rId46" xr:uid="{00000000-0004-0000-0400-00002D000000}"/>
    <hyperlink ref="B31" r:id="rId47" xr:uid="{00000000-0004-0000-0400-00002E000000}"/>
    <hyperlink ref="H31" r:id="rId48" xr:uid="{00000000-0004-0000-0400-00002F000000}"/>
    <hyperlink ref="B32" r:id="rId49" xr:uid="{00000000-0004-0000-0400-000030000000}"/>
    <hyperlink ref="H32" r:id="rId50" xr:uid="{00000000-0004-0000-0400-000031000000}"/>
    <hyperlink ref="B33" r:id="rId51" xr:uid="{00000000-0004-0000-0400-000032000000}"/>
    <hyperlink ref="H33" r:id="rId52" xr:uid="{00000000-0004-0000-0400-000033000000}"/>
    <hyperlink ref="B34" r:id="rId53" xr:uid="{00000000-0004-0000-0400-000034000000}"/>
    <hyperlink ref="H34" r:id="rId54" xr:uid="{00000000-0004-0000-0400-000035000000}"/>
    <hyperlink ref="B35" r:id="rId55" xr:uid="{00000000-0004-0000-0400-000036000000}"/>
    <hyperlink ref="H35" r:id="rId56" xr:uid="{00000000-0004-0000-0400-000037000000}"/>
    <hyperlink ref="B36" r:id="rId57" xr:uid="{00000000-0004-0000-0400-000038000000}"/>
    <hyperlink ref="H36" r:id="rId58" xr:uid="{00000000-0004-0000-0400-000039000000}"/>
    <hyperlink ref="B37" r:id="rId59" xr:uid="{00000000-0004-0000-0400-00003A000000}"/>
    <hyperlink ref="H37" r:id="rId60" xr:uid="{00000000-0004-0000-0400-00003B000000}"/>
    <hyperlink ref="B38" r:id="rId61" xr:uid="{00000000-0004-0000-0400-00003C000000}"/>
    <hyperlink ref="H38" r:id="rId62" xr:uid="{00000000-0004-0000-0400-00003D000000}"/>
    <hyperlink ref="B39" r:id="rId63" xr:uid="{00000000-0004-0000-0400-00003E000000}"/>
    <hyperlink ref="H39" r:id="rId64" xr:uid="{00000000-0004-0000-0400-00003F000000}"/>
    <hyperlink ref="B40" r:id="rId65" xr:uid="{00000000-0004-0000-0400-000040000000}"/>
    <hyperlink ref="H40" r:id="rId66" xr:uid="{00000000-0004-0000-0400-000041000000}"/>
    <hyperlink ref="B41" r:id="rId67" xr:uid="{00000000-0004-0000-0400-000042000000}"/>
    <hyperlink ref="H41" r:id="rId68" xr:uid="{00000000-0004-0000-0400-000043000000}"/>
    <hyperlink ref="B42" r:id="rId69" xr:uid="{00000000-0004-0000-0400-000044000000}"/>
    <hyperlink ref="H42" r:id="rId70" xr:uid="{00000000-0004-0000-0400-000045000000}"/>
    <hyperlink ref="B43" r:id="rId71" xr:uid="{00000000-0004-0000-0400-000046000000}"/>
    <hyperlink ref="H43" r:id="rId72" xr:uid="{00000000-0004-0000-0400-000047000000}"/>
    <hyperlink ref="B44" r:id="rId73" xr:uid="{00000000-0004-0000-0400-000048000000}"/>
    <hyperlink ref="H44" r:id="rId74" xr:uid="{00000000-0004-0000-0400-000049000000}"/>
    <hyperlink ref="B45" r:id="rId75" xr:uid="{00000000-0004-0000-0400-00004A000000}"/>
    <hyperlink ref="H45" r:id="rId76" xr:uid="{00000000-0004-0000-0400-00004B000000}"/>
    <hyperlink ref="B46" r:id="rId77" xr:uid="{00000000-0004-0000-0400-00004C000000}"/>
    <hyperlink ref="H46" r:id="rId78" xr:uid="{00000000-0004-0000-0400-00004D000000}"/>
    <hyperlink ref="B47" r:id="rId79" xr:uid="{00000000-0004-0000-0400-00004E000000}"/>
    <hyperlink ref="H47" r:id="rId80" xr:uid="{00000000-0004-0000-0400-00004F000000}"/>
    <hyperlink ref="B48" r:id="rId81" xr:uid="{00000000-0004-0000-0400-000050000000}"/>
    <hyperlink ref="H48" r:id="rId82" xr:uid="{00000000-0004-0000-0400-000051000000}"/>
    <hyperlink ref="B49" r:id="rId83" xr:uid="{00000000-0004-0000-0400-000052000000}"/>
    <hyperlink ref="H49" r:id="rId84" xr:uid="{00000000-0004-0000-0400-000053000000}"/>
  </hyperlinks>
  <printOptions horizontalCentered="1" gridLines="1"/>
  <pageMargins left="1" right="1" top="1" bottom="1" header="0" footer="0"/>
  <pageSetup paperSize="7"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U949"/>
  <sheetViews>
    <sheetView tabSelected="1" topLeftCell="J1" workbookViewId="0"/>
  </sheetViews>
  <sheetFormatPr baseColWidth="10" defaultColWidth="14.44140625" defaultRowHeight="15" customHeight="1"/>
  <cols>
    <col min="1" max="1" width="5.6640625" customWidth="1"/>
    <col min="4" max="4" width="8.6640625" customWidth="1"/>
    <col min="5" max="6" width="8.5546875" customWidth="1"/>
    <col min="7" max="7" width="9.44140625" customWidth="1"/>
    <col min="8" max="8" width="20.5546875" customWidth="1"/>
    <col min="9" max="9" width="43.88671875" customWidth="1"/>
    <col min="10" max="10" width="38" customWidth="1"/>
    <col min="11" max="11" width="15.109375" customWidth="1"/>
    <col min="12" max="12" width="26.33203125" customWidth="1"/>
    <col min="19" max="19" width="12.6640625" customWidth="1"/>
    <col min="21" max="21" width="8.88671875" customWidth="1"/>
  </cols>
  <sheetData>
    <row r="1" spans="1:21" ht="17.25" customHeight="1">
      <c r="A1" s="193" t="s">
        <v>1250</v>
      </c>
      <c r="B1" s="192" t="s">
        <v>0</v>
      </c>
      <c r="C1" s="193" t="s">
        <v>409</v>
      </c>
      <c r="D1" s="193" t="s">
        <v>2</v>
      </c>
      <c r="E1" s="229" t="s">
        <v>3</v>
      </c>
      <c r="F1" s="193" t="s">
        <v>1174</v>
      </c>
      <c r="G1" s="191" t="s">
        <v>223</v>
      </c>
      <c r="H1" s="193" t="s">
        <v>6</v>
      </c>
      <c r="I1" s="230" t="s">
        <v>1175</v>
      </c>
      <c r="J1" s="230" t="s">
        <v>1176</v>
      </c>
      <c r="K1" s="231" t="s">
        <v>9</v>
      </c>
      <c r="L1" s="195" t="s">
        <v>10</v>
      </c>
      <c r="M1" s="195" t="s">
        <v>11</v>
      </c>
      <c r="N1" s="196" t="s">
        <v>12</v>
      </c>
      <c r="O1" s="196" t="s">
        <v>13</v>
      </c>
      <c r="P1" s="232" t="s">
        <v>1251</v>
      </c>
      <c r="Q1" s="232" t="s">
        <v>1252</v>
      </c>
      <c r="R1" s="233" t="s">
        <v>1253</v>
      </c>
      <c r="S1" s="234" t="s">
        <v>9</v>
      </c>
      <c r="T1" s="232"/>
      <c r="U1" s="235"/>
    </row>
    <row r="2" spans="1:21" ht="17.25" customHeight="1">
      <c r="A2" s="236">
        <v>1</v>
      </c>
      <c r="B2" s="237" t="str">
        <f t="array" ref="B2">INDEX('NORTE - RUTH'!B:B, MATCH(S2, 'NORTE - RUTH'!K:K, 0), )</f>
        <v>Aija</v>
      </c>
      <c r="C2" s="156" t="str">
        <f t="array" ref="C2">INDEX('NORTE - RUTH'!C:C, MATCH(S2, 'NORTE - RUTH'!K:K, 0), )</f>
        <v>Ancash</v>
      </c>
      <c r="D2" s="156" t="str">
        <f t="array" ref="D2">INDEX('NORTE - RUTH'!D:D, MATCH(S2, 'NORTE - RUTH'!K:K, 0), )</f>
        <v>VHF</v>
      </c>
      <c r="E2" s="156">
        <f t="array" ref="E2">INDEX('NORTE - RUTH'!E:E, MATCH(S2, 'NORTE - RUTH'!K:K, 0), )</f>
        <v>9</v>
      </c>
      <c r="F2" s="156">
        <f t="array" ref="F2">INDEX('NORTE - RUTH'!F:F, MATCH(S2, 'NORTE - RUTH'!K:K, 0), )</f>
        <v>12</v>
      </c>
      <c r="G2" s="159" t="str">
        <f t="array" ref="G2">INDEX('NORTE - RUTH'!G:G, MATCH(S2, 'NORTE - RUTH'!K:K, 0), )</f>
        <v>F.A</v>
      </c>
      <c r="H2" s="238" t="str">
        <f t="array" ref="H2">INDEX('NORTE - RUTH'!H:H, MATCH(S2, 'NORTE - RUTH'!K:K, 0), )</f>
        <v>AIJA</v>
      </c>
      <c r="I2" s="239" t="str">
        <f t="array" ref="I2">INDEX('NORTE - RUTH'!I:I, MATCH(S2, 'NORTE - RUTH'!K:K, 0), )</f>
        <v>21/11/2025 - Ingeniería - Por correo se facilitó la cotización de un tx nacional de 50 W, canal 9</v>
      </c>
      <c r="J2" s="240" t="str">
        <f t="array" ref="J2">INDEX('NORTE - RUTH'!J:J, MATCH(S2, 'NORTE - RUTH'!K:K, 0), )</f>
        <v>No tiene transmisor, hay una obrera</v>
      </c>
      <c r="K2" s="241" t="str">
        <f t="array" ref="K2">INDEX('NORTE - RUTH'!K:K, MATCH(S2, 'NORTE - RUTH'!K:K, 0), )</f>
        <v>R - 1</v>
      </c>
      <c r="L2" s="242" t="str">
        <f t="array" ref="L2">INDEX('NORTE - RUTH'!L:L, MATCH(S2, 'NORTE - RUTH'!K:K, 0), )</f>
        <v>Sectoristas</v>
      </c>
      <c r="M2" s="242" t="str">
        <f t="array" ref="M2">INDEX('NORTE - RUTH'!M:M, MATCH(S2, 'NORTE - RUTH'!K:K, 0), )</f>
        <v>Nivel 3</v>
      </c>
      <c r="N2" s="241">
        <f t="array" ref="N2">INDEX('NORTE - RUTH'!N:N, MATCH(S2, 'NORTE - RUTH'!K:K, 0), )</f>
        <v>0</v>
      </c>
      <c r="O2" s="241">
        <f t="array" ref="O2">INDEX('NORTE - RUTH'!O:O, MATCH(S2, 'NORTE - RUTH'!K:K, 0), )</f>
        <v>1850</v>
      </c>
      <c r="P2" s="236">
        <v>-9.781163888888889</v>
      </c>
      <c r="Q2" s="236">
        <v>-77.619747222222216</v>
      </c>
      <c r="R2" s="243" t="s">
        <v>1254</v>
      </c>
      <c r="S2" s="244" t="s">
        <v>1180</v>
      </c>
      <c r="U2" s="245"/>
    </row>
    <row r="3" spans="1:21" ht="17.25" customHeight="1">
      <c r="A3" s="236">
        <v>2</v>
      </c>
      <c r="B3" s="237" t="str">
        <f t="array" ref="B3">INDEX('NORTE - RUTH'!B:B, MATCH(S3, 'NORTE - RUTH'!K:K, 0), )</f>
        <v>Aija</v>
      </c>
      <c r="C3" s="156" t="str">
        <f t="array" ref="C3">INDEX('NORTE - RUTH'!C:C, MATCH(S3, 'NORTE - RUTH'!K:K, 0), )</f>
        <v>Ancash</v>
      </c>
      <c r="D3" s="156" t="str">
        <f t="array" ref="D3">INDEX('NORTE - RUTH'!D:D, MATCH(S3, 'NORTE - RUTH'!K:K, 0), )</f>
        <v>FM</v>
      </c>
      <c r="E3" s="156">
        <f t="array" ref="E3">INDEX('NORTE - RUTH'!E:E, MATCH(S3, 'NORTE - RUTH'!K:K, 0), )</f>
        <v>94.9</v>
      </c>
      <c r="F3" s="156">
        <f t="array" ref="F3">INDEX('NORTE - RUTH'!F:F, MATCH(S3, 'NORTE - RUTH'!K:K, 0), )</f>
        <v>12</v>
      </c>
      <c r="G3" s="159" t="str">
        <f t="array" ref="G3">INDEX('NORTE - RUTH'!G:G, MATCH(S3, 'NORTE - RUTH'!K:K, 0), )</f>
        <v>F.A</v>
      </c>
      <c r="H3" s="238" t="str">
        <f t="array" ref="H3">INDEX('NORTE - RUTH'!H:H, MATCH(S3, 'NORTE - RUTH'!K:K, 0), )</f>
        <v>AIJA</v>
      </c>
      <c r="I3" s="239" t="str">
        <f t="array" ref="I3">INDEX('NORTE - RUTH'!I:I, MATCH(S3, 'NORTE - RUTH'!K:K, 0), )</f>
        <v>21/11/2025 - Sectoristas - Con fecha lunes 17 de noviembre el hno Israel señala que Manuel ira a la localidad para la atención técnica revisión de cable heliax u otros pues cambiaron de ambiente los equipos de la radio.</v>
      </c>
      <c r="J3" s="240">
        <f t="array" ref="J3">INDEX('NORTE - RUTH'!J:J, MATCH(S3, 'NORTE - RUTH'!K:K, 0), )</f>
        <v>0</v>
      </c>
      <c r="K3" s="241" t="str">
        <f t="array" ref="K3">INDEX('NORTE - RUTH'!K:K, MATCH(S3, 'NORTE - RUTH'!K:K, 0), )</f>
        <v>R - 2</v>
      </c>
      <c r="L3" s="242" t="str">
        <f t="array" ref="L3">INDEX('NORTE - RUTH'!L:L, MATCH(S3, 'NORTE - RUTH'!K:K, 0), )</f>
        <v>Sectoristas</v>
      </c>
      <c r="M3" s="242" t="str">
        <f t="array" ref="M3">INDEX('NORTE - RUTH'!M:M, MATCH(S3, 'NORTE - RUTH'!K:K, 0), )</f>
        <v>Nivel 1</v>
      </c>
      <c r="N3" s="241">
        <f t="array" ref="N3">INDEX('NORTE - RUTH'!N:N, MATCH(S3, 'NORTE - RUTH'!K:K, 0), )</f>
        <v>0</v>
      </c>
      <c r="O3" s="241">
        <f t="array" ref="O3">INDEX('NORTE - RUTH'!O:O, MATCH(S3, 'NORTE - RUTH'!K:K, 0), )</f>
        <v>0</v>
      </c>
      <c r="P3" s="236">
        <v>-9.781163888888889</v>
      </c>
      <c r="Q3" s="236">
        <v>-77.619747222222216</v>
      </c>
      <c r="R3" s="243" t="s">
        <v>1254</v>
      </c>
      <c r="S3" s="246" t="s">
        <v>1182</v>
      </c>
      <c r="U3" s="245"/>
    </row>
    <row r="4" spans="1:21" ht="17.25" customHeight="1">
      <c r="A4" s="236">
        <v>3</v>
      </c>
      <c r="B4" s="237" t="str">
        <f t="array" ref="B4">INDEX('NORTE - RUTH'!B:B, MATCH(S4, 'NORTE - RUTH'!K:K, 0), )</f>
        <v>Amotape</v>
      </c>
      <c r="C4" s="156" t="str">
        <f t="array" ref="C4">INDEX('NORTE - RUTH'!C:C, MATCH(S4, 'NORTE - RUTH'!K:K, 0), )</f>
        <v>Piura</v>
      </c>
      <c r="D4" s="156" t="str">
        <f t="array" ref="D4">INDEX('NORTE - RUTH'!D:D, MATCH(S4, 'NORTE - RUTH'!K:K, 0), )</f>
        <v>VHF</v>
      </c>
      <c r="E4" s="156">
        <f t="array" ref="E4">INDEX('NORTE - RUTH'!E:E, MATCH(S4, 'NORTE - RUTH'!K:K, 0), )</f>
        <v>9</v>
      </c>
      <c r="F4" s="156">
        <f t="array" ref="F4">INDEX('NORTE - RUTH'!F:F, MATCH(S4, 'NORTE - RUTH'!K:K, 0), )</f>
        <v>105</v>
      </c>
      <c r="G4" s="159" t="str">
        <f t="array" ref="G4">INDEX('NORTE - RUTH'!G:G, MATCH(S4, 'NORTE - RUTH'!K:K, 0), )</f>
        <v>A.A</v>
      </c>
      <c r="H4" s="238" t="str">
        <f t="array" ref="H4">INDEX('NORTE - RUTH'!H:H, MATCH(S4, 'NORTE - RUTH'!K:K, 0), )</f>
        <v>AMOTAPE</v>
      </c>
      <c r="I4" s="239" t="str">
        <f t="array" ref="I4">INDEX('NORTE - RUTH'!I:I, MATCH(S4, 'NORTE - RUTH'!K:K, 0), )</f>
        <v>21/11/2025 - Sectoristas - Se envió al pastor el presupuesto para compra de implementos para mantenimiento de torre el día lunes 17 de noviembre, señalo por motivo de salud de su esposa no podrá atenderlo por ahora.</v>
      </c>
      <c r="J4" s="240">
        <f t="array" ref="J4">INDEX('NORTE - RUTH'!J:J, MATCH(S4, 'NORTE - RUTH'!K:K, 0), )</f>
        <v>0</v>
      </c>
      <c r="K4" s="241" t="str">
        <f t="array" ref="K4">INDEX('NORTE - RUTH'!K:K, MATCH(S4, 'NORTE - RUTH'!K:K, 0), )</f>
        <v>R - 3</v>
      </c>
      <c r="L4" s="242" t="str">
        <f t="array" ref="L4">INDEX('NORTE - RUTH'!L:L, MATCH(S4, 'NORTE - RUTH'!K:K, 0), )</f>
        <v>Sectoristas</v>
      </c>
      <c r="M4" s="242" t="str">
        <f t="array" ref="M4">INDEX('NORTE - RUTH'!M:M, MATCH(S4, 'NORTE - RUTH'!K:K, 0), )</f>
        <v>Nivel 1</v>
      </c>
      <c r="N4" s="241">
        <f t="array" ref="N4">INDEX('NORTE - RUTH'!N:N, MATCH(S4, 'NORTE - RUTH'!K:K, 0), )</f>
        <v>0</v>
      </c>
      <c r="O4" s="241">
        <f t="array" ref="O4">INDEX('NORTE - RUTH'!O:O, MATCH(S4, 'NORTE - RUTH'!K:K, 0), )</f>
        <v>0</v>
      </c>
      <c r="P4" s="236">
        <v>-4.9072500000000003</v>
      </c>
      <c r="Q4" s="236">
        <v>-81.053669444444438</v>
      </c>
      <c r="R4" s="243" t="s">
        <v>1255</v>
      </c>
      <c r="S4" s="246" t="s">
        <v>1256</v>
      </c>
      <c r="U4" s="245"/>
    </row>
    <row r="5" spans="1:21" ht="17.25" customHeight="1">
      <c r="A5" s="236">
        <v>4</v>
      </c>
      <c r="B5" s="237" t="str">
        <f t="array" ref="B5">INDEX('NORTE - RUTH'!B:B, MATCH(S5, 'NORTE - RUTH'!K:K, 0), )</f>
        <v>Ayabaca</v>
      </c>
      <c r="C5" s="156" t="str">
        <f t="array" ref="C5">INDEX('NORTE - RUTH'!C:C, MATCH(S5, 'NORTE - RUTH'!K:K, 0), )</f>
        <v>Piura</v>
      </c>
      <c r="D5" s="156" t="str">
        <f t="array" ref="D5">INDEX('NORTE - RUTH'!D:D, MATCH(S5, 'NORTE - RUTH'!K:K, 0), )</f>
        <v>FM</v>
      </c>
      <c r="E5" s="156">
        <f t="array" ref="E5">INDEX('NORTE - RUTH'!E:E, MATCH(S5, 'NORTE - RUTH'!K:K, 0), )</f>
        <v>96.9</v>
      </c>
      <c r="F5" s="156">
        <f t="array" ref="F5">INDEX('NORTE - RUTH'!F:F, MATCH(S5, 'NORTE - RUTH'!K:K, 0), )</f>
        <v>153</v>
      </c>
      <c r="G5" s="159" t="str">
        <f t="array" ref="G5">INDEX('NORTE - RUTH'!G:G, MATCH(S5, 'NORTE - RUTH'!K:K, 0), )</f>
        <v>A.A</v>
      </c>
      <c r="H5" s="238" t="str">
        <f t="array" ref="H5">INDEX('NORTE - RUTH'!H:H, MATCH(S5, 'NORTE - RUTH'!K:K, 0), )</f>
        <v>AYABACA</v>
      </c>
      <c r="I5" s="239" t="str">
        <f t="array" ref="I5">INDEX('NORTE - RUTH'!I:I, MATCH(S5, 'NORTE - RUTH'!K:K, 0), )</f>
        <v>1/12/2025 - Sectoristas - Con fecha de ayer domingo 30 de noviembre el pastor envía videos donde se corrobora la operatividad de la radio y el canal.</v>
      </c>
      <c r="J5" s="240">
        <f t="array" ref="J5">INDEX('NORTE - RUTH'!J:J, MATCH(S5, 'NORTE - RUTH'!K:K, 0), )</f>
        <v>0</v>
      </c>
      <c r="K5" s="241" t="str">
        <f t="array" ref="K5">INDEX('NORTE - RUTH'!K:K, MATCH(S5, 'NORTE - RUTH'!K:K, 0), )</f>
        <v>R - 4</v>
      </c>
      <c r="L5" s="242" t="str">
        <f t="array" ref="L5">INDEX('NORTE - RUTH'!L:L, MATCH(S5, 'NORTE - RUTH'!K:K, 0), )</f>
        <v>Sectoristas</v>
      </c>
      <c r="M5" s="242" t="str">
        <f t="array" ref="M5">INDEX('NORTE - RUTH'!M:M, MATCH(S5, 'NORTE - RUTH'!K:K, 0), )</f>
        <v>Nivel 1</v>
      </c>
      <c r="N5" s="241">
        <f t="array" ref="N5">INDEX('NORTE - RUTH'!N:N, MATCH(S5, 'NORTE - RUTH'!K:K, 0), )</f>
        <v>0</v>
      </c>
      <c r="O5" s="241">
        <f t="array" ref="O5">INDEX('NORTE - RUTH'!O:O, MATCH(S5, 'NORTE - RUTH'!K:K, 0), )</f>
        <v>0</v>
      </c>
      <c r="P5" s="236">
        <v>-4.6357222222222214</v>
      </c>
      <c r="Q5" s="236">
        <v>-79.717861111111119</v>
      </c>
      <c r="R5" s="243" t="s">
        <v>1257</v>
      </c>
      <c r="S5" s="246" t="s">
        <v>1258</v>
      </c>
      <c r="U5" s="245"/>
    </row>
    <row r="6" spans="1:21" ht="17.25" customHeight="1">
      <c r="A6" s="236">
        <v>5</v>
      </c>
      <c r="B6" s="237" t="str">
        <f t="array" ref="B6">INDEX('NORTE - RUTH'!B:B, MATCH(S6, 'NORTE - RUTH'!K:K, 0), )</f>
        <v>Ayabaca</v>
      </c>
      <c r="C6" s="156" t="str">
        <f t="array" ref="C6">INDEX('NORTE - RUTH'!C:C, MATCH(S6, 'NORTE - RUTH'!K:K, 0), )</f>
        <v>Piura</v>
      </c>
      <c r="D6" s="156" t="str">
        <f t="array" ref="D6">INDEX('NORTE - RUTH'!D:D, MATCH(S6, 'NORTE - RUTH'!K:K, 0), )</f>
        <v>VHF</v>
      </c>
      <c r="E6" s="156">
        <f t="array" ref="E6">INDEX('NORTE - RUTH'!E:E, MATCH(S6, 'NORTE - RUTH'!K:K, 0), )</f>
        <v>2</v>
      </c>
      <c r="F6" s="156">
        <f t="array" ref="F6">INDEX('NORTE - RUTH'!F:F, MATCH(S6, 'NORTE - RUTH'!K:K, 0), )</f>
        <v>153</v>
      </c>
      <c r="G6" s="159" t="str">
        <f t="array" ref="G6">INDEX('NORTE - RUTH'!G:G, MATCH(S6, 'NORTE - RUTH'!K:K, 0), )</f>
        <v>A.A</v>
      </c>
      <c r="H6" s="238" t="str">
        <f t="array" ref="H6">INDEX('NORTE - RUTH'!H:H, MATCH(S6, 'NORTE - RUTH'!K:K, 0), )</f>
        <v>AYABACA</v>
      </c>
      <c r="I6" s="239" t="str">
        <f t="array" ref="I6">INDEX('NORTE - RUTH'!I:I, MATCH(S6, 'NORTE - RUTH'!K:K, 0), )</f>
        <v>1/12/2025 - Sectoristas - Con fecha de ayer domingo 30 de noviembre el pastor envía videos donde se corrobora la operatividad de la radio y el canal.</v>
      </c>
      <c r="J6" s="240">
        <f t="array" ref="J6">INDEX('NORTE - RUTH'!J:J, MATCH(S6, 'NORTE - RUTH'!K:K, 0), )</f>
        <v>0</v>
      </c>
      <c r="K6" s="241" t="str">
        <f t="array" ref="K6">INDEX('NORTE - RUTH'!K:K, MATCH(S6, 'NORTE - RUTH'!K:K, 0), )</f>
        <v>R - 5</v>
      </c>
      <c r="L6" s="242" t="str">
        <f t="array" ref="L6">INDEX('NORTE - RUTH'!L:L, MATCH(S6, 'NORTE - RUTH'!K:K, 0), )</f>
        <v>Sectoristas</v>
      </c>
      <c r="M6" s="242" t="str">
        <f t="array" ref="M6">INDEX('NORTE - RUTH'!M:M, MATCH(S6, 'NORTE - RUTH'!K:K, 0), )</f>
        <v>Nivel 1</v>
      </c>
      <c r="N6" s="241">
        <f t="array" ref="N6">INDEX('NORTE - RUTH'!N:N, MATCH(S6, 'NORTE - RUTH'!K:K, 0), )</f>
        <v>0</v>
      </c>
      <c r="O6" s="241">
        <f t="array" ref="O6">INDEX('NORTE - RUTH'!O:O, MATCH(S6, 'NORTE - RUTH'!K:K, 0), )</f>
        <v>0</v>
      </c>
      <c r="P6" s="236">
        <v>-4.6357222222222214</v>
      </c>
      <c r="Q6" s="236">
        <v>-79.717861111111119</v>
      </c>
      <c r="R6" s="243" t="s">
        <v>1257</v>
      </c>
      <c r="S6" s="246" t="s">
        <v>1259</v>
      </c>
      <c r="U6" s="245"/>
    </row>
    <row r="7" spans="1:21" ht="17.25" customHeight="1">
      <c r="A7" s="236">
        <v>6</v>
      </c>
      <c r="B7" s="237" t="str">
        <f t="array" ref="B7">INDEX('NORTE - RUTH'!B:B, MATCH(S7, 'NORTE - RUTH'!K:K, 0), )</f>
        <v>Bagua - La Peca</v>
      </c>
      <c r="C7" s="156" t="str">
        <f t="array" ref="C7">INDEX('NORTE - RUTH'!C:C, MATCH(S7, 'NORTE - RUTH'!K:K, 0), )</f>
        <v>Amazonas</v>
      </c>
      <c r="D7" s="156" t="str">
        <f t="array" ref="D7">INDEX('NORTE - RUTH'!D:D, MATCH(S7, 'NORTE - RUTH'!K:K, 0), )</f>
        <v>FM</v>
      </c>
      <c r="E7" s="156">
        <f t="array" ref="E7">INDEX('NORTE - RUTH'!E:E, MATCH(S7, 'NORTE - RUTH'!K:K, 0), )</f>
        <v>93.1</v>
      </c>
      <c r="F7" s="156">
        <f t="array" ref="F7">INDEX('NORTE - RUTH'!F:F, MATCH(S7, 'NORTE - RUTH'!K:K, 0), )</f>
        <v>77</v>
      </c>
      <c r="G7" s="159" t="str">
        <f t="array" ref="G7">INDEX('NORTE - RUTH'!G:G, MATCH(S7, 'NORTE - RUTH'!K:K, 0), )</f>
        <v>A.A</v>
      </c>
      <c r="H7" s="238" t="str">
        <f t="array" ref="H7">INDEX('NORTE - RUTH'!H:H, MATCH(S7, 'NORTE - RUTH'!K:K, 0), )</f>
        <v>BAGUA FM</v>
      </c>
      <c r="I7" s="239" t="str">
        <f t="array" ref="I7">INDEX('NORTE - RUTH'!I:I, MATCH(S7, 'NORTE - RUTH'!K:K, 0), )</f>
        <v>27/11/2025 - Sectoristas - Con fecha martes 25 de noviembre el pastor envía evidencia en video donde sintoniza la radio.</v>
      </c>
      <c r="J7" s="240" t="str">
        <f t="array" ref="J7">INDEX('NORTE - RUTH'!J:J, MATCH(S7, 'NORTE - RUTH'!K:K, 0), )</f>
        <v xml:space="preserve">04/11/2025 Según información brindada por Gregorio se conectó el transmisor de la radio pero con un estabilizador de computadora pues su estabilizador esta quemado. </v>
      </c>
      <c r="K7" s="241" t="str">
        <f t="array" ref="K7">INDEX('NORTE - RUTH'!K:K, MATCH(S7, 'NORTE - RUTH'!K:K, 0), )</f>
        <v>R - 6</v>
      </c>
      <c r="L7" s="242" t="str">
        <f t="array" ref="L7">INDEX('NORTE - RUTH'!L:L, MATCH(S7, 'NORTE - RUTH'!K:K, 0), )</f>
        <v>Sectoristas</v>
      </c>
      <c r="M7" s="242" t="str">
        <f t="array" ref="M7">INDEX('NORTE - RUTH'!M:M, MATCH(S7, 'NORTE - RUTH'!K:K, 0), )</f>
        <v>Nivel 1</v>
      </c>
      <c r="N7" s="241">
        <f t="array" ref="N7">INDEX('NORTE - RUTH'!N:N, MATCH(S7, 'NORTE - RUTH'!K:K, 0), )</f>
        <v>0</v>
      </c>
      <c r="O7" s="241">
        <f t="array" ref="O7">INDEX('NORTE - RUTH'!O:O, MATCH(S7, 'NORTE - RUTH'!K:K, 0), )</f>
        <v>0</v>
      </c>
      <c r="P7" s="236">
        <v>-5.636388888888888</v>
      </c>
      <c r="Q7" s="236">
        <v>-78.508055555555558</v>
      </c>
      <c r="R7" s="243" t="s">
        <v>1260</v>
      </c>
      <c r="S7" s="246" t="s">
        <v>1261</v>
      </c>
      <c r="U7" s="245"/>
    </row>
    <row r="8" spans="1:21" ht="17.25" customHeight="1">
      <c r="A8" s="236">
        <v>7</v>
      </c>
      <c r="B8" s="237" t="str">
        <f t="array" ref="B8">INDEX('NORTE - RUTH'!B:B, MATCH(S8, 'NORTE - RUTH'!K:K, 0), )</f>
        <v>Bagua - La Peca</v>
      </c>
      <c r="C8" s="156" t="str">
        <f t="array" ref="C8">INDEX('NORTE - RUTH'!C:C, MATCH(S8, 'NORTE - RUTH'!K:K, 0), )</f>
        <v>Amazonas</v>
      </c>
      <c r="D8" s="156" t="str">
        <f t="array" ref="D8">INDEX('NORTE - RUTH'!D:D, MATCH(S8, 'NORTE - RUTH'!K:K, 0), )</f>
        <v>UHF</v>
      </c>
      <c r="E8" s="156">
        <f t="array" ref="E8">INDEX('NORTE - RUTH'!E:E, MATCH(S8, 'NORTE - RUTH'!K:K, 0), )</f>
        <v>19</v>
      </c>
      <c r="F8" s="156">
        <f t="array" ref="F8">INDEX('NORTE - RUTH'!F:F, MATCH(S8, 'NORTE - RUTH'!K:K, 0), )</f>
        <v>77</v>
      </c>
      <c r="G8" s="159" t="str">
        <f t="array" ref="G8">INDEX('NORTE - RUTH'!G:G, MATCH(S8, 'NORTE - RUTH'!K:K, 0), )</f>
        <v>A.A</v>
      </c>
      <c r="H8" s="238" t="str">
        <f t="array" ref="H8">INDEX('NORTE - RUTH'!H:H, MATCH(S8, 'NORTE - RUTH'!K:K, 0), )</f>
        <v>BAGUA</v>
      </c>
      <c r="I8" s="239" t="str">
        <f t="array" ref="I8">INDEX('NORTE - RUTH'!I:I, MATCH(S8, 'NORTE - RUTH'!K:K, 0), )</f>
        <v>4/11/2025 - Sectoristas - Al aire</v>
      </c>
      <c r="J8" s="247">
        <f t="array" ref="J8">INDEX('NORTE - RUTH'!J:J, MATCH(S8, 'NORTE - RUTH'!K:K, 0), )</f>
        <v>0</v>
      </c>
      <c r="K8" s="241" t="str">
        <f t="array" ref="K8">INDEX('NORTE - RUTH'!K:K, MATCH(S8, 'NORTE - RUTH'!K:K, 0), )</f>
        <v>R - 7</v>
      </c>
      <c r="L8" s="242">
        <f t="array" ref="L8">INDEX('NORTE - RUTH'!L:L, MATCH(S8, 'NORTE - RUTH'!K:K, 0), )</f>
        <v>0</v>
      </c>
      <c r="M8" s="242">
        <f t="array" ref="M8">INDEX('NORTE - RUTH'!M:M, MATCH(S8, 'NORTE - RUTH'!K:K, 0), )</f>
        <v>0</v>
      </c>
      <c r="N8" s="241">
        <f t="array" ref="N8">INDEX('NORTE - RUTH'!N:N, MATCH(S8, 'NORTE - RUTH'!K:K, 0), )</f>
        <v>0</v>
      </c>
      <c r="O8" s="241">
        <f t="array" ref="O8">INDEX('NORTE - RUTH'!O:O, MATCH(S8, 'NORTE - RUTH'!K:K, 0), )</f>
        <v>0</v>
      </c>
      <c r="P8" s="236">
        <v>-5.6359722222222217</v>
      </c>
      <c r="Q8" s="236">
        <v>-78.50866666666667</v>
      </c>
      <c r="R8" s="243" t="s">
        <v>1262</v>
      </c>
      <c r="S8" s="246" t="s">
        <v>1263</v>
      </c>
      <c r="U8" s="245"/>
    </row>
    <row r="9" spans="1:21" ht="17.25" customHeight="1">
      <c r="A9" s="236">
        <v>8</v>
      </c>
      <c r="B9" s="237" t="str">
        <f t="array" ref="B9">INDEX('NORTE - RUTH'!B:B, MATCH(S9, 'NORTE - RUTH'!K:K, 0), )</f>
        <v>Bagua Grande</v>
      </c>
      <c r="C9" s="156" t="str">
        <f t="array" ref="C9">INDEX('NORTE - RUTH'!C:C, MATCH(S9, 'NORTE - RUTH'!K:K, 0), )</f>
        <v>Amazonas</v>
      </c>
      <c r="D9" s="156" t="str">
        <f t="array" ref="D9">INDEX('NORTE - RUTH'!D:D, MATCH(S9, 'NORTE - RUTH'!K:K, 0), )</f>
        <v>FM</v>
      </c>
      <c r="E9" s="156">
        <f t="array" ref="E9">INDEX('NORTE - RUTH'!E:E, MATCH(S9, 'NORTE - RUTH'!K:K, 0), )</f>
        <v>92.5</v>
      </c>
      <c r="F9" s="156">
        <f t="array" ref="F9">INDEX('NORTE - RUTH'!F:F, MATCH(S9, 'NORTE - RUTH'!K:K, 0), )</f>
        <v>148</v>
      </c>
      <c r="G9" s="159" t="str">
        <f t="array" ref="G9">INDEX('NORTE - RUTH'!G:G, MATCH(S9, 'NORTE - RUTH'!K:K, 0), )</f>
        <v>A.A</v>
      </c>
      <c r="H9" s="238" t="str">
        <f t="array" ref="H9">INDEX('NORTE - RUTH'!H:H, MATCH(S9, 'NORTE - RUTH'!K:K, 0), )</f>
        <v>BAGUA GRANDE</v>
      </c>
      <c r="I9" s="239" t="str">
        <f t="array" ref="I9">INDEX('NORTE - RUTH'!I:I, MATCH(S9, 'NORTE - RUTH'!K:K, 0), )</f>
        <v>1/12/2025 - Sectoristas - Con fecha sábado 29 de noviembre el pastor local señala que la radio se encuentra operativa enviando videos.</v>
      </c>
      <c r="J9" s="240">
        <f t="array" ref="J9">INDEX('NORTE - RUTH'!J:J, MATCH(S9, 'NORTE - RUTH'!K:K, 0), )</f>
        <v>0</v>
      </c>
      <c r="K9" s="241" t="str">
        <f t="array" ref="K9">INDEX('NORTE - RUTH'!K:K, MATCH(S9, 'NORTE - RUTH'!K:K, 0), )</f>
        <v>R - 8</v>
      </c>
      <c r="L9" s="242" t="str">
        <f t="array" ref="L9">INDEX('NORTE - RUTH'!L:L, MATCH(S9, 'NORTE - RUTH'!K:K, 0), )</f>
        <v>Sectoristas</v>
      </c>
      <c r="M9" s="242" t="str">
        <f t="array" ref="M9">INDEX('NORTE - RUTH'!M:M, MATCH(S9, 'NORTE - RUTH'!K:K, 0), )</f>
        <v>Nivel 1</v>
      </c>
      <c r="N9" s="241">
        <f t="array" ref="N9">INDEX('NORTE - RUTH'!N:N, MATCH(S9, 'NORTE - RUTH'!K:K, 0), )</f>
        <v>0</v>
      </c>
      <c r="O9" s="241">
        <f t="array" ref="O9">INDEX('NORTE - RUTH'!O:O, MATCH(S9, 'NORTE - RUTH'!K:K, 0), )</f>
        <v>0</v>
      </c>
      <c r="P9" s="236">
        <v>-5.7631388888888893</v>
      </c>
      <c r="Q9" s="236">
        <v>-78.439000000000007</v>
      </c>
      <c r="R9" s="243" t="s">
        <v>1264</v>
      </c>
      <c r="S9" s="246" t="s">
        <v>1265</v>
      </c>
      <c r="U9" s="245"/>
    </row>
    <row r="10" spans="1:21" ht="17.25" customHeight="1">
      <c r="A10" s="236">
        <v>9</v>
      </c>
      <c r="B10" s="237" t="str">
        <f t="array" ref="B10">INDEX('NORTE - RUTH'!B:B, MATCH(S10, 'NORTE - RUTH'!K:K, 0), )</f>
        <v>Bambamarca</v>
      </c>
      <c r="C10" s="156" t="str">
        <f t="array" ref="C10">INDEX('NORTE - RUTH'!C:C, MATCH(S10, 'NORTE - RUTH'!K:K, 0), )</f>
        <v>Cajamarca</v>
      </c>
      <c r="D10" s="156" t="str">
        <f t="array" ref="D10">INDEX('NORTE - RUTH'!D:D, MATCH(S10, 'NORTE - RUTH'!K:K, 0), )</f>
        <v>FM</v>
      </c>
      <c r="E10" s="156">
        <f t="array" ref="E10">INDEX('NORTE - RUTH'!E:E, MATCH(S10, 'NORTE - RUTH'!K:K, 0), )</f>
        <v>89.7</v>
      </c>
      <c r="F10" s="156">
        <f t="array" ref="F10">INDEX('NORTE - RUTH'!F:F, MATCH(S10, 'NORTE - RUTH'!K:K, 0), )</f>
        <v>69</v>
      </c>
      <c r="G10" s="159" t="str">
        <f t="array" ref="G10">INDEX('NORTE - RUTH'!G:G, MATCH(S10, 'NORTE - RUTH'!K:K, 0), )</f>
        <v>A.A</v>
      </c>
      <c r="H10" s="238" t="str">
        <f t="array" ref="H10">INDEX('NORTE - RUTH'!H:H, MATCH(S10, 'NORTE - RUTH'!K:K, 0), )</f>
        <v>BAMBAMARCA</v>
      </c>
      <c r="I10" s="239" t="str">
        <f t="array" ref="I10">INDEX('NORTE - RUTH'!I:I, MATCH(S10, 'NORTE - RUTH'!K:K, 0), )</f>
        <v>27/11/2025 - Sectoristas - Con fecha martes 25 de noviembre el pastor local señala que la radio se encuentra al aire, pero NO envia video de evidencia.</v>
      </c>
      <c r="J10" s="247">
        <f t="array" ref="J10">INDEX('NORTE - RUTH'!J:J, MATCH(S10, 'NORTE - RUTH'!K:K, 0), )</f>
        <v>0</v>
      </c>
      <c r="K10" s="241" t="str">
        <f t="array" ref="K10">INDEX('NORTE - RUTH'!K:K, MATCH(S10, 'NORTE - RUTH'!K:K, 0), )</f>
        <v>R - 9</v>
      </c>
      <c r="L10" s="242" t="str">
        <f t="array" ref="L10">INDEX('NORTE - RUTH'!L:L, MATCH(S10, 'NORTE - RUTH'!K:K, 0), )</f>
        <v>Sectoristas</v>
      </c>
      <c r="M10" s="242" t="str">
        <f t="array" ref="M10">INDEX('NORTE - RUTH'!M:M, MATCH(S10, 'NORTE - RUTH'!K:K, 0), )</f>
        <v>Nivel 1</v>
      </c>
      <c r="N10" s="241">
        <f t="array" ref="N10">INDEX('NORTE - RUTH'!N:N, MATCH(S10, 'NORTE - RUTH'!K:K, 0), )</f>
        <v>0</v>
      </c>
      <c r="O10" s="241">
        <f t="array" ref="O10">INDEX('NORTE - RUTH'!O:O, MATCH(S10, 'NORTE - RUTH'!K:K, 0), )</f>
        <v>0</v>
      </c>
      <c r="P10" s="236">
        <v>-6.6993666666666671</v>
      </c>
      <c r="Q10" s="236">
        <v>-78.508638888888882</v>
      </c>
      <c r="R10" s="243" t="s">
        <v>1266</v>
      </c>
      <c r="S10" s="246" t="s">
        <v>1267</v>
      </c>
      <c r="U10" s="245"/>
    </row>
    <row r="11" spans="1:21" ht="17.25" customHeight="1">
      <c r="A11" s="236">
        <v>10</v>
      </c>
      <c r="B11" s="237" t="str">
        <f t="array" ref="B11">INDEX('NORTE - RUTH'!B:B, MATCH(S11, 'NORTE - RUTH'!K:K, 0), )</f>
        <v>Cabana</v>
      </c>
      <c r="C11" s="156" t="str">
        <f t="array" ref="C11">INDEX('NORTE - RUTH'!C:C, MATCH(S11, 'NORTE - RUTH'!K:K, 0), )</f>
        <v>Ancash</v>
      </c>
      <c r="D11" s="156" t="str">
        <f t="array" ref="D11">INDEX('NORTE - RUTH'!D:D, MATCH(S11, 'NORTE - RUTH'!K:K, 0), )</f>
        <v>FM</v>
      </c>
      <c r="E11" s="156">
        <f t="array" ref="E11">INDEX('NORTE - RUTH'!E:E, MATCH(S11, 'NORTE - RUTH'!K:K, 0), )</f>
        <v>92.9</v>
      </c>
      <c r="F11" s="156">
        <f t="array" ref="F11">INDEX('NORTE - RUTH'!F:F, MATCH(S11, 'NORTE - RUTH'!K:K, 0), )</f>
        <v>53</v>
      </c>
      <c r="G11" s="159" t="str">
        <f t="array" ref="G11">INDEX('NORTE - RUTH'!G:G, MATCH(S11, 'NORTE - RUTH'!K:K, 0), )</f>
        <v>A.A</v>
      </c>
      <c r="H11" s="238" t="str">
        <f t="array" ref="H11">INDEX('NORTE - RUTH'!H:H, MATCH(S11, 'NORTE - RUTH'!K:K, 0), )</f>
        <v>CABANA</v>
      </c>
      <c r="I11" s="239" t="str">
        <f t="array" ref="I11">INDEX('NORTE - RUTH'!I:I, MATCH(S11, 'NORTE - RUTH'!K:K, 0), )</f>
        <v>1/12/2025 - Sectoristas - Con fecha jueves 27 de noviembre el pastor confirma que la radio se encuentra operativa enviando un video donde muestra la sintonia.</v>
      </c>
      <c r="J11" s="247">
        <f t="array" ref="J11">INDEX('NORTE - RUTH'!J:J, MATCH(S11, 'NORTE - RUTH'!K:K, 0), )</f>
        <v>0</v>
      </c>
      <c r="K11" s="241" t="str">
        <f t="array" ref="K11">INDEX('NORTE - RUTH'!K:K, MATCH(S11, 'NORTE - RUTH'!K:K, 0), )</f>
        <v>R - 10</v>
      </c>
      <c r="L11" s="242" t="str">
        <f t="array" ref="L11">INDEX('NORTE - RUTH'!L:L, MATCH(S11, 'NORTE - RUTH'!K:K, 0), )</f>
        <v>Sectoristas</v>
      </c>
      <c r="M11" s="242" t="str">
        <f t="array" ref="M11">INDEX('NORTE - RUTH'!M:M, MATCH(S11, 'NORTE - RUTH'!K:K, 0), )</f>
        <v>Nivel 1</v>
      </c>
      <c r="N11" s="241">
        <f t="array" ref="N11">INDEX('NORTE - RUTH'!N:N, MATCH(S11, 'NORTE - RUTH'!K:K, 0), )</f>
        <v>0</v>
      </c>
      <c r="O11" s="241">
        <f t="array" ref="O11">INDEX('NORTE - RUTH'!O:O, MATCH(S11, 'NORTE - RUTH'!K:K, 0), )</f>
        <v>0</v>
      </c>
      <c r="P11" s="236">
        <v>-8.3932500000000001</v>
      </c>
      <c r="Q11" s="236">
        <v>-78.007194444444451</v>
      </c>
      <c r="R11" s="243" t="s">
        <v>1268</v>
      </c>
      <c r="S11" s="246" t="s">
        <v>1269</v>
      </c>
      <c r="U11" s="245"/>
    </row>
    <row r="12" spans="1:21" ht="17.25" customHeight="1">
      <c r="A12" s="236">
        <v>11</v>
      </c>
      <c r="B12" s="237" t="str">
        <f t="array" ref="B12">INDEX('NORTE - RUTH'!B:B, MATCH(S12, 'NORTE - RUTH'!K:K, 0), )</f>
        <v>Cabana</v>
      </c>
      <c r="C12" s="156" t="str">
        <f t="array" ref="C12">INDEX('NORTE - RUTH'!C:C, MATCH(S12, 'NORTE - RUTH'!K:K, 0), )</f>
        <v>Ancash</v>
      </c>
      <c r="D12" s="156" t="str">
        <f t="array" ref="D12">INDEX('NORTE - RUTH'!D:D, MATCH(S12, 'NORTE - RUTH'!K:K, 0), )</f>
        <v>VHF</v>
      </c>
      <c r="E12" s="156">
        <f t="array" ref="E12">INDEX('NORTE - RUTH'!E:E, MATCH(S12, 'NORTE - RUTH'!K:K, 0), )</f>
        <v>9</v>
      </c>
      <c r="F12" s="156">
        <f t="array" ref="F12">INDEX('NORTE - RUTH'!F:F, MATCH(S12, 'NORTE - RUTH'!K:K, 0), )</f>
        <v>53</v>
      </c>
      <c r="G12" s="159" t="str">
        <f t="array" ref="G12">INDEX('NORTE - RUTH'!G:G, MATCH(S12, 'NORTE - RUTH'!K:K, 0), )</f>
        <v>A.A</v>
      </c>
      <c r="H12" s="238" t="str">
        <f t="array" ref="H12">INDEX('NORTE - RUTH'!H:H, MATCH(S12, 'NORTE - RUTH'!K:K, 0), )</f>
        <v>CABANA</v>
      </c>
      <c r="I12" s="239" t="str">
        <f t="array" ref="I12">INDEX('NORTE - RUTH'!I:I, MATCH(S12, 'NORTE - RUTH'!K:K, 0), )</f>
        <v>27/11/2025 - Sectoristas - Con fecha martes 25 de noviembre el pastor envía como evidencia video donde se visualiza la sintonía del canal. Falto que envie de radio.</v>
      </c>
      <c r="J12" s="247">
        <f t="array" ref="J12">INDEX('NORTE - RUTH'!J:J, MATCH(S12, 'NORTE - RUTH'!K:K, 0), )</f>
        <v>0</v>
      </c>
      <c r="K12" s="241" t="str">
        <f t="array" ref="K12">INDEX('NORTE - RUTH'!K:K, MATCH(S12, 'NORTE - RUTH'!K:K, 0), )</f>
        <v>R - 11</v>
      </c>
      <c r="L12" s="242" t="str">
        <f t="array" ref="L12">INDEX('NORTE - RUTH'!L:L, MATCH(S12, 'NORTE - RUTH'!K:K, 0), )</f>
        <v>Sectoristas</v>
      </c>
      <c r="M12" s="242" t="str">
        <f t="array" ref="M12">INDEX('NORTE - RUTH'!M:M, MATCH(S12, 'NORTE - RUTH'!K:K, 0), )</f>
        <v>Nivel 1</v>
      </c>
      <c r="N12" s="241">
        <f t="array" ref="N12">INDEX('NORTE - RUTH'!N:N, MATCH(S12, 'NORTE - RUTH'!K:K, 0), )</f>
        <v>0</v>
      </c>
      <c r="O12" s="241">
        <f t="array" ref="O12">INDEX('NORTE - RUTH'!O:O, MATCH(S12, 'NORTE - RUTH'!K:K, 0), )</f>
        <v>0</v>
      </c>
      <c r="P12" s="236">
        <v>-8.3932500000000001</v>
      </c>
      <c r="Q12" s="236">
        <v>-78.007194444444451</v>
      </c>
      <c r="R12" s="243" t="s">
        <v>1268</v>
      </c>
      <c r="S12" s="246" t="s">
        <v>1270</v>
      </c>
      <c r="U12" s="245"/>
    </row>
    <row r="13" spans="1:21" ht="17.25" customHeight="1">
      <c r="A13" s="236">
        <v>12</v>
      </c>
      <c r="B13" s="237" t="str">
        <f t="array" ref="B13">INDEX('NORTE - RUTH'!B:B, MATCH(S13, 'NORTE - RUTH'!K:K, 0), )</f>
        <v>Cajabamba</v>
      </c>
      <c r="C13" s="156" t="str">
        <f t="array" ref="C13">INDEX('NORTE - RUTH'!C:C, MATCH(S13, 'NORTE - RUTH'!K:K, 0), )</f>
        <v>Cajabamba</v>
      </c>
      <c r="D13" s="156" t="str">
        <f t="array" ref="D13">INDEX('NORTE - RUTH'!D:D, MATCH(S13, 'NORTE - RUTH'!K:K, 0), )</f>
        <v>FM</v>
      </c>
      <c r="E13" s="156">
        <f t="array" ref="E13">INDEX('NORTE - RUTH'!E:E, MATCH(S13, 'NORTE - RUTH'!K:K, 0), )</f>
        <v>106.5</v>
      </c>
      <c r="F13" s="156">
        <f t="array" ref="F13">INDEX('NORTE - RUTH'!F:F, MATCH(S13, 'NORTE - RUTH'!K:K, 0), )</f>
        <v>26</v>
      </c>
      <c r="G13" s="159" t="str">
        <f t="array" ref="G13">INDEX('NORTE - RUTH'!G:G, MATCH(S13, 'NORTE - RUTH'!K:K, 0), )</f>
        <v>A.A</v>
      </c>
      <c r="H13" s="238" t="str">
        <f t="array" ref="H13">INDEX('NORTE - RUTH'!H:H, MATCH(S13, 'NORTE - RUTH'!K:K, 0), )</f>
        <v>CAJABAMBA</v>
      </c>
      <c r="I13" s="239" t="str">
        <f t="array" ref="I13">INDEX('NORTE - RUTH'!I:I, MATCH(S13, 'NORTE - RUTH'!K:K, 0), )</f>
        <v>4/12/2025 - Sectoristas - Con fecha lunes 01 de diciembre el pastor envia video evidenciando la operatividad</v>
      </c>
      <c r="J13" s="240">
        <f t="array" ref="J13">INDEX('NORTE - RUTH'!J:J, MATCH(S13, 'NORTE - RUTH'!K:K, 0), )</f>
        <v>0</v>
      </c>
      <c r="K13" s="241" t="str">
        <f t="array" ref="K13">INDEX('NORTE - RUTH'!K:K, MATCH(S13, 'NORTE - RUTH'!K:K, 0), )</f>
        <v>R - 12</v>
      </c>
      <c r="L13" s="242" t="str">
        <f t="array" ref="L13">INDEX('NORTE - RUTH'!L:L, MATCH(S13, 'NORTE - RUTH'!K:K, 0), )</f>
        <v>Sectoristas</v>
      </c>
      <c r="M13" s="242" t="str">
        <f t="array" ref="M13">INDEX('NORTE - RUTH'!M:M, MATCH(S13, 'NORTE - RUTH'!K:K, 0), )</f>
        <v>Nivel 1</v>
      </c>
      <c r="N13" s="241">
        <f t="array" ref="N13">INDEX('NORTE - RUTH'!N:N, MATCH(S13, 'NORTE - RUTH'!K:K, 0), )</f>
        <v>0</v>
      </c>
      <c r="O13" s="241">
        <f t="array" ref="O13">INDEX('NORTE - RUTH'!O:O, MATCH(S13, 'NORTE - RUTH'!K:K, 0), )</f>
        <v>0</v>
      </c>
      <c r="P13" s="236">
        <v>-7.6234722222222224</v>
      </c>
      <c r="Q13" s="236">
        <v>-78.039416666666668</v>
      </c>
      <c r="R13" s="243" t="s">
        <v>1271</v>
      </c>
      <c r="S13" s="246" t="s">
        <v>1272</v>
      </c>
      <c r="U13" s="245"/>
    </row>
    <row r="14" spans="1:21" ht="17.25" customHeight="1">
      <c r="A14" s="236">
        <v>13</v>
      </c>
      <c r="B14" s="237" t="str">
        <f t="array" ref="B14">INDEX('NORTE - RUTH'!B:B, MATCH(S14, 'NORTE - RUTH'!K:K, 0), )</f>
        <v>Cajamarca</v>
      </c>
      <c r="C14" s="156" t="str">
        <f t="array" ref="C14">INDEX('NORTE - RUTH'!C:C, MATCH(S14, 'NORTE - RUTH'!K:K, 0), )</f>
        <v>Cajamarca</v>
      </c>
      <c r="D14" s="156" t="str">
        <f t="array" ref="D14">INDEX('NORTE - RUTH'!D:D, MATCH(S14, 'NORTE - RUTH'!K:K, 0), )</f>
        <v>UHF</v>
      </c>
      <c r="E14" s="156">
        <f t="array" ref="E14">INDEX('NORTE - RUTH'!E:E, MATCH(S14, 'NORTE - RUTH'!K:K, 0), )</f>
        <v>47</v>
      </c>
      <c r="F14" s="156">
        <f t="array" ref="F14">INDEX('NORTE - RUTH'!F:F, MATCH(S14, 'NORTE - RUTH'!K:K, 0), )</f>
        <v>26</v>
      </c>
      <c r="G14" s="159" t="str">
        <f t="array" ref="G14">INDEX('NORTE - RUTH'!G:G, MATCH(S14, 'NORTE - RUTH'!K:K, 0), )</f>
        <v>A.A</v>
      </c>
      <c r="H14" s="238" t="str">
        <f t="array" ref="H14">INDEX('NORTE - RUTH'!H:H, MATCH(S14, 'NORTE - RUTH'!K:K, 0), )</f>
        <v>CAJAMARCA</v>
      </c>
      <c r="I14" s="239" t="str">
        <f t="array" ref="I14">INDEX('NORTE - RUTH'!I:I, MATCH(S14, 'NORTE - RUTH'!K:K, 0), )</f>
        <v>10/11/2025 - Ingeniería - Se restableció nuevamente el fluido eléctrico por tema de mantenimiento de la empresa eléctrica. Se puso nuevamente al aire.</v>
      </c>
      <c r="J14" s="240" t="str">
        <f t="array" ref="J14">INDEX('NORTE - RUTH'!J:J, MATCH(S14, 'NORTE - RUTH'!K:K, 0), )</f>
        <v>04/11/2025 El pastor local señalo el día jueves 30 de octubre que las estaciones estarían fuera del aire una semana</v>
      </c>
      <c r="K14" s="241" t="str">
        <f t="array" ref="K14">INDEX('NORTE - RUTH'!K:K, MATCH(S14, 'NORTE - RUTH'!K:K, 0), )</f>
        <v>R - 13</v>
      </c>
      <c r="L14" s="242" t="str">
        <f t="array" ref="L14">INDEX('NORTE - RUTH'!L:L, MATCH(S14, 'NORTE - RUTH'!K:K, 0), )</f>
        <v>Ingeniería</v>
      </c>
      <c r="M14" s="242" t="str">
        <f t="array" ref="M14">INDEX('NORTE - RUTH'!M:M, MATCH(S14, 'NORTE - RUTH'!K:K, 0), )</f>
        <v>Nivel 1</v>
      </c>
      <c r="N14" s="241">
        <f t="array" ref="N14">INDEX('NORTE - RUTH'!N:N, MATCH(S14, 'NORTE - RUTH'!K:K, 0), )</f>
        <v>0</v>
      </c>
      <c r="O14" s="241">
        <f t="array" ref="O14">INDEX('NORTE - RUTH'!O:O, MATCH(S14, 'NORTE - RUTH'!K:K, 0), )</f>
        <v>0</v>
      </c>
      <c r="P14" s="236">
        <v>-7.1469722222222227</v>
      </c>
      <c r="Q14" s="236">
        <v>-78.53113888888889</v>
      </c>
      <c r="R14" s="243" t="s">
        <v>1273</v>
      </c>
      <c r="S14" s="246" t="s">
        <v>1274</v>
      </c>
      <c r="U14" s="245"/>
    </row>
    <row r="15" spans="1:21" ht="17.25" customHeight="1">
      <c r="A15" s="236">
        <v>14</v>
      </c>
      <c r="B15" s="237" t="str">
        <f t="array" ref="B15">INDEX('NORTE - RUTH'!B:B, MATCH(S15, 'NORTE - RUTH'!K:K, 0), )</f>
        <v>Cajamarca</v>
      </c>
      <c r="C15" s="156" t="str">
        <f t="array" ref="C15">INDEX('NORTE - RUTH'!C:C, MATCH(S15, 'NORTE - RUTH'!K:K, 0), )</f>
        <v>Cajamarca</v>
      </c>
      <c r="D15" s="156" t="str">
        <f t="array" ref="D15">INDEX('NORTE - RUTH'!D:D, MATCH(S15, 'NORTE - RUTH'!K:K, 0), )</f>
        <v>FM</v>
      </c>
      <c r="E15" s="156" t="str">
        <f t="array" ref="E15">INDEX('NORTE - RUTH'!E:E, MATCH(S15, 'NORTE - RUTH'!K:K, 0), )</f>
        <v>104.5</v>
      </c>
      <c r="F15" s="156">
        <f t="array" ref="F15">INDEX('NORTE - RUTH'!F:F, MATCH(S15, 'NORTE - RUTH'!K:K, 0), )</f>
        <v>26</v>
      </c>
      <c r="G15" s="159" t="str">
        <f t="array" ref="G15">INDEX('NORTE - RUTH'!G:G, MATCH(S15, 'NORTE - RUTH'!K:K, 0), )</f>
        <v>A.A</v>
      </c>
      <c r="H15" s="238" t="str">
        <f t="array" ref="H15">INDEX('NORTE - RUTH'!H:H, MATCH(S15, 'NORTE - RUTH'!K:K, 0), )</f>
        <v>CAJAMARCA</v>
      </c>
      <c r="I15" s="239" t="str">
        <f t="array" ref="I15">INDEX('NORTE - RUTH'!I:I, MATCH(S15, 'NORTE - RUTH'!K:K, 0), )</f>
        <v>11/11/2025 - Ingeniería - Se restableció nuevamente el fluido eléctrico por tema de mantenimiento de la empresa eléctrica. Se puso nuevamente al aire.</v>
      </c>
      <c r="J15" s="240" t="str">
        <f t="array" ref="J15">INDEX('NORTE - RUTH'!J:J, MATCH(S15, 'NORTE - RUTH'!K:K, 0), )</f>
        <v>04/11/2025 El pastor local señalo el día jueves 30 de octubre que las estaciones estarían fuera del aire una semana</v>
      </c>
      <c r="K15" s="241" t="str">
        <f t="array" ref="K15">INDEX('NORTE - RUTH'!K:K, MATCH(S15, 'NORTE - RUTH'!K:K, 0), )</f>
        <v>R - 14</v>
      </c>
      <c r="L15" s="242" t="str">
        <f t="array" ref="L15">INDEX('NORTE - RUTH'!L:L, MATCH(S15, 'NORTE - RUTH'!K:K, 0), )</f>
        <v>Sectoristas</v>
      </c>
      <c r="M15" s="242" t="str">
        <f t="array" ref="M15">INDEX('NORTE - RUTH'!M:M, MATCH(S15, 'NORTE - RUTH'!K:K, 0), )</f>
        <v>Nivel 1</v>
      </c>
      <c r="N15" s="241">
        <f t="array" ref="N15">INDEX('NORTE - RUTH'!N:N, MATCH(S15, 'NORTE - RUTH'!K:K, 0), )</f>
        <v>0</v>
      </c>
      <c r="O15" s="241">
        <f t="array" ref="O15">INDEX('NORTE - RUTH'!O:O, MATCH(S15, 'NORTE - RUTH'!K:K, 0), )</f>
        <v>0</v>
      </c>
      <c r="P15" s="236">
        <v>-7.1469722222222227</v>
      </c>
      <c r="Q15" s="236">
        <v>-78.53113888888889</v>
      </c>
      <c r="R15" s="243" t="s">
        <v>1273</v>
      </c>
      <c r="S15" s="246" t="s">
        <v>1275</v>
      </c>
      <c r="U15" s="245"/>
    </row>
    <row r="16" spans="1:21" ht="17.25" customHeight="1">
      <c r="A16" s="236">
        <v>15</v>
      </c>
      <c r="B16" s="237" t="str">
        <f t="array" ref="B16">INDEX('NORTE - RUTH'!B:B, MATCH(S16, 'NORTE - RUTH'!K:K, 0), )</f>
        <v>Callayuc</v>
      </c>
      <c r="C16" s="156" t="str">
        <f t="array" ref="C16">INDEX('NORTE - RUTH'!C:C, MATCH(S16, 'NORTE - RUTH'!K:K, 0), )</f>
        <v>Cajamarca</v>
      </c>
      <c r="D16" s="156" t="str">
        <f t="array" ref="D16">INDEX('NORTE - RUTH'!D:D, MATCH(S16, 'NORTE - RUTH'!K:K, 0), )</f>
        <v>FM</v>
      </c>
      <c r="E16" s="156" t="str">
        <f t="array" ref="E16">INDEX('NORTE - RUTH'!E:E, MATCH(S16, 'NORTE - RUTH'!K:K, 0), )</f>
        <v>92.5</v>
      </c>
      <c r="F16" s="156">
        <f t="array" ref="F16">INDEX('NORTE - RUTH'!F:F, MATCH(S16, 'NORTE - RUTH'!K:K, 0), )</f>
        <v>83</v>
      </c>
      <c r="G16" s="159" t="str">
        <f t="array" ref="G16">INDEX('NORTE - RUTH'!G:G, MATCH(S16, 'NORTE - RUTH'!K:K, 0), )</f>
        <v>A.A</v>
      </c>
      <c r="H16" s="238" t="str">
        <f t="array" ref="H16">INDEX('NORTE - RUTH'!H:H, MATCH(S16, 'NORTE - RUTH'!K:K, 0), )</f>
        <v>CALLAYUC</v>
      </c>
      <c r="I16" s="239" t="str">
        <f t="array" ref="I16">INDEX('NORTE - RUTH'!I:I, MATCH(S16, 'NORTE - RUTH'!K:K, 0), )</f>
        <v>3/11/2025 - Sectoristas - Con fecha 01 de noviembre el pastor local y el hno Gregorio confirman que la radio se encuentra operativa asimismo enviaron audio como evidencia</v>
      </c>
      <c r="J16" s="240">
        <f t="array" ref="J16">INDEX('NORTE - RUTH'!J:J, MATCH(S16, 'NORTE - RUTH'!K:K, 0), )</f>
        <v>0</v>
      </c>
      <c r="K16" s="241" t="str">
        <f t="array" ref="K16">INDEX('NORTE - RUTH'!K:K, MATCH(S16, 'NORTE - RUTH'!K:K, 0), )</f>
        <v>R - 15</v>
      </c>
      <c r="L16" s="242">
        <f t="array" ref="L16">INDEX('NORTE - RUTH'!L:L, MATCH(S16, 'NORTE - RUTH'!K:K, 0), )</f>
        <v>0</v>
      </c>
      <c r="M16" s="242">
        <f t="array" ref="M16">INDEX('NORTE - RUTH'!M:M, MATCH(S16, 'NORTE - RUTH'!K:K, 0), )</f>
        <v>0</v>
      </c>
      <c r="N16" s="241">
        <f t="array" ref="N16">INDEX('NORTE - RUTH'!N:N, MATCH(S16, 'NORTE - RUTH'!K:K, 0), )</f>
        <v>0</v>
      </c>
      <c r="O16" s="241">
        <f t="array" ref="O16">INDEX('NORTE - RUTH'!O:O, MATCH(S16, 'NORTE - RUTH'!K:K, 0), )</f>
        <v>0</v>
      </c>
      <c r="P16" s="236">
        <v>-6.1868055555555559</v>
      </c>
      <c r="Q16" s="236">
        <v>-78.907916666666679</v>
      </c>
      <c r="R16" s="243" t="s">
        <v>1276</v>
      </c>
      <c r="S16" s="246" t="s">
        <v>1277</v>
      </c>
      <c r="U16" s="245"/>
    </row>
    <row r="17" spans="1:21" ht="17.25" customHeight="1">
      <c r="A17" s="236">
        <v>16</v>
      </c>
      <c r="B17" s="237" t="str">
        <f t="array" ref="B17">INDEX('NORTE - RUTH'!B:B, MATCH(S17, 'NORTE - RUTH'!K:K, 0), )</f>
        <v>Campanilla</v>
      </c>
      <c r="C17" s="156" t="str">
        <f t="array" ref="C17">INDEX('NORTE - RUTH'!C:C, MATCH(S17, 'NORTE - RUTH'!K:K, 0), )</f>
        <v>San Martin</v>
      </c>
      <c r="D17" s="156" t="str">
        <f t="array" ref="D17">INDEX('NORTE - RUTH'!D:D, MATCH(S17, 'NORTE - RUTH'!K:K, 0), )</f>
        <v>FM</v>
      </c>
      <c r="E17" s="156">
        <f t="array" ref="E17">INDEX('NORTE - RUTH'!E:E, MATCH(S17, 'NORTE - RUTH'!K:K, 0), )</f>
        <v>91.7</v>
      </c>
      <c r="F17" s="156">
        <f t="array" ref="F17">INDEX('NORTE - RUTH'!F:F, MATCH(S17, 'NORTE - RUTH'!K:K, 0), )</f>
        <v>78</v>
      </c>
      <c r="G17" s="159" t="str">
        <f t="array" ref="G17">INDEX('NORTE - RUTH'!G:G, MATCH(S17, 'NORTE - RUTH'!K:K, 0), )</f>
        <v>A.A</v>
      </c>
      <c r="H17" s="238" t="str">
        <f t="array" ref="H17">INDEX('NORTE - RUTH'!H:H, MATCH(S17, 'NORTE - RUTH'!K:K, 0), )</f>
        <v>CAMPANILLA</v>
      </c>
      <c r="I17" s="239" t="str">
        <f t="array" ref="I17">INDEX('NORTE - RUTH'!I:I, MATCH(S17, 'NORTE - RUTH'!K:K, 0), )</f>
        <v>9/10/2025 - Sectoristas - El día de hoy jueves 09 de octubre el pastor local señala que la radio se encuentra operativa las 24 horas, el pastor envió video evidenciando la operatividad. Asimismo, se le envió mensaje orientando sobre la renovacion de autorizacion</v>
      </c>
      <c r="J17" s="240" t="str">
        <f t="array" ref="J17">INDEX('NORTE - RUTH'!J:J, MATCH(S17, 'NORTE - RUTH'!K:K, 0), )</f>
        <v>31/01/2025 El pastor comunico eo dia de hoy que nuevamente se encuentra operativa</v>
      </c>
      <c r="K17" s="241" t="str">
        <f t="array" ref="K17">INDEX('NORTE - RUTH'!K:K, MATCH(S17, 'NORTE - RUTH'!K:K, 0), )</f>
        <v>R - 16</v>
      </c>
      <c r="L17" s="242">
        <f t="array" ref="L17">INDEX('NORTE - RUTH'!L:L, MATCH(S17, 'NORTE - RUTH'!K:K, 0), )</f>
        <v>0</v>
      </c>
      <c r="M17" s="242">
        <f t="array" ref="M17">INDEX('NORTE - RUTH'!M:M, MATCH(S17, 'NORTE - RUTH'!K:K, 0), )</f>
        <v>0</v>
      </c>
      <c r="N17" s="241">
        <f t="array" ref="N17">INDEX('NORTE - RUTH'!N:N, MATCH(S17, 'NORTE - RUTH'!K:K, 0), )</f>
        <v>0</v>
      </c>
      <c r="O17" s="241">
        <f t="array" ref="O17">INDEX('NORTE - RUTH'!O:O, MATCH(S17, 'NORTE - RUTH'!K:K, 0), )</f>
        <v>0</v>
      </c>
      <c r="P17" s="236">
        <v>-7.4905833333333334</v>
      </c>
      <c r="Q17" s="236">
        <v>-76.650583333333344</v>
      </c>
      <c r="R17" s="243" t="s">
        <v>1278</v>
      </c>
      <c r="S17" s="246" t="s">
        <v>1279</v>
      </c>
      <c r="U17" s="245"/>
    </row>
    <row r="18" spans="1:21" ht="17.25" customHeight="1">
      <c r="A18" s="236">
        <v>17</v>
      </c>
      <c r="B18" s="237" t="str">
        <f t="array" ref="B18">INDEX('NORTE - RUTH'!B:B, MATCH(S18, 'NORTE - RUTH'!K:K, 0), )</f>
        <v>Caraz</v>
      </c>
      <c r="C18" s="156" t="str">
        <f t="array" ref="C18">INDEX('NORTE - RUTH'!C:C, MATCH(S18, 'NORTE - RUTH'!K:K, 0), )</f>
        <v>Ancash</v>
      </c>
      <c r="D18" s="156" t="str">
        <f t="array" ref="D18">INDEX('NORTE - RUTH'!D:D, MATCH(S18, 'NORTE - RUTH'!K:K, 0), )</f>
        <v>FM</v>
      </c>
      <c r="E18" s="156">
        <f t="array" ref="E18">INDEX('NORTE - RUTH'!E:E, MATCH(S18, 'NORTE - RUTH'!K:K, 0), )</f>
        <v>106.1</v>
      </c>
      <c r="F18" s="156">
        <f t="array" ref="F18">INDEX('NORTE - RUTH'!F:F, MATCH(S18, 'NORTE - RUTH'!K:K, 0), )</f>
        <v>144</v>
      </c>
      <c r="G18" s="159" t="str">
        <f t="array" ref="G18">INDEX('NORTE - RUTH'!G:G, MATCH(S18, 'NORTE - RUTH'!K:K, 0), )</f>
        <v>A.A</v>
      </c>
      <c r="H18" s="238" t="str">
        <f t="array" ref="H18">INDEX('NORTE - RUTH'!H:H, MATCH(S18, 'NORTE - RUTH'!K:K, 0), )</f>
        <v>CARAZ</v>
      </c>
      <c r="I18" s="239" t="str">
        <f t="array" ref="I18">INDEX('NORTE - RUTH'!I:I, MATCH(S18, 'NORTE - RUTH'!K:K, 0), )</f>
        <v>21/10/2025 - Sectoristas - Con fecha jueves 16 de octubre el pastor local señal que la radio y el canal se encuentran operativos</v>
      </c>
      <c r="J18" s="240">
        <f t="array" ref="J18">INDEX('NORTE - RUTH'!J:J, MATCH(S18, 'NORTE - RUTH'!K:K, 0), )</f>
        <v>0</v>
      </c>
      <c r="K18" s="241" t="str">
        <f t="array" ref="K18">INDEX('NORTE - RUTH'!K:K, MATCH(S18, 'NORTE - RUTH'!K:K, 0), )</f>
        <v>R - 17</v>
      </c>
      <c r="L18" s="242">
        <f t="array" ref="L18">INDEX('NORTE - RUTH'!L:L, MATCH(S18, 'NORTE - RUTH'!K:K, 0), )</f>
        <v>0</v>
      </c>
      <c r="M18" s="242">
        <f t="array" ref="M18">INDEX('NORTE - RUTH'!M:M, MATCH(S18, 'NORTE - RUTH'!K:K, 0), )</f>
        <v>0</v>
      </c>
      <c r="N18" s="241">
        <f t="array" ref="N18">INDEX('NORTE - RUTH'!N:N, MATCH(S18, 'NORTE - RUTH'!K:K, 0), )</f>
        <v>0</v>
      </c>
      <c r="O18" s="241">
        <f t="array" ref="O18">INDEX('NORTE - RUTH'!O:O, MATCH(S18, 'NORTE - RUTH'!K:K, 0), )</f>
        <v>0</v>
      </c>
      <c r="P18" s="236">
        <v>-9.0431666666666661</v>
      </c>
      <c r="Q18" s="236">
        <v>-77.788861111111103</v>
      </c>
      <c r="R18" s="243" t="s">
        <v>1280</v>
      </c>
      <c r="S18" s="246" t="s">
        <v>1281</v>
      </c>
      <c r="U18" s="245"/>
    </row>
    <row r="19" spans="1:21" ht="17.25" customHeight="1">
      <c r="A19" s="236">
        <v>18</v>
      </c>
      <c r="B19" s="237" t="str">
        <f t="array" ref="B19">INDEX('NORTE - RUTH'!B:B, MATCH(S19, 'NORTE - RUTH'!K:K, 0), )</f>
        <v>Caraz</v>
      </c>
      <c r="C19" s="156" t="str">
        <f t="array" ref="C19">INDEX('NORTE - RUTH'!C:C, MATCH(S19, 'NORTE - RUTH'!K:K, 0), )</f>
        <v>Ancash</v>
      </c>
      <c r="D19" s="156" t="str">
        <f t="array" ref="D19">INDEX('NORTE - RUTH'!D:D, MATCH(S19, 'NORTE - RUTH'!K:K, 0), )</f>
        <v>VHF</v>
      </c>
      <c r="E19" s="156">
        <f t="array" ref="E19">INDEX('NORTE - RUTH'!E:E, MATCH(S19, 'NORTE - RUTH'!K:K, 0), )</f>
        <v>12</v>
      </c>
      <c r="F19" s="156">
        <f t="array" ref="F19">INDEX('NORTE - RUTH'!F:F, MATCH(S19, 'NORTE - RUTH'!K:K, 0), )</f>
        <v>144</v>
      </c>
      <c r="G19" s="159" t="str">
        <f t="array" ref="G19">INDEX('NORTE - RUTH'!G:G, MATCH(S19, 'NORTE - RUTH'!K:K, 0), )</f>
        <v>A.A</v>
      </c>
      <c r="H19" s="238" t="str">
        <f t="array" ref="H19">INDEX('NORTE - RUTH'!H:H, MATCH(S19, 'NORTE - RUTH'!K:K, 0), )</f>
        <v>CARAZ</v>
      </c>
      <c r="I19" s="239" t="str">
        <f t="array" ref="I19">INDEX('NORTE - RUTH'!I:I, MATCH(S19, 'NORTE - RUTH'!K:K, 0), )</f>
        <v>21/10/2025 - Sectoristas - Con fecha jueves 16 de octubre el pastor local señal que la radio y el canal se encuentran operativos</v>
      </c>
      <c r="J19" s="240">
        <f t="array" ref="J19">INDEX('NORTE - RUTH'!J:J, MATCH(S19, 'NORTE - RUTH'!K:K, 0), )</f>
        <v>0</v>
      </c>
      <c r="K19" s="241" t="str">
        <f t="array" ref="K19">INDEX('NORTE - RUTH'!K:K, MATCH(S19, 'NORTE - RUTH'!K:K, 0), )</f>
        <v>R - 18</v>
      </c>
      <c r="L19" s="242">
        <f t="array" ref="L19">INDEX('NORTE - RUTH'!L:L, MATCH(S19, 'NORTE - RUTH'!K:K, 0), )</f>
        <v>0</v>
      </c>
      <c r="M19" s="242">
        <f t="array" ref="M19">INDEX('NORTE - RUTH'!M:M, MATCH(S19, 'NORTE - RUTH'!K:K, 0), )</f>
        <v>0</v>
      </c>
      <c r="N19" s="241">
        <f t="array" ref="N19">INDEX('NORTE - RUTH'!N:N, MATCH(S19, 'NORTE - RUTH'!K:K, 0), )</f>
        <v>0</v>
      </c>
      <c r="O19" s="241">
        <f t="array" ref="O19">INDEX('NORTE - RUTH'!O:O, MATCH(S19, 'NORTE - RUTH'!K:K, 0), )</f>
        <v>0</v>
      </c>
      <c r="P19" s="236">
        <v>-9.0431944444444436</v>
      </c>
      <c r="Q19" s="236">
        <v>-77.788888888888891</v>
      </c>
      <c r="R19" s="243" t="s">
        <v>1282</v>
      </c>
      <c r="S19" s="246" t="s">
        <v>1283</v>
      </c>
      <c r="U19" s="245"/>
    </row>
    <row r="20" spans="1:21" ht="17.25" customHeight="1">
      <c r="A20" s="236">
        <v>19</v>
      </c>
      <c r="B20" s="237" t="str">
        <f t="array" ref="B20">INDEX('NORTE - RUTH'!B:B, MATCH(S20, 'NORTE - RUTH'!K:K, 0), )</f>
        <v>Casa Grande</v>
      </c>
      <c r="C20" s="156" t="str">
        <f t="array" ref="C20">INDEX('NORTE - RUTH'!C:C, MATCH(S20, 'NORTE - RUTH'!K:K, 0), )</f>
        <v>La Libertad</v>
      </c>
      <c r="D20" s="156" t="str">
        <f t="array" ref="D20">INDEX('NORTE - RUTH'!D:D, MATCH(S20, 'NORTE - RUTH'!K:K, 0), )</f>
        <v>FM</v>
      </c>
      <c r="E20" s="156">
        <f t="array" ref="E20">INDEX('NORTE - RUTH'!E:E, MATCH(S20, 'NORTE - RUTH'!K:K, 0), )</f>
        <v>90.7</v>
      </c>
      <c r="F20" s="156">
        <f t="array" ref="F20">INDEX('NORTE - RUTH'!F:F, MATCH(S20, 'NORTE - RUTH'!K:K, 0), )</f>
        <v>130</v>
      </c>
      <c r="G20" s="159" t="str">
        <f t="array" ref="G20">INDEX('NORTE - RUTH'!G:G, MATCH(S20, 'NORTE - RUTH'!K:K, 0), )</f>
        <v>A.A</v>
      </c>
      <c r="H20" s="238" t="str">
        <f t="array" ref="H20">INDEX('NORTE - RUTH'!H:H, MATCH(S20, 'NORTE - RUTH'!K:K, 0), )</f>
        <v>CASA GRANDE</v>
      </c>
      <c r="I20" s="239" t="str">
        <f t="array" ref="I20">INDEX('NORTE - RUTH'!I:I, MATCH(S20, 'NORTE - RUTH'!K:K, 0), )</f>
        <v>27/11/2025 - Sectoristas - Con fecha 25 de noviembre el pastor envía audio donde se verifica la operatividad de la radio</v>
      </c>
      <c r="J20" s="247">
        <f t="array" ref="J20">INDEX('NORTE - RUTH'!J:J, MATCH(S20, 'NORTE - RUTH'!K:K, 0), )</f>
        <v>0</v>
      </c>
      <c r="K20" s="241" t="str">
        <f t="array" ref="K20">INDEX('NORTE - RUTH'!K:K, MATCH(S20, 'NORTE - RUTH'!K:K, 0), )</f>
        <v>R - 19</v>
      </c>
      <c r="L20" s="242" t="str">
        <f t="array" ref="L20">INDEX('NORTE - RUTH'!L:L, MATCH(S20, 'NORTE - RUTH'!K:K, 0), )</f>
        <v>Sectoristas</v>
      </c>
      <c r="M20" s="242" t="str">
        <f t="array" ref="M20">INDEX('NORTE - RUTH'!M:M, MATCH(S20, 'NORTE - RUTH'!K:K, 0), )</f>
        <v>Nivel 1</v>
      </c>
      <c r="N20" s="241">
        <f t="array" ref="N20">INDEX('NORTE - RUTH'!N:N, MATCH(S20, 'NORTE - RUTH'!K:K, 0), )</f>
        <v>0</v>
      </c>
      <c r="O20" s="241">
        <f t="array" ref="O20">INDEX('NORTE - RUTH'!O:O, MATCH(S20, 'NORTE - RUTH'!K:K, 0), )</f>
        <v>0</v>
      </c>
      <c r="P20" s="236">
        <v>-7.7404722222222224</v>
      </c>
      <c r="Q20" s="236">
        <v>-79.192638888888894</v>
      </c>
      <c r="R20" s="243" t="s">
        <v>1284</v>
      </c>
      <c r="S20" s="246" t="s">
        <v>1285</v>
      </c>
      <c r="U20" s="245"/>
    </row>
    <row r="21" spans="1:21" ht="17.25" customHeight="1">
      <c r="A21" s="236">
        <v>20</v>
      </c>
      <c r="B21" s="237" t="str">
        <f t="array" ref="B21">INDEX('NORTE - RUTH'!B:B, MATCH(S21, 'NORTE - RUTH'!K:K, 0), )</f>
        <v>Casma</v>
      </c>
      <c r="C21" s="156" t="str">
        <f t="array" ref="C21">INDEX('NORTE - RUTH'!C:C, MATCH(S21, 'NORTE - RUTH'!K:K, 0), )</f>
        <v>Ancash</v>
      </c>
      <c r="D21" s="156" t="str">
        <f t="array" ref="D21">INDEX('NORTE - RUTH'!D:D, MATCH(S21, 'NORTE - RUTH'!K:K, 0), )</f>
        <v>FM</v>
      </c>
      <c r="E21" s="156">
        <f t="array" ref="E21">INDEX('NORTE - RUTH'!E:E, MATCH(S21, 'NORTE - RUTH'!K:K, 0), )</f>
        <v>101.7</v>
      </c>
      <c r="F21" s="156">
        <f t="array" ref="F21">INDEX('NORTE - RUTH'!F:F, MATCH(S21, 'NORTE - RUTH'!K:K, 0), )</f>
        <v>95</v>
      </c>
      <c r="G21" s="159" t="str">
        <f t="array" ref="G21">INDEX('NORTE - RUTH'!G:G, MATCH(S21, 'NORTE - RUTH'!K:K, 0), )</f>
        <v>A.A</v>
      </c>
      <c r="H21" s="238" t="str">
        <f t="array" ref="H21">INDEX('NORTE - RUTH'!H:H, MATCH(S21, 'NORTE - RUTH'!K:K, 0), )</f>
        <v>CASMA</v>
      </c>
      <c r="I21" s="239" t="str">
        <f t="array" ref="I21">INDEX('NORTE - RUTH'!I:I, MATCH(S21, 'NORTE - RUTH'!K:K, 0), )</f>
        <v>27/11/2025 - Sectoristas - El dia de hoy jueves 27 de noviembre el pastor local envía video evidenciando que la radio se encuentra con señal al aire.</v>
      </c>
      <c r="J21" s="240" t="str">
        <f t="array" ref="J21">INDEX('NORTE - RUTH'!J:J, MATCH(S21, 'NORTE - RUTH'!K:K, 0), )</f>
        <v>Homologacion transmisor nuevo</v>
      </c>
      <c r="K21" s="241" t="str">
        <f t="array" ref="K21">INDEX('NORTE - RUTH'!K:K, MATCH(S21, 'NORTE - RUTH'!K:K, 0), )</f>
        <v>R - 20</v>
      </c>
      <c r="L21" s="242" t="str">
        <f t="array" ref="L21">INDEX('NORTE - RUTH'!L:L, MATCH(S21, 'NORTE - RUTH'!K:K, 0), )</f>
        <v>Sectoristas</v>
      </c>
      <c r="M21" s="242" t="str">
        <f t="array" ref="M21">INDEX('NORTE - RUTH'!M:M, MATCH(S21, 'NORTE - RUTH'!K:K, 0), )</f>
        <v>Nivel 1</v>
      </c>
      <c r="N21" s="241">
        <f t="array" ref="N21">INDEX('NORTE - RUTH'!N:N, MATCH(S21, 'NORTE - RUTH'!K:K, 0), )</f>
        <v>0</v>
      </c>
      <c r="O21" s="241">
        <f t="array" ref="O21">INDEX('NORTE - RUTH'!O:O, MATCH(S21, 'NORTE - RUTH'!K:K, 0), )</f>
        <v>0</v>
      </c>
      <c r="P21" s="236">
        <v>-9.4802499999999998</v>
      </c>
      <c r="Q21" s="236">
        <v>-78.303222222222217</v>
      </c>
      <c r="R21" s="243" t="s">
        <v>1286</v>
      </c>
      <c r="S21" s="246" t="s">
        <v>1287</v>
      </c>
      <c r="U21" s="245"/>
    </row>
    <row r="22" spans="1:21" ht="17.25" customHeight="1">
      <c r="A22" s="236">
        <v>21</v>
      </c>
      <c r="B22" s="237" t="str">
        <f t="array" ref="B22">INDEX('NORTE - RUTH'!B:B, MATCH(S22, 'NORTE - RUTH'!K:K, 0), )</f>
        <v>Celendin</v>
      </c>
      <c r="C22" s="156" t="str">
        <f t="array" ref="C22">INDEX('NORTE - RUTH'!C:C, MATCH(S22, 'NORTE - RUTH'!K:K, 0), )</f>
        <v>Cajamarca</v>
      </c>
      <c r="D22" s="156" t="str">
        <f t="array" ref="D22">INDEX('NORTE - RUTH'!D:D, MATCH(S22, 'NORTE - RUTH'!K:K, 0), )</f>
        <v>VHF</v>
      </c>
      <c r="E22" s="156">
        <f t="array" ref="E22">INDEX('NORTE - RUTH'!E:E, MATCH(S22, 'NORTE - RUTH'!K:K, 0), )</f>
        <v>4</v>
      </c>
      <c r="F22" s="156">
        <f t="array" ref="F22">INDEX('NORTE - RUTH'!F:F, MATCH(S22, 'NORTE - RUTH'!K:K, 0), )</f>
        <v>26</v>
      </c>
      <c r="G22" s="159" t="str">
        <f t="array" ref="G22">INDEX('NORTE - RUTH'!G:G, MATCH(S22, 'NORTE - RUTH'!K:K, 0), )</f>
        <v>A.A</v>
      </c>
      <c r="H22" s="238" t="str">
        <f t="array" ref="H22">INDEX('NORTE - RUTH'!H:H, MATCH(S22, 'NORTE - RUTH'!K:K, 0), )</f>
        <v>CELENDIN</v>
      </c>
      <c r="I22" s="239" t="str">
        <f t="array" ref="I22">INDEX('NORTE - RUTH'!I:I, MATCH(S22, 'NORTE - RUTH'!K:K, 0), )</f>
        <v>10/10/2025 - Sectoristas - Con fecha 01 de octubre el pastor local señala que la radio y televisión se encuentran con señal al aire. Estuvieron operativos también en setiembre.</v>
      </c>
      <c r="J22" s="240">
        <f t="array" ref="J22">INDEX('NORTE - RUTH'!J:J, MATCH(S22, 'NORTE - RUTH'!K:K, 0), )</f>
        <v>0</v>
      </c>
      <c r="K22" s="241" t="str">
        <f t="array" ref="K22">INDEX('NORTE - RUTH'!K:K, MATCH(S22, 'NORTE - RUTH'!K:K, 0), )</f>
        <v>R - 21</v>
      </c>
      <c r="L22" s="242">
        <f t="array" ref="L22">INDEX('NORTE - RUTH'!L:L, MATCH(S22, 'NORTE - RUTH'!K:K, 0), )</f>
        <v>0</v>
      </c>
      <c r="M22" s="242">
        <f t="array" ref="M22">INDEX('NORTE - RUTH'!M:M, MATCH(S22, 'NORTE - RUTH'!K:K, 0), )</f>
        <v>0</v>
      </c>
      <c r="N22" s="241">
        <f t="array" ref="N22">INDEX('NORTE - RUTH'!N:N, MATCH(S22, 'NORTE - RUTH'!K:K, 0), )</f>
        <v>0</v>
      </c>
      <c r="O22" s="241">
        <f t="array" ref="O22">INDEX('NORTE - RUTH'!O:O, MATCH(S22, 'NORTE - RUTH'!K:K, 0), )</f>
        <v>0</v>
      </c>
      <c r="P22" s="236">
        <v>-6.8811944444444446</v>
      </c>
      <c r="Q22" s="236">
        <v>-78.111194444444436</v>
      </c>
      <c r="R22" s="243" t="s">
        <v>1288</v>
      </c>
      <c r="S22" s="246" t="s">
        <v>1289</v>
      </c>
      <c r="U22" s="245"/>
    </row>
    <row r="23" spans="1:21" ht="17.25" customHeight="1">
      <c r="A23" s="236">
        <v>22</v>
      </c>
      <c r="B23" s="237" t="str">
        <f t="array" ref="B23">INDEX('NORTE - RUTH'!B:B, MATCH(S23, 'NORTE - RUTH'!K:K, 0), )</f>
        <v>Celendin</v>
      </c>
      <c r="C23" s="156" t="str">
        <f t="array" ref="C23">INDEX('NORTE - RUTH'!C:C, MATCH(S23, 'NORTE - RUTH'!K:K, 0), )</f>
        <v>Cajamarca</v>
      </c>
      <c r="D23" s="156" t="str">
        <f t="array" ref="D23">INDEX('NORTE - RUTH'!D:D, MATCH(S23, 'NORTE - RUTH'!K:K, 0), )</f>
        <v>FM</v>
      </c>
      <c r="E23" s="156">
        <f t="array" ref="E23">INDEX('NORTE - RUTH'!E:E, MATCH(S23, 'NORTE - RUTH'!K:K, 0), )</f>
        <v>94.9</v>
      </c>
      <c r="F23" s="156">
        <f t="array" ref="F23">INDEX('NORTE - RUTH'!F:F, MATCH(S23, 'NORTE - RUTH'!K:K, 0), )</f>
        <v>26</v>
      </c>
      <c r="G23" s="159" t="str">
        <f t="array" ref="G23">INDEX('NORTE - RUTH'!G:G, MATCH(S23, 'NORTE - RUTH'!K:K, 0), )</f>
        <v>A.A</v>
      </c>
      <c r="H23" s="238" t="str">
        <f t="array" ref="H23">INDEX('NORTE - RUTH'!H:H, MATCH(S23, 'NORTE - RUTH'!K:K, 0), )</f>
        <v>CELENDIN</v>
      </c>
      <c r="I23" s="239" t="str">
        <f t="array" ref="I23">INDEX('NORTE - RUTH'!I:I, MATCH(S23, 'NORTE - RUTH'!K:K, 0), )</f>
        <v>10/10/2025 - Sectoristas - Con fecha 01 de octubre el pastor local señala que la radio y televisión se encuentran con señal al aire. Estuvieron operativos también en setiembre.</v>
      </c>
      <c r="J23" s="240">
        <f t="array" ref="J23">INDEX('NORTE - RUTH'!J:J, MATCH(S23, 'NORTE - RUTH'!K:K, 0), )</f>
        <v>0</v>
      </c>
      <c r="K23" s="241" t="str">
        <f t="array" ref="K23">INDEX('NORTE - RUTH'!K:K, MATCH(S23, 'NORTE - RUTH'!K:K, 0), )</f>
        <v>R - 22</v>
      </c>
      <c r="L23" s="242">
        <f t="array" ref="L23">INDEX('NORTE - RUTH'!L:L, MATCH(S23, 'NORTE - RUTH'!K:K, 0), )</f>
        <v>0</v>
      </c>
      <c r="M23" s="242">
        <f t="array" ref="M23">INDEX('NORTE - RUTH'!M:M, MATCH(S23, 'NORTE - RUTH'!K:K, 0), )</f>
        <v>0</v>
      </c>
      <c r="N23" s="241">
        <f t="array" ref="N23">INDEX('NORTE - RUTH'!N:N, MATCH(S23, 'NORTE - RUTH'!K:K, 0), )</f>
        <v>0</v>
      </c>
      <c r="O23" s="241">
        <f t="array" ref="O23">INDEX('NORTE - RUTH'!O:O, MATCH(S23, 'NORTE - RUTH'!K:K, 0), )</f>
        <v>0</v>
      </c>
      <c r="P23" s="236">
        <v>-6.8833888888888888</v>
      </c>
      <c r="Q23" s="236">
        <v>-78.115027777777769</v>
      </c>
      <c r="R23" s="243" t="s">
        <v>1290</v>
      </c>
      <c r="S23" s="246" t="s">
        <v>1291</v>
      </c>
      <c r="U23" s="245"/>
    </row>
    <row r="24" spans="1:21" ht="17.25" customHeight="1">
      <c r="A24" s="236">
        <v>23</v>
      </c>
      <c r="B24" s="237" t="str">
        <f t="array" ref="B24">INDEX('NORTE - RUTH'!B:B, MATCH(S24, 'NORTE - RUTH'!K:K, 0), )</f>
        <v>Chacas</v>
      </c>
      <c r="C24" s="156" t="str">
        <f t="array" ref="C24">INDEX('NORTE - RUTH'!C:C, MATCH(S24, 'NORTE - RUTH'!K:K, 0), )</f>
        <v>Ancash</v>
      </c>
      <c r="D24" s="156" t="str">
        <f t="array" ref="D24">INDEX('NORTE - RUTH'!D:D, MATCH(S24, 'NORTE - RUTH'!K:K, 0), )</f>
        <v>FM</v>
      </c>
      <c r="E24" s="156" t="str">
        <f t="array" ref="E24">INDEX('NORTE - RUTH'!E:E, MATCH(S24, 'NORTE - RUTH'!K:K, 0), )</f>
        <v>93.7</v>
      </c>
      <c r="F24" s="156">
        <f t="array" ref="F24">INDEX('NORTE - RUTH'!F:F, MATCH(S24, 'NORTE - RUTH'!K:K, 0), )</f>
        <v>152</v>
      </c>
      <c r="G24" s="159" t="str">
        <f t="array" ref="G24">INDEX('NORTE - RUTH'!G:G, MATCH(S24, 'NORTE - RUTH'!K:K, 0), )</f>
        <v>A.A</v>
      </c>
      <c r="H24" s="238" t="str">
        <f t="array" ref="H24">INDEX('NORTE - RUTH'!H:H, MATCH(S24, 'NORTE - RUTH'!K:K, 0), )</f>
        <v>CHACAS</v>
      </c>
      <c r="I24" s="239" t="str">
        <f t="array" ref="I24">INDEX('NORTE - RUTH'!I:I, MATCH(S24, 'NORTE - RUTH'!K:K, 0), )</f>
        <v>27/11/2025 - Sectoristas - Con fecha de hoy 27 de noviembre el pastor local envia video evidenciando la operatividad de la radio</v>
      </c>
      <c r="J24" s="240">
        <f t="array" ref="J24">INDEX('NORTE - RUTH'!J:J, MATCH(S24, 'NORTE - RUTH'!K:K, 0), )</f>
        <v>0</v>
      </c>
      <c r="K24" s="241" t="str">
        <f t="array" ref="K24">INDEX('NORTE - RUTH'!K:K, MATCH(S24, 'NORTE - RUTH'!K:K, 0), )</f>
        <v>R - 23</v>
      </c>
      <c r="L24" s="242" t="str">
        <f t="array" ref="L24">INDEX('NORTE - RUTH'!L:L, MATCH(S24, 'NORTE - RUTH'!K:K, 0), )</f>
        <v>Sectoristas</v>
      </c>
      <c r="M24" s="242" t="str">
        <f t="array" ref="M24">INDEX('NORTE - RUTH'!M:M, MATCH(S24, 'NORTE - RUTH'!K:K, 0), )</f>
        <v>Nivel 1</v>
      </c>
      <c r="N24" s="241">
        <f t="array" ref="N24">INDEX('NORTE - RUTH'!N:N, MATCH(S24, 'NORTE - RUTH'!K:K, 0), )</f>
        <v>0</v>
      </c>
      <c r="O24" s="241">
        <f t="array" ref="O24">INDEX('NORTE - RUTH'!O:O, MATCH(S24, 'NORTE - RUTH'!K:K, 0), )</f>
        <v>0</v>
      </c>
      <c r="P24" s="236">
        <v>-9.1629722222222227</v>
      </c>
      <c r="Q24" s="236">
        <v>-77.380277777777778</v>
      </c>
      <c r="R24" s="243" t="s">
        <v>1292</v>
      </c>
      <c r="S24" s="246" t="s">
        <v>1293</v>
      </c>
      <c r="U24" s="245"/>
    </row>
    <row r="25" spans="1:21" ht="17.25" customHeight="1">
      <c r="A25" s="236">
        <v>24</v>
      </c>
      <c r="B25" s="237" t="str">
        <f t="array" ref="B25">INDEX('NORTE - RUTH'!B:B, MATCH(S25, 'NORTE - RUTH'!K:K, 0), )</f>
        <v>Chachapoyas</v>
      </c>
      <c r="C25" s="156" t="str">
        <f t="array" ref="C25">INDEX('NORTE - RUTH'!C:C, MATCH(S25, 'NORTE - RUTH'!K:K, 0), )</f>
        <v>Amazonas</v>
      </c>
      <c r="D25" s="156" t="str">
        <f t="array" ref="D25">INDEX('NORTE - RUTH'!D:D, MATCH(S25, 'NORTE - RUTH'!K:K, 0), )</f>
        <v>FM</v>
      </c>
      <c r="E25" s="156">
        <f t="array" ref="E25">INDEX('NORTE - RUTH'!E:E, MATCH(S25, 'NORTE - RUTH'!K:K, 0), )</f>
        <v>94.3</v>
      </c>
      <c r="F25" s="156">
        <f t="array" ref="F25">INDEX('NORTE - RUTH'!F:F, MATCH(S25, 'NORTE - RUTH'!K:K, 0), )</f>
        <v>33</v>
      </c>
      <c r="G25" s="159" t="str">
        <f t="array" ref="G25">INDEX('NORTE - RUTH'!G:G, MATCH(S25, 'NORTE - RUTH'!K:K, 0), )</f>
        <v>A.A</v>
      </c>
      <c r="H25" s="238" t="str">
        <f t="array" ref="H25">INDEX('NORTE - RUTH'!H:H, MATCH(S25, 'NORTE - RUTH'!K:K, 0), )</f>
        <v>CHACHAPOYAS</v>
      </c>
      <c r="I25" s="239" t="str">
        <f t="array" ref="I25">INDEX('NORTE - RUTH'!I:I, MATCH(S25, 'NORTE - RUTH'!K:K, 0), )</f>
        <v>31/10/2025 - Sectoristas - Con fecha 29 de octubre se solicita al pastor Rolando que confirme operatividad, que envíe un audio para verificar si sale señal de la radio y se le consulta si desactivo el timer, señalando que esta operando como se le solicito</v>
      </c>
      <c r="J25" s="240">
        <f t="array" ref="J25">INDEX('NORTE - RUTH'!J:J, MATCH(S25, 'NORTE - RUTH'!K:K, 0), )</f>
        <v>0</v>
      </c>
      <c r="K25" s="241" t="str">
        <f t="array" ref="K25">INDEX('NORTE - RUTH'!K:K, MATCH(S25, 'NORTE - RUTH'!K:K, 0), )</f>
        <v>R - 24</v>
      </c>
      <c r="L25" s="242">
        <f t="array" ref="L25">INDEX('NORTE - RUTH'!L:L, MATCH(S25, 'NORTE - RUTH'!K:K, 0), )</f>
        <v>0</v>
      </c>
      <c r="M25" s="242">
        <f t="array" ref="M25">INDEX('NORTE - RUTH'!M:M, MATCH(S25, 'NORTE - RUTH'!K:K, 0), )</f>
        <v>0</v>
      </c>
      <c r="N25" s="241">
        <f t="array" ref="N25">INDEX('NORTE - RUTH'!N:N, MATCH(S25, 'NORTE - RUTH'!K:K, 0), )</f>
        <v>0</v>
      </c>
      <c r="O25" s="241">
        <f t="array" ref="O25">INDEX('NORTE - RUTH'!O:O, MATCH(S25, 'NORTE - RUTH'!K:K, 0), )</f>
        <v>0</v>
      </c>
      <c r="P25" s="236">
        <v>-6.2102222222222228</v>
      </c>
      <c r="Q25" s="236">
        <v>-77.872722222222222</v>
      </c>
      <c r="R25" s="243" t="s">
        <v>1294</v>
      </c>
      <c r="S25" s="246" t="s">
        <v>1295</v>
      </c>
      <c r="U25" s="245"/>
    </row>
    <row r="26" spans="1:21" ht="17.25" customHeight="1">
      <c r="A26" s="236">
        <v>25</v>
      </c>
      <c r="B26" s="237" t="str">
        <f t="array" ref="B26">INDEX('NORTE - RUTH'!B:B, MATCH(S26, 'NORTE - RUTH'!K:K, 0), )</f>
        <v>Chalaco</v>
      </c>
      <c r="C26" s="156" t="str">
        <f t="array" ref="C26">INDEX('NORTE - RUTH'!C:C, MATCH(S26, 'NORTE - RUTH'!K:K, 0), )</f>
        <v>Piura</v>
      </c>
      <c r="D26" s="156" t="str">
        <f t="array" ref="D26">INDEX('NORTE - RUTH'!D:D, MATCH(S26, 'NORTE - RUTH'!K:K, 0), )</f>
        <v>FM</v>
      </c>
      <c r="E26" s="156">
        <f t="array" ref="E26">INDEX('NORTE - RUTH'!E:E, MATCH(S26, 'NORTE - RUTH'!K:K, 0), )</f>
        <v>99.9</v>
      </c>
      <c r="F26" s="156">
        <f t="array" ref="F26">INDEX('NORTE - RUTH'!F:F, MATCH(S26, 'NORTE - RUTH'!K:K, 0), )</f>
        <v>142</v>
      </c>
      <c r="G26" s="159" t="str">
        <f t="array" ref="G26">INDEX('NORTE - RUTH'!G:G, MATCH(S26, 'NORTE - RUTH'!K:K, 0), )</f>
        <v>A.A</v>
      </c>
      <c r="H26" s="238" t="str">
        <f t="array" ref="H26">INDEX('NORTE - RUTH'!H:H, MATCH(S26, 'NORTE - RUTH'!K:K, 0), )</f>
        <v>CHALACO</v>
      </c>
      <c r="I26" s="239" t="str">
        <f t="array" ref="I26">INDEX('NORTE - RUTH'!I:I, MATCH(S26, 'NORTE - RUTH'!K:K, 0), )</f>
        <v>20/11/2025 - Ingeniería - Con el apoyo local de un hermano de la zona, se logró poner nuevamente operativa la estación en el Caserío Lanche, ubicación autorizada.</v>
      </c>
      <c r="J26" s="240">
        <f t="array" ref="J26">INDEX('NORTE - RUTH'!J:J, MATCH(S26, 'NORTE - RUTH'!K:K, 0), )</f>
        <v>0</v>
      </c>
      <c r="K26" s="241" t="str">
        <f t="array" ref="K26">INDEX('NORTE - RUTH'!K:K, MATCH(S26, 'NORTE - RUTH'!K:K, 0), )</f>
        <v>R - 25</v>
      </c>
      <c r="L26" s="242">
        <f t="array" ref="L26">INDEX('NORTE - RUTH'!L:L, MATCH(S26, 'NORTE - RUTH'!K:K, 0), )</f>
        <v>0</v>
      </c>
      <c r="M26" s="242">
        <f t="array" ref="M26">INDEX('NORTE - RUTH'!M:M, MATCH(S26, 'NORTE - RUTH'!K:K, 0), )</f>
        <v>0</v>
      </c>
      <c r="N26" s="241">
        <f t="array" ref="N26">INDEX('NORTE - RUTH'!N:N, MATCH(S26, 'NORTE - RUTH'!K:K, 0), )</f>
        <v>0</v>
      </c>
      <c r="O26" s="241">
        <f t="array" ref="O26">INDEX('NORTE - RUTH'!O:O, MATCH(S26, 'NORTE - RUTH'!K:K, 0), )</f>
        <v>0</v>
      </c>
      <c r="P26" s="236">
        <v>-5.0392916666666663</v>
      </c>
      <c r="Q26" s="236">
        <v>-79.79258055555556</v>
      </c>
      <c r="R26" s="243" t="s">
        <v>1296</v>
      </c>
      <c r="S26" s="246" t="s">
        <v>1297</v>
      </c>
      <c r="U26" s="245"/>
    </row>
    <row r="27" spans="1:21" ht="17.25" customHeight="1">
      <c r="A27" s="236">
        <v>26</v>
      </c>
      <c r="B27" s="237" t="str">
        <f t="array" ref="B27">INDEX('NORTE - RUTH'!B:B, MATCH(S27, 'NORTE - RUTH'!K:K, 0), )</f>
        <v>Chavin de Huantar</v>
      </c>
      <c r="C27" s="156" t="str">
        <f t="array" ref="C27">INDEX('NORTE - RUTH'!C:C, MATCH(S27, 'NORTE - RUTH'!K:K, 0), )</f>
        <v>Ancash</v>
      </c>
      <c r="D27" s="156" t="str">
        <f t="array" ref="D27">INDEX('NORTE - RUTH'!D:D, MATCH(S27, 'NORTE - RUTH'!K:K, 0), )</f>
        <v>FM</v>
      </c>
      <c r="E27" s="156">
        <f t="array" ref="E27">INDEX('NORTE - RUTH'!E:E, MATCH(S27, 'NORTE - RUTH'!K:K, 0), )</f>
        <v>104.9</v>
      </c>
      <c r="F27" s="156">
        <f t="array" ref="F27">INDEX('NORTE - RUTH'!F:F, MATCH(S27, 'NORTE - RUTH'!K:K, 0), )</f>
        <v>59</v>
      </c>
      <c r="G27" s="159" t="str">
        <f t="array" ref="G27">INDEX('NORTE - RUTH'!G:G, MATCH(S27, 'NORTE - RUTH'!K:K, 0), )</f>
        <v>A.A</v>
      </c>
      <c r="H27" s="238" t="str">
        <f t="array" ref="H27">INDEX('NORTE - RUTH'!H:H, MATCH(S27, 'NORTE - RUTH'!K:K, 0), )</f>
        <v>CHAVIN DE HUANTAR</v>
      </c>
      <c r="I27" s="239" t="str">
        <f t="array" ref="I27">INDEX('NORTE - RUTH'!I:I, MATCH(S27, 'NORTE - RUTH'!K:K, 0), )</f>
        <v>3/12/2025 - Ingeniería - Tras la visita técnica del hno. Manuel Espinoza a la estación, se puso nuevamente al aire.</v>
      </c>
      <c r="J27" s="240">
        <f t="array" ref="J27">INDEX('NORTE - RUTH'!J:J, MATCH(S27, 'NORTE - RUTH'!K:K, 0), )</f>
        <v>0</v>
      </c>
      <c r="K27" s="241" t="str">
        <f t="array" ref="K27">INDEX('NORTE - RUTH'!K:K, MATCH(S27, 'NORTE - RUTH'!K:K, 0), )</f>
        <v>R - 26</v>
      </c>
      <c r="L27" s="242" t="str">
        <f t="array" ref="L27">INDEX('NORTE - RUTH'!L:L, MATCH(S27, 'NORTE - RUTH'!K:K, 0), )</f>
        <v>Sectoristas</v>
      </c>
      <c r="M27" s="242" t="str">
        <f t="array" ref="M27">INDEX('NORTE - RUTH'!M:M, MATCH(S27, 'NORTE - RUTH'!K:K, 0), )</f>
        <v>Nivel 1</v>
      </c>
      <c r="N27" s="241">
        <f t="array" ref="N27">INDEX('NORTE - RUTH'!N:N, MATCH(S27, 'NORTE - RUTH'!K:K, 0), )</f>
        <v>0</v>
      </c>
      <c r="O27" s="241">
        <f t="array" ref="O27">INDEX('NORTE - RUTH'!O:O, MATCH(S27, 'NORTE - RUTH'!K:K, 0), )</f>
        <v>0</v>
      </c>
      <c r="P27" s="236">
        <v>-9.5719444444444441</v>
      </c>
      <c r="Q27" s="236">
        <v>-77.179944444444445</v>
      </c>
      <c r="R27" s="243" t="s">
        <v>1298</v>
      </c>
      <c r="S27" s="246" t="s">
        <v>1299</v>
      </c>
      <c r="U27" s="245"/>
    </row>
    <row r="28" spans="1:21" ht="17.25" customHeight="1">
      <c r="A28" s="236">
        <v>27</v>
      </c>
      <c r="B28" s="237" t="str">
        <f t="array" ref="B28">INDEX('NORTE - RUTH'!B:B, MATCH(S28, 'NORTE - RUTH'!K:K, 0), )</f>
        <v>Chazuta</v>
      </c>
      <c r="C28" s="156" t="str">
        <f t="array" ref="C28">INDEX('NORTE - RUTH'!C:C, MATCH(S28, 'NORTE - RUTH'!K:K, 0), )</f>
        <v>San Martin</v>
      </c>
      <c r="D28" s="156" t="str">
        <f t="array" ref="D28">INDEX('NORTE - RUTH'!D:D, MATCH(S28, 'NORTE - RUTH'!K:K, 0), )</f>
        <v>FM</v>
      </c>
      <c r="E28" s="156">
        <f t="array" ref="E28">INDEX('NORTE - RUTH'!E:E, MATCH(S28, 'NORTE - RUTH'!K:K, 0), )</f>
        <v>101.9</v>
      </c>
      <c r="F28" s="156">
        <f t="array" ref="F28">INDEX('NORTE - RUTH'!F:F, MATCH(S28, 'NORTE - RUTH'!K:K, 0), )</f>
        <v>35</v>
      </c>
      <c r="G28" s="159" t="str">
        <f t="array" ref="G28">INDEX('NORTE - RUTH'!G:G, MATCH(S28, 'NORTE - RUTH'!K:K, 0), )</f>
        <v>F.A</v>
      </c>
      <c r="H28" s="238" t="str">
        <f t="array" ref="H28">INDEX('NORTE - RUTH'!H:H, MATCH(S28, 'NORTE - RUTH'!K:K, 0), )</f>
        <v>CHAZUTA</v>
      </c>
      <c r="I28" s="239" t="str">
        <f t="array" ref="I28">INDEX('NORTE - RUTH'!I:I, MATCH(S28, 'NORTE - RUTH'!K:K, 0), )</f>
        <v>4/12/2025 - Sectoristas - Con fecha de ayer 03 de diciembre el pastor Caleb envía coordenadas de la nueva ubicación, falta documentos para verificar dirección.</v>
      </c>
      <c r="J28" s="240" t="str">
        <f t="array" ref="J28">INDEX('NORTE - RUTH'!J:J, MATCH(S28, 'NORTE - RUTH'!K:K, 0), )</f>
        <v>Ubicacion de planta</v>
      </c>
      <c r="K28" s="241" t="str">
        <f t="array" ref="K28">INDEX('NORTE - RUTH'!K:K, MATCH(S28, 'NORTE - RUTH'!K:K, 0), )</f>
        <v>R - 27</v>
      </c>
      <c r="L28" s="242" t="str">
        <f t="array" ref="L28">INDEX('NORTE - RUTH'!L:L, MATCH(S28, 'NORTE - RUTH'!K:K, 0), )</f>
        <v>Sectoristas</v>
      </c>
      <c r="M28" s="242" t="str">
        <f t="array" ref="M28">INDEX('NORTE - RUTH'!M:M, MATCH(S28, 'NORTE - RUTH'!K:K, 0), )</f>
        <v>Nivel 1</v>
      </c>
      <c r="N28" s="241">
        <f t="array" ref="N28">INDEX('NORTE - RUTH'!N:N, MATCH(S28, 'NORTE - RUTH'!K:K, 0), )</f>
        <v>0</v>
      </c>
      <c r="O28" s="241">
        <f t="array" ref="O28">INDEX('NORTE - RUTH'!O:O, MATCH(S28, 'NORTE - RUTH'!K:K, 0), )</f>
        <v>0</v>
      </c>
      <c r="P28" s="236">
        <v>-6.5759499999999997</v>
      </c>
      <c r="Q28" s="236">
        <v>-76.139866666666677</v>
      </c>
      <c r="R28" s="243" t="s">
        <v>1300</v>
      </c>
      <c r="S28" s="246" t="s">
        <v>1184</v>
      </c>
      <c r="U28" s="245"/>
    </row>
    <row r="29" spans="1:21" ht="17.25" customHeight="1">
      <c r="A29" s="236">
        <v>28</v>
      </c>
      <c r="B29" s="237" t="str">
        <f t="array" ref="B29">INDEX('NORTE - RUTH'!B:B, MATCH(S29, 'NORTE - RUTH'!K:K, 0), )</f>
        <v>Chepén</v>
      </c>
      <c r="C29" s="156" t="str">
        <f t="array" ref="C29">INDEX('NORTE - RUTH'!C:C, MATCH(S29, 'NORTE - RUTH'!K:K, 0), )</f>
        <v>La Libertad</v>
      </c>
      <c r="D29" s="156" t="str">
        <f t="array" ref="D29">INDEX('NORTE - RUTH'!D:D, MATCH(S29, 'NORTE - RUTH'!K:K, 0), )</f>
        <v>FM</v>
      </c>
      <c r="E29" s="156">
        <f t="array" ref="E29">INDEX('NORTE - RUTH'!E:E, MATCH(S29, 'NORTE - RUTH'!K:K, 0), )</f>
        <v>90.5</v>
      </c>
      <c r="F29" s="156">
        <f t="array" ref="F29">INDEX('NORTE - RUTH'!F:F, MATCH(S29, 'NORTE - RUTH'!K:K, 0), )</f>
        <v>54</v>
      </c>
      <c r="G29" s="159" t="str">
        <f t="array" ref="G29">INDEX('NORTE - RUTH'!G:G, MATCH(S29, 'NORTE - RUTH'!K:K, 0), )</f>
        <v>A.A</v>
      </c>
      <c r="H29" s="238" t="str">
        <f t="array" ref="H29">INDEX('NORTE - RUTH'!H:H, MATCH(S29, 'NORTE - RUTH'!K:K, 0), )</f>
        <v>CHEPEN</v>
      </c>
      <c r="I29" s="239" t="str">
        <f t="array" ref="I29">INDEX('NORTE - RUTH'!I:I, MATCH(S29, 'NORTE - RUTH'!K:K, 0), )</f>
        <v>4/12/2025 - Sectoristas - Con fecha de hoy 04 de diciembre el hno Walter envía videos para evidenciar la señal de radio y televisión</v>
      </c>
      <c r="J29" s="240">
        <f t="array" ref="J29">INDEX('NORTE - RUTH'!J:J, MATCH(S29, 'NORTE - RUTH'!K:K, 0), )</f>
        <v>0</v>
      </c>
      <c r="K29" s="241" t="str">
        <f t="array" ref="K29">INDEX('NORTE - RUTH'!K:K, MATCH(S29, 'NORTE - RUTH'!K:K, 0), )</f>
        <v>R - 28</v>
      </c>
      <c r="L29" s="242" t="str">
        <f t="array" ref="L29">INDEX('NORTE - RUTH'!L:L, MATCH(S29, 'NORTE - RUTH'!K:K, 0), )</f>
        <v>Sectoristas</v>
      </c>
      <c r="M29" s="242" t="str">
        <f t="array" ref="M29">INDEX('NORTE - RUTH'!M:M, MATCH(S29, 'NORTE - RUTH'!K:K, 0), )</f>
        <v>Nivel 1</v>
      </c>
      <c r="N29" s="241">
        <f t="array" ref="N29">INDEX('NORTE - RUTH'!N:N, MATCH(S29, 'NORTE - RUTH'!K:K, 0), )</f>
        <v>0</v>
      </c>
      <c r="O29" s="241">
        <f t="array" ref="O29">INDEX('NORTE - RUTH'!O:O, MATCH(S29, 'NORTE - RUTH'!K:K, 0), )</f>
        <v>0</v>
      </c>
      <c r="P29" s="236">
        <v>-7.2334111111111108</v>
      </c>
      <c r="Q29" s="236">
        <v>-79.468836111111116</v>
      </c>
      <c r="R29" s="243" t="s">
        <v>1301</v>
      </c>
      <c r="S29" s="246" t="s">
        <v>1302</v>
      </c>
      <c r="U29" s="245"/>
    </row>
    <row r="30" spans="1:21" ht="17.25" customHeight="1">
      <c r="A30" s="236">
        <v>29</v>
      </c>
      <c r="B30" s="237" t="str">
        <f t="array" ref="B30">INDEX('NORTE - RUTH'!B:B, MATCH(S30, 'NORTE - RUTH'!K:K, 0), )</f>
        <v>Chepén</v>
      </c>
      <c r="C30" s="156" t="str">
        <f t="array" ref="C30">INDEX('NORTE - RUTH'!C:C, MATCH(S30, 'NORTE - RUTH'!K:K, 0), )</f>
        <v>La Libertad</v>
      </c>
      <c r="D30" s="156" t="str">
        <f t="array" ref="D30">INDEX('NORTE - RUTH'!D:D, MATCH(S30, 'NORTE - RUTH'!K:K, 0), )</f>
        <v>VHF</v>
      </c>
      <c r="E30" s="156">
        <f t="array" ref="E30">INDEX('NORTE - RUTH'!E:E, MATCH(S30, 'NORTE - RUTH'!K:K, 0), )</f>
        <v>4</v>
      </c>
      <c r="F30" s="156">
        <f t="array" ref="F30">INDEX('NORTE - RUTH'!F:F, MATCH(S30, 'NORTE - RUTH'!K:K, 0), )</f>
        <v>54</v>
      </c>
      <c r="G30" s="159" t="str">
        <f t="array" ref="G30">INDEX('NORTE - RUTH'!G:G, MATCH(S30, 'NORTE - RUTH'!K:K, 0), )</f>
        <v>A.A</v>
      </c>
      <c r="H30" s="238" t="str">
        <f t="array" ref="H30">INDEX('NORTE - RUTH'!H:H, MATCH(S30, 'NORTE - RUTH'!K:K, 0), )</f>
        <v>CHEPÉN</v>
      </c>
      <c r="I30" s="239" t="str">
        <f t="array" ref="I30">INDEX('NORTE - RUTH'!I:I, MATCH(S30, 'NORTE - RUTH'!K:K, 0), )</f>
        <v>4/12/2025 - Sectoristas - Con fecha de hoy 04 de diciembre el hno Walter envía videos para evidenciar la señal de radio y televisión</v>
      </c>
      <c r="J30" s="240">
        <f t="array" ref="J30">INDEX('NORTE - RUTH'!J:J, MATCH(S30, 'NORTE - RUTH'!K:K, 0), )</f>
        <v>0</v>
      </c>
      <c r="K30" s="241" t="str">
        <f t="array" ref="K30">INDEX('NORTE - RUTH'!K:K, MATCH(S30, 'NORTE - RUTH'!K:K, 0), )</f>
        <v>R - 29</v>
      </c>
      <c r="L30" s="242" t="str">
        <f t="array" ref="L30">INDEX('NORTE - RUTH'!L:L, MATCH(S30, 'NORTE - RUTH'!K:K, 0), )</f>
        <v>Sectoristas</v>
      </c>
      <c r="M30" s="242" t="str">
        <f t="array" ref="M30">INDEX('NORTE - RUTH'!M:M, MATCH(S30, 'NORTE - RUTH'!K:K, 0), )</f>
        <v>Nivel 1</v>
      </c>
      <c r="N30" s="241">
        <f t="array" ref="N30">INDEX('NORTE - RUTH'!N:N, MATCH(S30, 'NORTE - RUTH'!K:K, 0), )</f>
        <v>0</v>
      </c>
      <c r="O30" s="241">
        <f t="array" ref="O30">INDEX('NORTE - RUTH'!O:O, MATCH(S30, 'NORTE - RUTH'!K:K, 0), )</f>
        <v>0</v>
      </c>
      <c r="P30" s="236">
        <v>-7.2334111111111108</v>
      </c>
      <c r="Q30" s="236">
        <v>-79.468836111111116</v>
      </c>
      <c r="R30" s="243" t="s">
        <v>1301</v>
      </c>
      <c r="S30" s="246" t="s">
        <v>1303</v>
      </c>
      <c r="U30" s="245"/>
    </row>
    <row r="31" spans="1:21" ht="17.25" customHeight="1">
      <c r="A31" s="236">
        <v>30</v>
      </c>
      <c r="B31" s="237" t="str">
        <f t="array" ref="B31">INDEX('NORTE - RUTH'!B:B, MATCH(S31, 'NORTE - RUTH'!K:K, 0), )</f>
        <v>Chiclayo</v>
      </c>
      <c r="C31" s="156" t="str">
        <f t="array" ref="C31">INDEX('NORTE - RUTH'!C:C, MATCH(S31, 'NORTE - RUTH'!K:K, 0), )</f>
        <v>Lambayeque</v>
      </c>
      <c r="D31" s="156" t="str">
        <f t="array" ref="D31">INDEX('NORTE - RUTH'!D:D, MATCH(S31, 'NORTE - RUTH'!K:K, 0), )</f>
        <v>UHF</v>
      </c>
      <c r="E31" s="156">
        <f t="array" ref="E31">INDEX('NORTE - RUTH'!E:E, MATCH(S31, 'NORTE - RUTH'!K:K, 0), )</f>
        <v>43</v>
      </c>
      <c r="F31" s="156">
        <f t="array" ref="F31">INDEX('NORTE - RUTH'!F:F, MATCH(S31, 'NORTE - RUTH'!K:K, 0), )</f>
        <v>4</v>
      </c>
      <c r="G31" s="159" t="str">
        <f t="array" ref="G31">INDEX('NORTE - RUTH'!G:G, MATCH(S31, 'NORTE - RUTH'!K:K, 0), )</f>
        <v>A.A</v>
      </c>
      <c r="H31" s="238" t="str">
        <f t="array" ref="H31">INDEX('NORTE - RUTH'!H:H, MATCH(S31, 'NORTE - RUTH'!K:K, 0), )</f>
        <v>CHICLAYO</v>
      </c>
      <c r="I31" s="239" t="str">
        <f t="array" ref="I31">INDEX('NORTE - RUTH'!I:I, MATCH(S31, 'NORTE - RUTH'!K:K, 0), )</f>
        <v>27/11/2025 - Sectoristas - El dia de ayer 26 de noviembre el pastor Vilcarima señalo que las dos frecuencias de radio y el canal se encuentran operativos, no se le solicito video.</v>
      </c>
      <c r="J31" s="247">
        <f t="array" ref="J31">INDEX('NORTE - RUTH'!J:J, MATCH(S31, 'NORTE - RUTH'!K:K, 0), )</f>
        <v>0</v>
      </c>
      <c r="K31" s="241" t="str">
        <f t="array" ref="K31">INDEX('NORTE - RUTH'!K:K, MATCH(S31, 'NORTE - RUTH'!K:K, 0), )</f>
        <v>R - 30</v>
      </c>
      <c r="L31" s="242" t="str">
        <f t="array" ref="L31">INDEX('NORTE - RUTH'!L:L, MATCH(S31, 'NORTE - RUTH'!K:K, 0), )</f>
        <v>Sectoristas</v>
      </c>
      <c r="M31" s="242" t="str">
        <f t="array" ref="M31">INDEX('NORTE - RUTH'!M:M, MATCH(S31, 'NORTE - RUTH'!K:K, 0), )</f>
        <v>Nivel 1</v>
      </c>
      <c r="N31" s="241">
        <f t="array" ref="N31">INDEX('NORTE - RUTH'!N:N, MATCH(S31, 'NORTE - RUTH'!K:K, 0), )</f>
        <v>0</v>
      </c>
      <c r="O31" s="241">
        <f t="array" ref="O31">INDEX('NORTE - RUTH'!O:O, MATCH(S31, 'NORTE - RUTH'!K:K, 0), )</f>
        <v>0</v>
      </c>
      <c r="P31" s="236">
        <v>-6.7836388888888886</v>
      </c>
      <c r="Q31" s="236">
        <v>-79.872944444444443</v>
      </c>
      <c r="R31" s="243" t="s">
        <v>1304</v>
      </c>
      <c r="S31" s="246" t="s">
        <v>1305</v>
      </c>
      <c r="U31" s="245"/>
    </row>
    <row r="32" spans="1:21" ht="17.25" customHeight="1">
      <c r="A32" s="236">
        <v>31</v>
      </c>
      <c r="B32" s="237" t="str">
        <f t="array" ref="B32">INDEX('NORTE - RUTH'!B:B, MATCH(S32, 'NORTE - RUTH'!K:K, 0), )</f>
        <v xml:space="preserve">Chiclayo </v>
      </c>
      <c r="C32" s="156" t="str">
        <f t="array" ref="C32">INDEX('NORTE - RUTH'!C:C, MATCH(S32, 'NORTE - RUTH'!K:K, 0), )</f>
        <v>Lambayeque</v>
      </c>
      <c r="D32" s="156" t="str">
        <f t="array" ref="D32">INDEX('NORTE - RUTH'!D:D, MATCH(S32, 'NORTE - RUTH'!K:K, 0), )</f>
        <v>FM</v>
      </c>
      <c r="E32" s="156" t="str">
        <f t="array" ref="E32">INDEX('NORTE - RUTH'!E:E, MATCH(S32, 'NORTE - RUTH'!K:K, 0), )</f>
        <v>107.7</v>
      </c>
      <c r="F32" s="156">
        <f t="array" ref="F32">INDEX('NORTE - RUTH'!F:F, MATCH(S32, 'NORTE - RUTH'!K:K, 0), )</f>
        <v>4</v>
      </c>
      <c r="G32" s="159" t="str">
        <f t="array" ref="G32">INDEX('NORTE - RUTH'!G:G, MATCH(S32, 'NORTE - RUTH'!K:K, 0), )</f>
        <v>A.A</v>
      </c>
      <c r="H32" s="238" t="str">
        <f t="array" ref="H32">INDEX('NORTE - RUTH'!H:H, MATCH(S32, 'NORTE - RUTH'!K:K, 0), )</f>
        <v>CHICLAYO FM</v>
      </c>
      <c r="I32" s="239" t="str">
        <f t="array" ref="I32">INDEX('NORTE - RUTH'!I:I, MATCH(S32, 'NORTE - RUTH'!K:K, 0), )</f>
        <v>27/11/2025 - Sectoristas - El dia de ayer 26 de noviembre el pastor Vilcarima señalo que las dos frecuencias de radio y el canal se encuentran operativos, no se le solicito video.</v>
      </c>
      <c r="J32" s="240">
        <f t="array" ref="J32">INDEX('NORTE - RUTH'!J:J, MATCH(S32, 'NORTE - RUTH'!K:K, 0), )</f>
        <v>0</v>
      </c>
      <c r="K32" s="241" t="str">
        <f t="array" ref="K32">INDEX('NORTE - RUTH'!K:K, MATCH(S32, 'NORTE - RUTH'!K:K, 0), )</f>
        <v>R - 31</v>
      </c>
      <c r="L32" s="242" t="str">
        <f t="array" ref="L32">INDEX('NORTE - RUTH'!L:L, MATCH(S32, 'NORTE - RUTH'!K:K, 0), )</f>
        <v>Sectoristas</v>
      </c>
      <c r="M32" s="242" t="str">
        <f t="array" ref="M32">INDEX('NORTE - RUTH'!M:M, MATCH(S32, 'NORTE - RUTH'!K:K, 0), )</f>
        <v>Nivel 1</v>
      </c>
      <c r="N32" s="241">
        <f t="array" ref="N32">INDEX('NORTE - RUTH'!N:N, MATCH(S32, 'NORTE - RUTH'!K:K, 0), )</f>
        <v>0</v>
      </c>
      <c r="O32" s="241">
        <f t="array" ref="O32">INDEX('NORTE - RUTH'!O:O, MATCH(S32, 'NORTE - RUTH'!K:K, 0), )</f>
        <v>0</v>
      </c>
      <c r="P32" s="236">
        <v>-11.077888888888889</v>
      </c>
      <c r="Q32" s="236">
        <v>-75.321138888888882</v>
      </c>
      <c r="R32" s="243" t="s">
        <v>1306</v>
      </c>
      <c r="S32" s="246" t="s">
        <v>1307</v>
      </c>
      <c r="U32" s="245"/>
    </row>
    <row r="33" spans="1:21" ht="17.25" customHeight="1">
      <c r="A33" s="236">
        <v>32</v>
      </c>
      <c r="B33" s="237" t="str">
        <f t="array" ref="B33">INDEX('NORTE - RUTH'!B:B, MATCH(S33, 'NORTE - RUTH'!K:K, 0), )</f>
        <v>Chiclayo - San Jose</v>
      </c>
      <c r="C33" s="156" t="str">
        <f t="array" ref="C33">INDEX('NORTE - RUTH'!C:C, MATCH(S33, 'NORTE - RUTH'!K:K, 0), )</f>
        <v>Lambayeque</v>
      </c>
      <c r="D33" s="156" t="str">
        <f t="array" ref="D33">INDEX('NORTE - RUTH'!D:D, MATCH(S33, 'NORTE - RUTH'!K:K, 0), )</f>
        <v>AM</v>
      </c>
      <c r="E33" s="156">
        <f t="array" ref="E33">INDEX('NORTE - RUTH'!E:E, MATCH(S33, 'NORTE - RUTH'!K:K, 0), )</f>
        <v>1280</v>
      </c>
      <c r="F33" s="156">
        <f t="array" ref="F33">INDEX('NORTE - RUTH'!F:F, MATCH(S33, 'NORTE - RUTH'!K:K, 0), )</f>
        <v>4</v>
      </c>
      <c r="G33" s="159" t="str">
        <f t="array" ref="G33">INDEX('NORTE - RUTH'!G:G, MATCH(S33, 'NORTE - RUTH'!K:K, 0), )</f>
        <v>A.A</v>
      </c>
      <c r="H33" s="238" t="str">
        <f t="array" ref="H33">INDEX('NORTE - RUTH'!H:H, MATCH(S33, 'NORTE - RUTH'!K:K, 0), )</f>
        <v>CHICLAYO</v>
      </c>
      <c r="I33" s="239" t="str">
        <f t="array" ref="I33">INDEX('NORTE - RUTH'!I:I, MATCH(S33, 'NORTE - RUTH'!K:K, 0), )</f>
        <v>27/11/2025 - Sectoristas - El dia de ayer 26 de noviembre el pastor Vilcarima señalo que las dos frecuencias de radio y el canal se encuentran operativos, no se le solicito video.</v>
      </c>
      <c r="J33" s="247">
        <f t="array" ref="J33">INDEX('NORTE - RUTH'!J:J, MATCH(S33, 'NORTE - RUTH'!K:K, 0), )</f>
        <v>0</v>
      </c>
      <c r="K33" s="241" t="str">
        <f t="array" ref="K33">INDEX('NORTE - RUTH'!K:K, MATCH(S33, 'NORTE - RUTH'!K:K, 0), )</f>
        <v>R - 32</v>
      </c>
      <c r="L33" s="242" t="str">
        <f t="array" ref="L33">INDEX('NORTE - RUTH'!L:L, MATCH(S33, 'NORTE - RUTH'!K:K, 0), )</f>
        <v>Sectoristas</v>
      </c>
      <c r="M33" s="242" t="str">
        <f t="array" ref="M33">INDEX('NORTE - RUTH'!M:M, MATCH(S33, 'NORTE - RUTH'!K:K, 0), )</f>
        <v>Nivel 1</v>
      </c>
      <c r="N33" s="241">
        <f t="array" ref="N33">INDEX('NORTE - RUTH'!N:N, MATCH(S33, 'NORTE - RUTH'!K:K, 0), )</f>
        <v>0</v>
      </c>
      <c r="O33" s="241">
        <f t="array" ref="O33">INDEX('NORTE - RUTH'!O:O, MATCH(S33, 'NORTE - RUTH'!K:K, 0), )</f>
        <v>0</v>
      </c>
      <c r="P33" s="236">
        <v>-6.778083333333333</v>
      </c>
      <c r="Q33" s="236">
        <v>-79.909305555555562</v>
      </c>
      <c r="R33" s="243" t="s">
        <v>1308</v>
      </c>
      <c r="S33" s="246" t="s">
        <v>1309</v>
      </c>
      <c r="U33" s="245"/>
    </row>
    <row r="34" spans="1:21" ht="17.25" customHeight="1">
      <c r="A34" s="236">
        <v>33</v>
      </c>
      <c r="B34" s="237" t="str">
        <f t="array" ref="B34">INDEX('NORTE - RUTH'!B:B, MATCH(S34, 'NORTE - RUTH'!K:K, 0), )</f>
        <v>Chimbote</v>
      </c>
      <c r="C34" s="156" t="str">
        <f t="array" ref="C34">INDEX('NORTE - RUTH'!C:C, MATCH(S34, 'NORTE - RUTH'!K:K, 0), )</f>
        <v>Ancash</v>
      </c>
      <c r="D34" s="156" t="str">
        <f t="array" ref="D34">INDEX('NORTE - RUTH'!D:D, MATCH(S34, 'NORTE - RUTH'!K:K, 0), )</f>
        <v>UHF</v>
      </c>
      <c r="E34" s="156">
        <f t="array" ref="E34">INDEX('NORTE - RUTH'!E:E, MATCH(S34, 'NORTE - RUTH'!K:K, 0), )</f>
        <v>23</v>
      </c>
      <c r="F34" s="156">
        <f t="array" ref="F34">INDEX('NORTE - RUTH'!F:F, MATCH(S34, 'NORTE - RUTH'!K:K, 0), )</f>
        <v>53</v>
      </c>
      <c r="G34" s="159" t="str">
        <f t="array" ref="G34">INDEX('NORTE - RUTH'!G:G, MATCH(S34, 'NORTE - RUTH'!K:K, 0), )</f>
        <v>F.A</v>
      </c>
      <c r="H34" s="238" t="str">
        <f t="array" ref="H34">INDEX('NORTE - RUTH'!H:H, MATCH(S34, 'NORTE - RUTH'!K:K, 0), )</f>
        <v>CHIMBOTE</v>
      </c>
      <c r="I34" s="239" t="str">
        <f t="array" ref="I34">INDEX('NORTE - RUTH'!I:I, MATCH(S34, 'NORTE - RUTH'!K:K, 0), )</f>
        <v>18/11/2025 - Sectoristas - El transmisor se encuentra en atención técnica del ingeniero  Lingan por daños en el transmisor uno de ellos el excitador</v>
      </c>
      <c r="J34" s="247">
        <f t="array" ref="J34">INDEX('NORTE - RUTH'!J:J, MATCH(S34, 'NORTE - RUTH'!K:K, 0), )</f>
        <v>0</v>
      </c>
      <c r="K34" s="241" t="str">
        <f t="array" ref="K34">INDEX('NORTE - RUTH'!K:K, MATCH(S34, 'NORTE - RUTH'!K:K, 0), )</f>
        <v>R - 33</v>
      </c>
      <c r="L34" s="242">
        <f t="array" ref="L34">INDEX('NORTE - RUTH'!L:L, MATCH(S34, 'NORTE - RUTH'!K:K, 0), )</f>
        <v>0</v>
      </c>
      <c r="M34" s="242">
        <f t="array" ref="M34">INDEX('NORTE - RUTH'!M:M, MATCH(S34, 'NORTE - RUTH'!K:K, 0), )</f>
        <v>0</v>
      </c>
      <c r="N34" s="241">
        <f t="array" ref="N34">INDEX('NORTE - RUTH'!N:N, MATCH(S34, 'NORTE - RUTH'!K:K, 0), )</f>
        <v>0</v>
      </c>
      <c r="O34" s="241">
        <f t="array" ref="O34">INDEX('NORTE - RUTH'!O:O, MATCH(S34, 'NORTE - RUTH'!K:K, 0), )</f>
        <v>0</v>
      </c>
      <c r="P34" s="236">
        <v>-9.0775000000000006</v>
      </c>
      <c r="Q34" s="236">
        <v>-78.591277777777776</v>
      </c>
      <c r="R34" s="243" t="s">
        <v>1310</v>
      </c>
      <c r="S34" s="246" t="s">
        <v>1186</v>
      </c>
      <c r="U34" s="245"/>
    </row>
    <row r="35" spans="1:21" ht="17.25" customHeight="1">
      <c r="A35" s="236">
        <v>34</v>
      </c>
      <c r="B35" s="237" t="str">
        <f t="array" ref="B35">INDEX('NORTE - RUTH'!B:B, MATCH(S35, 'NORTE - RUTH'!K:K, 0), )</f>
        <v>Chimbote</v>
      </c>
      <c r="C35" s="156" t="str">
        <f t="array" ref="C35">INDEX('NORTE - RUTH'!C:C, MATCH(S35, 'NORTE - RUTH'!K:K, 0), )</f>
        <v>Ancash</v>
      </c>
      <c r="D35" s="156" t="str">
        <f t="array" ref="D35">INDEX('NORTE - RUTH'!D:D, MATCH(S35, 'NORTE - RUTH'!K:K, 0), )</f>
        <v>FM</v>
      </c>
      <c r="E35" s="156">
        <f t="array" ref="E35">INDEX('NORTE - RUTH'!E:E, MATCH(S35, 'NORTE - RUTH'!K:K, 0), )</f>
        <v>96.3</v>
      </c>
      <c r="F35" s="156">
        <f t="array" ref="F35">INDEX('NORTE - RUTH'!F:F, MATCH(S35, 'NORTE - RUTH'!K:K, 0), )</f>
        <v>53</v>
      </c>
      <c r="G35" s="159" t="str">
        <f t="array" ref="G35">INDEX('NORTE - RUTH'!G:G, MATCH(S35, 'NORTE - RUTH'!K:K, 0), )</f>
        <v>A.A</v>
      </c>
      <c r="H35" s="238" t="str">
        <f t="array" ref="H35">INDEX('NORTE - RUTH'!H:H, MATCH(S35, 'NORTE - RUTH'!K:K, 0), )</f>
        <v>CHIMBOTE</v>
      </c>
      <c r="I35" s="239" t="str">
        <f t="array" ref="I35">INDEX('NORTE - RUTH'!I:I, MATCH(S35, 'NORTE - RUTH'!K:K, 0), )</f>
        <v>18/11/2025 - Sectoristas - El pastor Omar el día de ayer señalo que la radio se encuentra operativa.</v>
      </c>
      <c r="J35" s="240" t="str">
        <f t="array" ref="J35">INDEX('NORTE - RUTH'!J:J, MATCH(S35, 'NORTE - RUTH'!K:K, 0), )</f>
        <v>Homologacion de transmisor</v>
      </c>
      <c r="K35" s="241" t="str">
        <f t="array" ref="K35">INDEX('NORTE - RUTH'!K:K, MATCH(S35, 'NORTE - RUTH'!K:K, 0), )</f>
        <v>R - 34</v>
      </c>
      <c r="L35" s="242">
        <f t="array" ref="L35">INDEX('NORTE - RUTH'!L:L, MATCH(S35, 'NORTE - RUTH'!K:K, 0), )</f>
        <v>0</v>
      </c>
      <c r="M35" s="242">
        <f t="array" ref="M35">INDEX('NORTE - RUTH'!M:M, MATCH(S35, 'NORTE - RUTH'!K:K, 0), )</f>
        <v>0</v>
      </c>
      <c r="N35" s="241">
        <f t="array" ref="N35">INDEX('NORTE - RUTH'!N:N, MATCH(S35, 'NORTE - RUTH'!K:K, 0), )</f>
        <v>0</v>
      </c>
      <c r="O35" s="241">
        <f t="array" ref="O35">INDEX('NORTE - RUTH'!O:O, MATCH(S35, 'NORTE - RUTH'!K:K, 0), )</f>
        <v>0</v>
      </c>
      <c r="P35" s="236">
        <v>-9.0775555555555556</v>
      </c>
      <c r="Q35" s="236">
        <v>-78.591361111111112</v>
      </c>
      <c r="R35" s="243" t="s">
        <v>1311</v>
      </c>
      <c r="S35" s="246" t="s">
        <v>1312</v>
      </c>
      <c r="U35" s="245"/>
    </row>
    <row r="36" spans="1:21" ht="17.25" customHeight="1">
      <c r="A36" s="236">
        <v>35</v>
      </c>
      <c r="B36" s="237" t="str">
        <f t="array" ref="B36">INDEX('NORTE - RUTH'!B:B, MATCH(S36, 'NORTE - RUTH'!K:K, 0), )</f>
        <v>Chongoyape</v>
      </c>
      <c r="C36" s="156" t="str">
        <f t="array" ref="C36">INDEX('NORTE - RUTH'!C:C, MATCH(S36, 'NORTE - RUTH'!K:K, 0), )</f>
        <v>Lambayeque</v>
      </c>
      <c r="D36" s="156" t="str">
        <f t="array" ref="D36">INDEX('NORTE - RUTH'!D:D, MATCH(S36, 'NORTE - RUTH'!K:K, 0), )</f>
        <v>FM</v>
      </c>
      <c r="E36" s="156">
        <f t="array" ref="E36">INDEX('NORTE - RUTH'!E:E, MATCH(S36, 'NORTE - RUTH'!K:K, 0), )</f>
        <v>92.3</v>
      </c>
      <c r="F36" s="156">
        <f t="array" ref="F36">INDEX('NORTE - RUTH'!F:F, MATCH(S36, 'NORTE - RUTH'!K:K, 0), )</f>
        <v>111</v>
      </c>
      <c r="G36" s="159" t="str">
        <f t="array" ref="G36">INDEX('NORTE - RUTH'!G:G, MATCH(S36, 'NORTE - RUTH'!K:K, 0), )</f>
        <v>A.A</v>
      </c>
      <c r="H36" s="238" t="str">
        <f t="array" ref="H36">INDEX('NORTE - RUTH'!H:H, MATCH(S36, 'NORTE - RUTH'!K:K, 0), )</f>
        <v>CHONGOYAPE</v>
      </c>
      <c r="I36" s="239" t="str">
        <f t="array" ref="I36">INDEX('NORTE - RUTH'!I:I, MATCH(S36, 'NORTE - RUTH'!K:K, 0), )</f>
        <v>27/11/2025 - Sectoristas - El dia de hoy el pastor local envia video evidenciando que la radio se encuentra opeartiva.</v>
      </c>
      <c r="J36" s="240" t="str">
        <f t="array" ref="J36">INDEX('NORTE - RUTH'!J:J, MATCH(S36, 'NORTE - RUTH'!K:K, 0), )</f>
        <v>Revision transmisor</v>
      </c>
      <c r="K36" s="241" t="str">
        <f t="array" ref="K36">INDEX('NORTE - RUTH'!K:K, MATCH(S36, 'NORTE - RUTH'!K:K, 0), )</f>
        <v>R - 35</v>
      </c>
      <c r="L36" s="242" t="str">
        <f t="array" ref="L36">INDEX('NORTE - RUTH'!L:L, MATCH(S36, 'NORTE - RUTH'!K:K, 0), )</f>
        <v>Sectoristas</v>
      </c>
      <c r="M36" s="242" t="str">
        <f t="array" ref="M36">INDEX('NORTE - RUTH'!M:M, MATCH(S36, 'NORTE - RUTH'!K:K, 0), )</f>
        <v>Nivel 1</v>
      </c>
      <c r="N36" s="241">
        <f t="array" ref="N36">INDEX('NORTE - RUTH'!N:N, MATCH(S36, 'NORTE - RUTH'!K:K, 0), )</f>
        <v>0</v>
      </c>
      <c r="O36" s="241">
        <f t="array" ref="O36">INDEX('NORTE - RUTH'!O:O, MATCH(S36, 'NORTE - RUTH'!K:K, 0), )</f>
        <v>0</v>
      </c>
      <c r="P36" s="236">
        <v>-6.6387499999999999</v>
      </c>
      <c r="Q36" s="236">
        <v>-79.389611111111122</v>
      </c>
      <c r="R36" s="243" t="s">
        <v>1313</v>
      </c>
      <c r="S36" s="246" t="s">
        <v>1314</v>
      </c>
      <c r="U36" s="245"/>
    </row>
    <row r="37" spans="1:21" ht="17.25" customHeight="1">
      <c r="A37" s="236">
        <v>36</v>
      </c>
      <c r="B37" s="237" t="str">
        <f t="array" ref="B37">INDEX('NORTE - RUTH'!B:B, MATCH(S37, 'NORTE - RUTH'!K:K, 0), )</f>
        <v>Chota</v>
      </c>
      <c r="C37" s="156" t="str">
        <f t="array" ref="C37">INDEX('NORTE - RUTH'!C:C, MATCH(S37, 'NORTE - RUTH'!K:K, 0), )</f>
        <v>Cajamarca</v>
      </c>
      <c r="D37" s="156" t="str">
        <f t="array" ref="D37">INDEX('NORTE - RUTH'!D:D, MATCH(S37, 'NORTE - RUTH'!K:K, 0), )</f>
        <v>FM</v>
      </c>
      <c r="E37" s="156">
        <f t="array" ref="E37">INDEX('NORTE - RUTH'!E:E, MATCH(S37, 'NORTE - RUTH'!K:K, 0), )</f>
        <v>101.7</v>
      </c>
      <c r="F37" s="156">
        <f t="array" ref="F37">INDEX('NORTE - RUTH'!F:F, MATCH(S37, 'NORTE - RUTH'!K:K, 0), )</f>
        <v>69</v>
      </c>
      <c r="G37" s="159" t="str">
        <f t="array" ref="G37">INDEX('NORTE - RUTH'!G:G, MATCH(S37, 'NORTE - RUTH'!K:K, 0), )</f>
        <v>F.A</v>
      </c>
      <c r="H37" s="238" t="str">
        <f t="array" ref="H37">INDEX('NORTE - RUTH'!H:H, MATCH(S37, 'NORTE - RUTH'!K:K, 0), )</f>
        <v>CHOTA</v>
      </c>
      <c r="I37" s="239" t="str">
        <f t="array" ref="I37">INDEX('NORTE - RUTH'!I:I, MATCH(S37, 'NORTE - RUTH'!K:K, 0), )</f>
        <v>24/11/2025 - Sectoristas - El dia sábado 22 de noviembre el pastor Robert en comunicación con el hno Israel se verifico que el tx se esta alarmando por tanto necesitara la visita de un tecnico</v>
      </c>
      <c r="J37" s="240" t="str">
        <f t="array" ref="J37">INDEX('NORTE - RUTH'!J:J, MATCH(S37, 'NORTE - RUTH'!K:K, 0), )</f>
        <v>Ubicacion de planta</v>
      </c>
      <c r="K37" s="241" t="str">
        <f t="array" ref="K37">INDEX('NORTE - RUTH'!K:K, MATCH(S37, 'NORTE - RUTH'!K:K, 0), )</f>
        <v>R - 36</v>
      </c>
      <c r="L37" s="242" t="str">
        <f t="array" ref="L37">INDEX('NORTE - RUTH'!L:L, MATCH(S37, 'NORTE - RUTH'!K:K, 0), )</f>
        <v>Sectoristas</v>
      </c>
      <c r="M37" s="242" t="str">
        <f t="array" ref="M37">INDEX('NORTE - RUTH'!M:M, MATCH(S37, 'NORTE - RUTH'!K:K, 0), )</f>
        <v>Nivel 1</v>
      </c>
      <c r="N37" s="241">
        <f t="array" ref="N37">INDEX('NORTE - RUTH'!N:N, MATCH(S37, 'NORTE - RUTH'!K:K, 0), )</f>
        <v>0</v>
      </c>
      <c r="O37" s="241">
        <f t="array" ref="O37">INDEX('NORTE - RUTH'!O:O, MATCH(S37, 'NORTE - RUTH'!K:K, 0), )</f>
        <v>0</v>
      </c>
      <c r="P37" s="236">
        <v>-6.5450166666666663</v>
      </c>
      <c r="Q37" s="236">
        <v>-78.653900000000007</v>
      </c>
      <c r="R37" s="243" t="s">
        <v>1315</v>
      </c>
      <c r="S37" s="246" t="s">
        <v>1188</v>
      </c>
      <c r="U37" s="245"/>
    </row>
    <row r="38" spans="1:21" ht="17.25" customHeight="1">
      <c r="A38" s="236">
        <v>37</v>
      </c>
      <c r="B38" s="237" t="str">
        <f t="array" ref="B38">INDEX('NORTE - RUTH'!B:B, MATCH(S38, 'NORTE - RUTH'!K:K, 0), )</f>
        <v>Chulucanas</v>
      </c>
      <c r="C38" s="156" t="str">
        <f t="array" ref="C38">INDEX('NORTE - RUTH'!C:C, MATCH(S38, 'NORTE - RUTH'!K:K, 0), )</f>
        <v>Piura</v>
      </c>
      <c r="D38" s="156" t="str">
        <f t="array" ref="D38">INDEX('NORTE - RUTH'!D:D, MATCH(S38, 'NORTE - RUTH'!K:K, 0), )</f>
        <v>FM</v>
      </c>
      <c r="E38" s="156">
        <f t="array" ref="E38">INDEX('NORTE - RUTH'!E:E, MATCH(S38, 'NORTE - RUTH'!K:K, 0), )</f>
        <v>95.3</v>
      </c>
      <c r="F38" s="156">
        <f t="array" ref="F38">INDEX('NORTE - RUTH'!F:F, MATCH(S38, 'NORTE - RUTH'!K:K, 0), )</f>
        <v>62</v>
      </c>
      <c r="G38" s="159" t="str">
        <f t="array" ref="G38">INDEX('NORTE - RUTH'!G:G, MATCH(S38, 'NORTE - RUTH'!K:K, 0), )</f>
        <v>A.A</v>
      </c>
      <c r="H38" s="238" t="str">
        <f t="array" ref="H38">INDEX('NORTE - RUTH'!H:H, MATCH(S38, 'NORTE - RUTH'!K:K, 0), )</f>
        <v>CHULUCANAS</v>
      </c>
      <c r="I38" s="239" t="str">
        <f t="array" ref="I38">INDEX('NORTE - RUTH'!I:I, MATCH(S38, 'NORTE - RUTH'!K:K, 0), )</f>
        <v>27/11/2025 - Sectoristas - Con fecha martes 25 de noviembre el pastor local envía evidencia de operatividad a través de video y audio.</v>
      </c>
      <c r="J38" s="240" t="str">
        <f t="array" ref="J38">INDEX('NORTE - RUTH'!J:J, MATCH(S38, 'NORTE - RUTH'!K:K, 0), )</f>
        <v>Mantenimiento antenas</v>
      </c>
      <c r="K38" s="241" t="str">
        <f t="array" ref="K38">INDEX('NORTE - RUTH'!K:K, MATCH(S38, 'NORTE - RUTH'!K:K, 0), )</f>
        <v>R - 37</v>
      </c>
      <c r="L38" s="242" t="str">
        <f t="array" ref="L38">INDEX('NORTE - RUTH'!L:L, MATCH(S38, 'NORTE - RUTH'!K:K, 0), )</f>
        <v>Sectoristas</v>
      </c>
      <c r="M38" s="242" t="str">
        <f t="array" ref="M38">INDEX('NORTE - RUTH'!M:M, MATCH(S38, 'NORTE - RUTH'!K:K, 0), )</f>
        <v>Nivel 1</v>
      </c>
      <c r="N38" s="241">
        <f t="array" ref="N38">INDEX('NORTE - RUTH'!N:N, MATCH(S38, 'NORTE - RUTH'!K:K, 0), )</f>
        <v>0</v>
      </c>
      <c r="O38" s="241">
        <f t="array" ref="O38">INDEX('NORTE - RUTH'!O:O, MATCH(S38, 'NORTE - RUTH'!K:K, 0), )</f>
        <v>0</v>
      </c>
      <c r="P38" s="236">
        <v>-5.1218361111111106</v>
      </c>
      <c r="Q38" s="236">
        <v>-80.196988888888896</v>
      </c>
      <c r="R38" s="243" t="s">
        <v>1316</v>
      </c>
      <c r="S38" s="246" t="s">
        <v>1317</v>
      </c>
      <c r="U38" s="245"/>
    </row>
    <row r="39" spans="1:21" ht="17.25" customHeight="1">
      <c r="A39" s="236">
        <v>38</v>
      </c>
      <c r="B39" s="237" t="str">
        <f t="array" ref="B39">INDEX('NORTE - RUTH'!B:B, MATCH(S39, 'NORTE - RUTH'!K:K, 0), )</f>
        <v>Conchucos</v>
      </c>
      <c r="C39" s="156" t="str">
        <f t="array" ref="C39">INDEX('NORTE - RUTH'!C:C, MATCH(S39, 'NORTE - RUTH'!K:K, 0), )</f>
        <v>Ancash</v>
      </c>
      <c r="D39" s="156" t="str">
        <f t="array" ref="D39">INDEX('NORTE - RUTH'!D:D, MATCH(S39, 'NORTE - RUTH'!K:K, 0), )</f>
        <v>VHF</v>
      </c>
      <c r="E39" s="156">
        <f t="array" ref="E39">INDEX('NORTE - RUTH'!E:E, MATCH(S39, 'NORTE - RUTH'!K:K, 0), )</f>
        <v>10</v>
      </c>
      <c r="F39" s="156">
        <f t="array" ref="F39">INDEX('NORTE - RUTH'!F:F, MATCH(S39, 'NORTE - RUTH'!K:K, 0), )</f>
        <v>53</v>
      </c>
      <c r="G39" s="159" t="str">
        <f t="array" ref="G39">INDEX('NORTE - RUTH'!G:G, MATCH(S39, 'NORTE - RUTH'!K:K, 0), )</f>
        <v>A.A</v>
      </c>
      <c r="H39" s="238" t="str">
        <f t="array" ref="H39">INDEX('NORTE - RUTH'!H:H, MATCH(S39, 'NORTE - RUTH'!K:K, 0), )</f>
        <v>CONCHUCOS</v>
      </c>
      <c r="I39" s="239" t="str">
        <f t="array" ref="I39">INDEX('NORTE - RUTH'!I:I, MATCH(S39, 'NORTE - RUTH'!K:K, 0), )</f>
        <v>27/11/2025 - Sectoristas - Con fecha 27 de noviembre 2025 el pastor envia evidencia por video de la operatividad del canal</v>
      </c>
      <c r="J39" s="240">
        <f t="array" ref="J39">INDEX('NORTE - RUTH'!J:J, MATCH(S39, 'NORTE - RUTH'!K:K, 0), )</f>
        <v>0</v>
      </c>
      <c r="K39" s="241" t="str">
        <f t="array" ref="K39">INDEX('NORTE - RUTH'!K:K, MATCH(S39, 'NORTE - RUTH'!K:K, 0), )</f>
        <v>R - 38</v>
      </c>
      <c r="L39" s="242" t="str">
        <f t="array" ref="L39">INDEX('NORTE - RUTH'!L:L, MATCH(S39, 'NORTE - RUTH'!K:K, 0), )</f>
        <v>Sectoristas</v>
      </c>
      <c r="M39" s="242" t="str">
        <f t="array" ref="M39">INDEX('NORTE - RUTH'!M:M, MATCH(S39, 'NORTE - RUTH'!K:K, 0), )</f>
        <v>Nivel 1</v>
      </c>
      <c r="N39" s="241">
        <f t="array" ref="N39">INDEX('NORTE - RUTH'!N:N, MATCH(S39, 'NORTE - RUTH'!K:K, 0), )</f>
        <v>0</v>
      </c>
      <c r="O39" s="241">
        <f t="array" ref="O39">INDEX('NORTE - RUTH'!O:O, MATCH(S39, 'NORTE - RUTH'!K:K, 0), )</f>
        <v>0</v>
      </c>
      <c r="P39" s="236">
        <v>-8.2655111111111115</v>
      </c>
      <c r="Q39" s="236">
        <v>-77.850891666666655</v>
      </c>
      <c r="R39" s="243" t="s">
        <v>1318</v>
      </c>
      <c r="S39" s="246" t="s">
        <v>1319</v>
      </c>
      <c r="U39" s="245"/>
    </row>
    <row r="40" spans="1:21" ht="17.25" customHeight="1">
      <c r="A40" s="236">
        <v>39</v>
      </c>
      <c r="B40" s="237" t="str">
        <f t="array" ref="B40">INDEX('NORTE - RUTH'!B:B, MATCH(S40, 'NORTE - RUTH'!K:K, 0), )</f>
        <v>Corongo</v>
      </c>
      <c r="C40" s="156" t="str">
        <f t="array" ref="C40">INDEX('NORTE - RUTH'!C:C, MATCH(S40, 'NORTE - RUTH'!K:K, 0), )</f>
        <v>Ancash</v>
      </c>
      <c r="D40" s="156" t="str">
        <f t="array" ref="D40">INDEX('NORTE - RUTH'!D:D, MATCH(S40, 'NORTE - RUTH'!K:K, 0), )</f>
        <v>FM</v>
      </c>
      <c r="E40" s="156" t="str">
        <f t="array" ref="E40">INDEX('NORTE - RUTH'!E:E, MATCH(S40, 'NORTE - RUTH'!K:K, 0), )</f>
        <v>107.3</v>
      </c>
      <c r="F40" s="156">
        <f t="array" ref="F40">INDEX('NORTE - RUTH'!F:F, MATCH(S40, 'NORTE - RUTH'!K:K, 0), )</f>
        <v>144</v>
      </c>
      <c r="G40" s="159" t="str">
        <f t="array" ref="G40">INDEX('NORTE - RUTH'!G:G, MATCH(S40, 'NORTE - RUTH'!K:K, 0), )</f>
        <v>N.I</v>
      </c>
      <c r="H40" s="238" t="str">
        <f t="array" ref="H40">INDEX('NORTE - RUTH'!H:H, MATCH(S40, 'NORTE - RUTH'!K:K, 0), )</f>
        <v>CORONGO</v>
      </c>
      <c r="I40" s="239" t="str">
        <f t="array" ref="I40">INDEX('NORTE - RUTH'!I:I, MATCH(S40, 'NORTE - RUTH'!K:K, 0), )</f>
        <v>26/09/2025 - Sectoristas - Se debe buscar una ubicación para la estación, consultar con el ingeniero Lingan.</v>
      </c>
      <c r="J40" s="240">
        <f t="array" ref="J40">INDEX('NORTE - RUTH'!J:J, MATCH(S40, 'NORTE - RUTH'!K:K, 0), )</f>
        <v>0</v>
      </c>
      <c r="K40" s="241" t="str">
        <f t="array" ref="K40">INDEX('NORTE - RUTH'!K:K, MATCH(S40, 'NORTE - RUTH'!K:K, 0), )</f>
        <v>R - 39</v>
      </c>
      <c r="L40" s="242">
        <f t="array" ref="L40">INDEX('NORTE - RUTH'!L:L, MATCH(S40, 'NORTE - RUTH'!K:K, 0), )</f>
        <v>0</v>
      </c>
      <c r="M40" s="242">
        <f t="array" ref="M40">INDEX('NORTE - RUTH'!M:M, MATCH(S40, 'NORTE - RUTH'!K:K, 0), )</f>
        <v>0</v>
      </c>
      <c r="N40" s="241">
        <f t="array" ref="N40">INDEX('NORTE - RUTH'!N:N, MATCH(S40, 'NORTE - RUTH'!K:K, 0), )</f>
        <v>0</v>
      </c>
      <c r="O40" s="241">
        <f t="array" ref="O40">INDEX('NORTE - RUTH'!O:O, MATCH(S40, 'NORTE - RUTH'!K:K, 0), )</f>
        <v>0</v>
      </c>
      <c r="R40" s="248"/>
      <c r="S40" s="246" t="s">
        <v>1320</v>
      </c>
      <c r="U40" s="245"/>
    </row>
    <row r="41" spans="1:21" ht="17.25" customHeight="1">
      <c r="A41" s="236">
        <v>40</v>
      </c>
      <c r="B41" s="237" t="str">
        <f t="array" ref="B41">INDEX('NORTE - RUTH'!B:B, MATCH(S41, 'NORTE - RUTH'!K:K, 0), )</f>
        <v>Cuispes - Pedro Ruiz</v>
      </c>
      <c r="C41" s="156" t="str">
        <f t="array" ref="C41">INDEX('NORTE - RUTH'!C:C, MATCH(S41, 'NORTE - RUTH'!K:K, 0), )</f>
        <v>Amazonas</v>
      </c>
      <c r="D41" s="156" t="str">
        <f t="array" ref="D41">INDEX('NORTE - RUTH'!D:D, MATCH(S41, 'NORTE - RUTH'!K:K, 0), )</f>
        <v>FM</v>
      </c>
      <c r="E41" s="156">
        <f t="array" ref="E41">INDEX('NORTE - RUTH'!E:E, MATCH(S41, 'NORTE - RUTH'!K:K, 0), )</f>
        <v>92.3</v>
      </c>
      <c r="F41" s="156">
        <f t="array" ref="F41">INDEX('NORTE - RUTH'!F:F, MATCH(S41, 'NORTE - RUTH'!K:K, 0), )</f>
        <v>33</v>
      </c>
      <c r="G41" s="159" t="str">
        <f t="array" ref="G41">INDEX('NORTE - RUTH'!G:G, MATCH(S41, 'NORTE - RUTH'!K:K, 0), )</f>
        <v>F.A</v>
      </c>
      <c r="H41" s="238" t="str">
        <f t="array" ref="H41">INDEX('NORTE - RUTH'!H:H, MATCH(S41, 'NORTE - RUTH'!K:K, 0), )</f>
        <v>CUISPES</v>
      </c>
      <c r="I41" s="239" t="str">
        <f t="array" ref="I41">INDEX('NORTE - RUTH'!I:I, MATCH(S41, 'NORTE - RUTH'!K:K, 0), )</f>
        <v>12/11/2025 - Sectoristas - La radio se encuentra sin señal según la información brindada por el hno. Gregorio el día de hoy miércoles 12 de noviembre al pastor Guillermo Navarro</v>
      </c>
      <c r="J41" s="240">
        <f t="array" ref="J41">INDEX('NORTE - RUTH'!J:J, MATCH(S41, 'NORTE - RUTH'!K:K, 0), )</f>
        <v>0</v>
      </c>
      <c r="K41" s="241" t="str">
        <f t="array" ref="K41">INDEX('NORTE - RUTH'!K:K, MATCH(S41, 'NORTE - RUTH'!K:K, 0), )</f>
        <v>R - 40</v>
      </c>
      <c r="L41" s="242">
        <f t="array" ref="L41">INDEX('NORTE - RUTH'!L:L, MATCH(S41, 'NORTE - RUTH'!K:K, 0), )</f>
        <v>0</v>
      </c>
      <c r="M41" s="242">
        <f t="array" ref="M41">INDEX('NORTE - RUTH'!M:M, MATCH(S41, 'NORTE - RUTH'!K:K, 0), )</f>
        <v>0</v>
      </c>
      <c r="N41" s="241">
        <f t="array" ref="N41">INDEX('NORTE - RUTH'!N:N, MATCH(S41, 'NORTE - RUTH'!K:K, 0), )</f>
        <v>0</v>
      </c>
      <c r="O41" s="241">
        <f t="array" ref="O41">INDEX('NORTE - RUTH'!O:O, MATCH(S41, 'NORTE - RUTH'!K:K, 0), )</f>
        <v>0</v>
      </c>
      <c r="P41" s="236">
        <v>-5.9279444444444449</v>
      </c>
      <c r="Q41" s="236">
        <v>-77.941416666666669</v>
      </c>
      <c r="R41" s="243" t="s">
        <v>1321</v>
      </c>
      <c r="S41" s="246" t="s">
        <v>1190</v>
      </c>
      <c r="U41" s="245"/>
    </row>
    <row r="42" spans="1:21" ht="17.25" customHeight="1">
      <c r="A42" s="236">
        <v>41</v>
      </c>
      <c r="B42" s="237" t="str">
        <f t="array" ref="B42">INDEX('NORTE - RUTH'!B:B, MATCH(S42, 'NORTE - RUTH'!K:K, 0), )</f>
        <v>Cutervo</v>
      </c>
      <c r="C42" s="156" t="str">
        <f t="array" ref="C42">INDEX('NORTE - RUTH'!C:C, MATCH(S42, 'NORTE - RUTH'!K:K, 0), )</f>
        <v>Cajamarca</v>
      </c>
      <c r="D42" s="156" t="str">
        <f t="array" ref="D42">INDEX('NORTE - RUTH'!D:D, MATCH(S42, 'NORTE - RUTH'!K:K, 0), )</f>
        <v>FM</v>
      </c>
      <c r="E42" s="156">
        <f t="array" ref="E42">INDEX('NORTE - RUTH'!E:E, MATCH(S42, 'NORTE - RUTH'!K:K, 0), )</f>
        <v>100.5</v>
      </c>
      <c r="F42" s="156">
        <f t="array" ref="F42">INDEX('NORTE - RUTH'!F:F, MATCH(S42, 'NORTE - RUTH'!K:K, 0), )</f>
        <v>69</v>
      </c>
      <c r="G42" s="159" t="str">
        <f t="array" ref="G42">INDEX('NORTE - RUTH'!G:G, MATCH(S42, 'NORTE - RUTH'!K:K, 0), )</f>
        <v>F.A</v>
      </c>
      <c r="H42" s="238" t="str">
        <f t="array" ref="H42">INDEX('NORTE - RUTH'!H:H, MATCH(S42, 'NORTE - RUTH'!K:K, 0), )</f>
        <v>CUTERVO</v>
      </c>
      <c r="I42" s="239" t="str">
        <f t="array" ref="I42">INDEX('NORTE - RUTH'!I:I, MATCH(S42, 'NORTE - RUTH'!K:K, 0), )</f>
        <v>30/10/2025 - Sectoristas - El pastor local señala lo siguiente:
Dios le bendiga hna Ruth, sobre el funcionamiento de la radio en este tiempo de lluvias torrenciales por prevención y cuidado se apaga y cuando ya baja la intensidad de las lluvias se vuelve a encender. Pero anterior a las lluvias estuvo muy bien.
Desde la segunda semana de octubre, hermana
Cuando empezaron las lluvias con fuerza
Entre los días 9 y 10</v>
      </c>
      <c r="J42" s="240" t="str">
        <f t="array" ref="J42">INDEX('NORTE - RUTH'!J:J, MATCH(S42, 'NORTE - RUTH'!K:K, 0), )</f>
        <v>Devolucion trasmisor</v>
      </c>
      <c r="K42" s="241" t="str">
        <f t="array" ref="K42">INDEX('NORTE - RUTH'!K:K, MATCH(S42, 'NORTE - RUTH'!K:K, 0), )</f>
        <v>R - 41</v>
      </c>
      <c r="L42" s="242">
        <f t="array" ref="L42">INDEX('NORTE - RUTH'!L:L, MATCH(S42, 'NORTE - RUTH'!K:K, 0), )</f>
        <v>0</v>
      </c>
      <c r="M42" s="242">
        <f t="array" ref="M42">INDEX('NORTE - RUTH'!M:M, MATCH(S42, 'NORTE - RUTH'!K:K, 0), )</f>
        <v>0</v>
      </c>
      <c r="N42" s="241">
        <f t="array" ref="N42">INDEX('NORTE - RUTH'!N:N, MATCH(S42, 'NORTE - RUTH'!K:K, 0), )</f>
        <v>0</v>
      </c>
      <c r="O42" s="241">
        <f t="array" ref="O42">INDEX('NORTE - RUTH'!O:O, MATCH(S42, 'NORTE - RUTH'!K:K, 0), )</f>
        <v>0</v>
      </c>
      <c r="P42" s="236">
        <v>-6.3729722222222218</v>
      </c>
      <c r="Q42" s="236">
        <v>-78.802472222222221</v>
      </c>
      <c r="R42" s="243" t="s">
        <v>1322</v>
      </c>
      <c r="S42" s="246" t="s">
        <v>1191</v>
      </c>
      <c r="U42" s="245"/>
    </row>
    <row r="43" spans="1:21" ht="17.25" customHeight="1">
      <c r="A43" s="236">
        <v>42</v>
      </c>
      <c r="B43" s="237" t="str">
        <f t="array" ref="B43">INDEX('NORTE - RUTH'!B:B, MATCH(S43, 'NORTE - RUTH'!K:K, 0), )</f>
        <v>Huacrachuco</v>
      </c>
      <c r="C43" s="156" t="str">
        <f t="array" ref="C43">INDEX('NORTE - RUTH'!C:C, MATCH(S43, 'NORTE - RUTH'!K:K, 0), )</f>
        <v>Huanuco</v>
      </c>
      <c r="D43" s="156" t="str">
        <f t="array" ref="D43">INDEX('NORTE - RUTH'!D:D, MATCH(S43, 'NORTE - RUTH'!K:K, 0), )</f>
        <v>VHF</v>
      </c>
      <c r="E43" s="156">
        <f t="array" ref="E43">INDEX('NORTE - RUTH'!E:E, MATCH(S43, 'NORTE - RUTH'!K:K, 0), )</f>
        <v>9</v>
      </c>
      <c r="F43" s="156">
        <f t="array" ref="F43">INDEX('NORTE - RUTH'!F:F, MATCH(S43, 'NORTE - RUTH'!K:K, 0), )</f>
        <v>81</v>
      </c>
      <c r="G43" s="159" t="str">
        <f t="array" ref="G43">INDEX('NORTE - RUTH'!G:G, MATCH(S43, 'NORTE - RUTH'!K:K, 0), )</f>
        <v>A.A</v>
      </c>
      <c r="H43" s="238" t="str">
        <f t="array" ref="H43">INDEX('NORTE - RUTH'!H:H, MATCH(S43, 'NORTE - RUTH'!K:K, 0), )</f>
        <v>HUACRACHUCO</v>
      </c>
      <c r="I43" s="239" t="str">
        <f t="array" ref="I43">INDEX('NORTE - RUTH'!I:I, MATCH(S43, 'NORTE - RUTH'!K:K, 0), )</f>
        <v>1/12/2025 - Sectoristas - Con fecha martes 25 jueves 27 de noviembre y lunes 01 de diciembre se solicitó evidencia de monitoreo, el pastor envió esta evidencia en video el dia de hoy.</v>
      </c>
      <c r="J43" s="240">
        <f t="array" ref="J43">INDEX('NORTE - RUTH'!J:J, MATCH(S43, 'NORTE - RUTH'!K:K, 0), )</f>
        <v>0</v>
      </c>
      <c r="K43" s="241" t="str">
        <f t="array" ref="K43">INDEX('NORTE - RUTH'!K:K, MATCH(S43, 'NORTE - RUTH'!K:K, 0), )</f>
        <v>R - 42</v>
      </c>
      <c r="L43" s="242" t="str">
        <f t="array" ref="L43">INDEX('NORTE - RUTH'!L:L, MATCH(S43, 'NORTE - RUTH'!K:K, 0), )</f>
        <v>Sectoristas</v>
      </c>
      <c r="M43" s="242" t="str">
        <f t="array" ref="M43">INDEX('NORTE - RUTH'!M:M, MATCH(S43, 'NORTE - RUTH'!K:K, 0), )</f>
        <v>Nivel 1</v>
      </c>
      <c r="N43" s="241">
        <f t="array" ref="N43">INDEX('NORTE - RUTH'!N:N, MATCH(S43, 'NORTE - RUTH'!K:K, 0), )</f>
        <v>0</v>
      </c>
      <c r="O43" s="241">
        <f t="array" ref="O43">INDEX('NORTE - RUTH'!O:O, MATCH(S43, 'NORTE - RUTH'!K:K, 0), )</f>
        <v>0</v>
      </c>
      <c r="P43" s="236">
        <v>-8.6013055555555553</v>
      </c>
      <c r="Q43" s="236">
        <v>-77.139888888888891</v>
      </c>
      <c r="R43" s="243" t="s">
        <v>1323</v>
      </c>
      <c r="S43" s="246" t="s">
        <v>1324</v>
      </c>
      <c r="U43" s="245"/>
    </row>
    <row r="44" spans="1:21" ht="17.25" customHeight="1">
      <c r="A44" s="236">
        <v>43</v>
      </c>
      <c r="B44" s="237" t="str">
        <f t="array" ref="B44">INDEX('NORTE - RUTH'!B:B, MATCH(S44, 'NORTE - RUTH'!K:K, 0), )</f>
        <v>Huamachuco</v>
      </c>
      <c r="C44" s="156" t="str">
        <f t="array" ref="C44">INDEX('NORTE - RUTH'!C:C, MATCH(S44, 'NORTE - RUTH'!K:K, 0), )</f>
        <v>La Libertad</v>
      </c>
      <c r="D44" s="156" t="str">
        <f t="array" ref="D44">INDEX('NORTE - RUTH'!D:D, MATCH(S44, 'NORTE - RUTH'!K:K, 0), )</f>
        <v>FM</v>
      </c>
      <c r="E44" s="156">
        <f t="array" ref="E44">INDEX('NORTE - RUTH'!E:E, MATCH(S44, 'NORTE - RUTH'!K:K, 0), )</f>
        <v>92.5</v>
      </c>
      <c r="F44" s="156">
        <f t="array" ref="F44">INDEX('NORTE - RUTH'!F:F, MATCH(S44, 'NORTE - RUTH'!K:K, 0), )</f>
        <v>55</v>
      </c>
      <c r="G44" s="159" t="str">
        <f t="array" ref="G44">INDEX('NORTE - RUTH'!G:G, MATCH(S44, 'NORTE - RUTH'!K:K, 0), )</f>
        <v>A.A</v>
      </c>
      <c r="H44" s="238" t="str">
        <f t="array" ref="H44">INDEX('NORTE - RUTH'!H:H, MATCH(S44, 'NORTE - RUTH'!K:K, 0), )</f>
        <v>HUAMACHUCO</v>
      </c>
      <c r="I44" s="239" t="str">
        <f t="array" ref="I44">INDEX('NORTE - RUTH'!I:I, MATCH(S44, 'NORTE - RUTH'!K:K, 0), )</f>
        <v>25/11/2025 - Sectoristas - Según información facilitada por el pastor con fecha 19 de noviembre la radio se encuentra con señal al aire</v>
      </c>
      <c r="J44" s="240">
        <f t="array" ref="J44">INDEX('NORTE - RUTH'!J:J, MATCH(S44, 'NORTE - RUTH'!K:K, 0), )</f>
        <v>0</v>
      </c>
      <c r="K44" s="241" t="str">
        <f t="array" ref="K44">INDEX('NORTE - RUTH'!K:K, MATCH(S44, 'NORTE - RUTH'!K:K, 0), )</f>
        <v>R - 43</v>
      </c>
      <c r="L44" s="242" t="str">
        <f t="array" ref="L44">INDEX('NORTE - RUTH'!L:L, MATCH(S44, 'NORTE - RUTH'!K:K, 0), )</f>
        <v>Sectoristas</v>
      </c>
      <c r="M44" s="242" t="str">
        <f t="array" ref="M44">INDEX('NORTE - RUTH'!M:M, MATCH(S44, 'NORTE - RUTH'!K:K, 0), )</f>
        <v>Nivel 1</v>
      </c>
      <c r="N44" s="241">
        <f t="array" ref="N44">INDEX('NORTE - RUTH'!N:N, MATCH(S44, 'NORTE - RUTH'!K:K, 0), )</f>
        <v>0</v>
      </c>
      <c r="O44" s="241">
        <f t="array" ref="O44">INDEX('NORTE - RUTH'!O:O, MATCH(S44, 'NORTE - RUTH'!K:K, 0), )</f>
        <v>0</v>
      </c>
      <c r="P44" s="236">
        <v>-7.8130555555555556</v>
      </c>
      <c r="Q44" s="236">
        <v>-78.049111111111102</v>
      </c>
      <c r="R44" s="243" t="s">
        <v>1325</v>
      </c>
      <c r="S44" s="246" t="s">
        <v>1326</v>
      </c>
      <c r="U44" s="245"/>
    </row>
    <row r="45" spans="1:21" ht="17.25" customHeight="1">
      <c r="A45" s="236">
        <v>44</v>
      </c>
      <c r="B45" s="237" t="str">
        <f t="array" ref="B45">INDEX('NORTE - RUTH'!B:B, MATCH(S45, 'NORTE - RUTH'!K:K, 0), )</f>
        <v>Huancabamba</v>
      </c>
      <c r="C45" s="156" t="str">
        <f t="array" ref="C45">INDEX('NORTE - RUTH'!C:C, MATCH(S45, 'NORTE - RUTH'!K:K, 0), )</f>
        <v>Piura</v>
      </c>
      <c r="D45" s="156" t="str">
        <f t="array" ref="D45">INDEX('NORTE - RUTH'!D:D, MATCH(S45, 'NORTE - RUTH'!K:K, 0), )</f>
        <v>FM</v>
      </c>
      <c r="E45" s="156">
        <f t="array" ref="E45">INDEX('NORTE - RUTH'!E:E, MATCH(S45, 'NORTE - RUTH'!K:K, 0), )</f>
        <v>101.5</v>
      </c>
      <c r="F45" s="156">
        <f t="array" ref="F45">INDEX('NORTE - RUTH'!F:F, MATCH(S45, 'NORTE - RUTH'!K:K, 0), )</f>
        <v>142</v>
      </c>
      <c r="G45" s="159" t="str">
        <f t="array" ref="G45">INDEX('NORTE - RUTH'!G:G, MATCH(S45, 'NORTE - RUTH'!K:K, 0), )</f>
        <v>F.A</v>
      </c>
      <c r="H45" s="238" t="str">
        <f t="array" ref="H45">INDEX('NORTE - RUTH'!H:H, MATCH(S45, 'NORTE - RUTH'!K:K, 0), )</f>
        <v>HUANCABAMBA</v>
      </c>
      <c r="I45" s="239" t="str">
        <f t="array" ref="I45">INDEX('NORTE - RUTH'!I:I, MATCH(S45, 'NORTE - RUTH'!K:K, 0), )</f>
        <v>12/11/2025 - Sectoristas - La estación salió fuera del aire pues tiene el LNB malogrado. Fue atendida por Lizandro, en espera de esta adquisición.</v>
      </c>
      <c r="J45" s="240">
        <f t="array" ref="J45">INDEX('NORTE - RUTH'!J:J, MATCH(S45, 'NORTE - RUTH'!K:K, 0), )</f>
        <v>0</v>
      </c>
      <c r="K45" s="241" t="str">
        <f t="array" ref="K45">INDEX('NORTE - RUTH'!K:K, MATCH(S45, 'NORTE - RUTH'!K:K, 0), )</f>
        <v>R - 44</v>
      </c>
      <c r="L45" s="242">
        <f t="array" ref="L45">INDEX('NORTE - RUTH'!L:L, MATCH(S45, 'NORTE - RUTH'!K:K, 0), )</f>
        <v>0</v>
      </c>
      <c r="M45" s="242">
        <f t="array" ref="M45">INDEX('NORTE - RUTH'!M:M, MATCH(S45, 'NORTE - RUTH'!K:K, 0), )</f>
        <v>0</v>
      </c>
      <c r="N45" s="241">
        <f t="array" ref="N45">INDEX('NORTE - RUTH'!N:N, MATCH(S45, 'NORTE - RUTH'!K:K, 0), )</f>
        <v>0</v>
      </c>
      <c r="O45" s="241">
        <f t="array" ref="O45">INDEX('NORTE - RUTH'!O:O, MATCH(S45, 'NORTE - RUTH'!K:K, 0), )</f>
        <v>0</v>
      </c>
      <c r="P45" s="236">
        <v>-5.2429055555555557</v>
      </c>
      <c r="Q45" s="236">
        <v>-79.433769444444451</v>
      </c>
      <c r="R45" s="243" t="s">
        <v>1327</v>
      </c>
      <c r="S45" s="246" t="s">
        <v>1193</v>
      </c>
      <c r="U45" s="245"/>
    </row>
    <row r="46" spans="1:21" ht="17.25" customHeight="1">
      <c r="A46" s="236">
        <v>45</v>
      </c>
      <c r="B46" s="237" t="str">
        <f t="array" ref="B46">INDEX('NORTE - RUTH'!B:B, MATCH(S46, 'NORTE - RUTH'!K:K, 0), )</f>
        <v>Huancabamba</v>
      </c>
      <c r="C46" s="156" t="str">
        <f t="array" ref="C46">INDEX('NORTE - RUTH'!C:C, MATCH(S46, 'NORTE - RUTH'!K:K, 0), )</f>
        <v>Piura</v>
      </c>
      <c r="D46" s="156" t="str">
        <f t="array" ref="D46">INDEX('NORTE - RUTH'!D:D, MATCH(S46, 'NORTE - RUTH'!K:K, 0), )</f>
        <v>VHF</v>
      </c>
      <c r="E46" s="156">
        <f t="array" ref="E46">INDEX('NORTE - RUTH'!E:E, MATCH(S46, 'NORTE - RUTH'!K:K, 0), )</f>
        <v>5</v>
      </c>
      <c r="F46" s="156">
        <f t="array" ref="F46">INDEX('NORTE - RUTH'!F:F, MATCH(S46, 'NORTE - RUTH'!K:K, 0), )</f>
        <v>142</v>
      </c>
      <c r="G46" s="159" t="str">
        <f t="array" ref="G46">INDEX('NORTE - RUTH'!G:G, MATCH(S46, 'NORTE - RUTH'!K:K, 0), )</f>
        <v>F.A</v>
      </c>
      <c r="H46" s="238" t="str">
        <f t="array" ref="H46">INDEX('NORTE - RUTH'!H:H, MATCH(S46, 'NORTE - RUTH'!K:K, 0), )</f>
        <v>HUANCABAMBA</v>
      </c>
      <c r="I46" s="239" t="str">
        <f t="array" ref="I46">INDEX('NORTE - RUTH'!I:I, MATCH(S46, 'NORTE - RUTH'!K:K, 0), )</f>
        <v>12/11/2025 - Sectoristas - El hno Lizandro atendió la estación señalando que se quemo el deco</v>
      </c>
      <c r="J46" s="240">
        <f t="array" ref="J46">INDEX('NORTE - RUTH'!J:J, MATCH(S46, 'NORTE - RUTH'!K:K, 0), )</f>
        <v>0</v>
      </c>
      <c r="K46" s="241" t="str">
        <f t="array" ref="K46">INDEX('NORTE - RUTH'!K:K, MATCH(S46, 'NORTE - RUTH'!K:K, 0), )</f>
        <v>R - 45</v>
      </c>
      <c r="L46" s="242">
        <f t="array" ref="L46">INDEX('NORTE - RUTH'!L:L, MATCH(S46, 'NORTE - RUTH'!K:K, 0), )</f>
        <v>0</v>
      </c>
      <c r="M46" s="242">
        <f t="array" ref="M46">INDEX('NORTE - RUTH'!M:M, MATCH(S46, 'NORTE - RUTH'!K:K, 0), )</f>
        <v>0</v>
      </c>
      <c r="N46" s="241">
        <f t="array" ref="N46">INDEX('NORTE - RUTH'!N:N, MATCH(S46, 'NORTE - RUTH'!K:K, 0), )</f>
        <v>0</v>
      </c>
      <c r="O46" s="241">
        <f t="array" ref="O46">INDEX('NORTE - RUTH'!O:O, MATCH(S46, 'NORTE - RUTH'!K:K, 0), )</f>
        <v>0</v>
      </c>
      <c r="P46" s="236">
        <v>-5.2429055555555557</v>
      </c>
      <c r="Q46" s="236">
        <v>-79.433769444444451</v>
      </c>
      <c r="R46" s="243" t="s">
        <v>1327</v>
      </c>
      <c r="S46" s="246" t="s">
        <v>1194</v>
      </c>
      <c r="U46" s="245"/>
    </row>
    <row r="47" spans="1:21" ht="17.25" customHeight="1">
      <c r="A47" s="236">
        <v>46</v>
      </c>
      <c r="B47" s="237" t="str">
        <f t="array" ref="B47">INDEX('NORTE - RUTH'!B:B, MATCH(S47, 'NORTE - RUTH'!K:K, 0), )</f>
        <v>Huanchay</v>
      </c>
      <c r="C47" s="156" t="str">
        <f t="array" ref="C47">INDEX('NORTE - RUTH'!C:C, MATCH(S47, 'NORTE - RUTH'!K:K, 0), )</f>
        <v>Ancash</v>
      </c>
      <c r="D47" s="156" t="str">
        <f t="array" ref="D47">INDEX('NORTE - RUTH'!D:D, MATCH(S47, 'NORTE - RUTH'!K:K, 0), )</f>
        <v>FM</v>
      </c>
      <c r="E47" s="156">
        <f t="array" ref="E47">INDEX('NORTE - RUTH'!E:E, MATCH(S47, 'NORTE - RUTH'!K:K, 0), )</f>
        <v>104.5</v>
      </c>
      <c r="F47" s="156">
        <f t="array" ref="F47">INDEX('NORTE - RUTH'!F:F, MATCH(S47, 'NORTE - RUTH'!K:K, 0), )</f>
        <v>95</v>
      </c>
      <c r="G47" s="159" t="str">
        <f t="array" ref="G47">INDEX('NORTE - RUTH'!G:G, MATCH(S47, 'NORTE - RUTH'!K:K, 0), )</f>
        <v>N.I</v>
      </c>
      <c r="H47" s="238" t="str">
        <f t="array" ref="H47">INDEX('NORTE - RUTH'!H:H, MATCH(S47, 'NORTE - RUTH'!K:K, 0), )</f>
        <v>HUANCHAY</v>
      </c>
      <c r="I47" s="239" t="str">
        <f t="array" ref="I47">INDEX('NORTE - RUTH'!I:I, MATCH(S47, 'NORTE - RUTH'!K:K, 0), )</f>
        <v>26/09/2025 - Sectoristas - No hay iglesia no hay equipamiento.</v>
      </c>
      <c r="J47" s="240">
        <f t="array" ref="J47">INDEX('NORTE - RUTH'!J:J, MATCH(S47, 'NORTE - RUTH'!K:K, 0), )</f>
        <v>0</v>
      </c>
      <c r="K47" s="241" t="str">
        <f t="array" ref="K47">INDEX('NORTE - RUTH'!K:K, MATCH(S47, 'NORTE - RUTH'!K:K, 0), )</f>
        <v>R - 46</v>
      </c>
      <c r="L47" s="242">
        <f t="array" ref="L47">INDEX('NORTE - RUTH'!L:L, MATCH(S47, 'NORTE - RUTH'!K:K, 0), )</f>
        <v>0</v>
      </c>
      <c r="M47" s="242">
        <f t="array" ref="M47">INDEX('NORTE - RUTH'!M:M, MATCH(S47, 'NORTE - RUTH'!K:K, 0), )</f>
        <v>0</v>
      </c>
      <c r="N47" s="241">
        <f t="array" ref="N47">INDEX('NORTE - RUTH'!N:N, MATCH(S47, 'NORTE - RUTH'!K:K, 0), )</f>
        <v>0</v>
      </c>
      <c r="O47" s="241">
        <f t="array" ref="O47">INDEX('NORTE - RUTH'!O:O, MATCH(S47, 'NORTE - RUTH'!K:K, 0), )</f>
        <v>0</v>
      </c>
      <c r="P47" s="236">
        <v>-9.7226388888888895</v>
      </c>
      <c r="Q47" s="236">
        <v>-77.816194444444449</v>
      </c>
      <c r="R47" s="243" t="s">
        <v>1328</v>
      </c>
      <c r="S47" s="246" t="s">
        <v>1329</v>
      </c>
      <c r="U47" s="245"/>
    </row>
    <row r="48" spans="1:21" ht="17.25" customHeight="1">
      <c r="A48" s="236">
        <v>47</v>
      </c>
      <c r="B48" s="237" t="str">
        <f t="array" ref="B48">INDEX('NORTE - RUTH'!B:B, MATCH(S48, 'NORTE - RUTH'!K:K, 0), )</f>
        <v>Huaraz</v>
      </c>
      <c r="C48" s="156" t="str">
        <f t="array" ref="C48">INDEX('NORTE - RUTH'!C:C, MATCH(S48, 'NORTE - RUTH'!K:K, 0), )</f>
        <v>Ancash</v>
      </c>
      <c r="D48" s="156" t="str">
        <f t="array" ref="D48">INDEX('NORTE - RUTH'!D:D, MATCH(S48, 'NORTE - RUTH'!K:K, 0), )</f>
        <v>UHF</v>
      </c>
      <c r="E48" s="156">
        <f t="array" ref="E48">INDEX('NORTE - RUTH'!E:E, MATCH(S48, 'NORTE - RUTH'!K:K, 0), )</f>
        <v>43</v>
      </c>
      <c r="F48" s="156">
        <f t="array" ref="F48">INDEX('NORTE - RUTH'!F:F, MATCH(S48, 'NORTE - RUTH'!K:K, 0), )</f>
        <v>12</v>
      </c>
      <c r="G48" s="159" t="str">
        <f t="array" ref="G48">INDEX('NORTE - RUTH'!G:G, MATCH(S48, 'NORTE - RUTH'!K:K, 0), )</f>
        <v>A.A</v>
      </c>
      <c r="H48" s="238" t="str">
        <f t="array" ref="H48">INDEX('NORTE - RUTH'!H:H, MATCH(S48, 'NORTE - RUTH'!K:K, 0), )</f>
        <v>HUARAZ</v>
      </c>
      <c r="I48" s="239" t="str">
        <f t="array" ref="I48">INDEX('NORTE - RUTH'!I:I, MATCH(S48, 'NORTE - RUTH'!K:K, 0), )</f>
        <v>28/11/2025 - Sectoristas - Con fecha jueves 27 de noviembre el hno Kelion envia video donde se visualiza la señal de tv</v>
      </c>
      <c r="J48" s="240">
        <f t="array" ref="J48">INDEX('NORTE - RUTH'!J:J, MATCH(S48, 'NORTE - RUTH'!K:K, 0), )</f>
        <v>0</v>
      </c>
      <c r="K48" s="241" t="str">
        <f t="array" ref="K48">INDEX('NORTE - RUTH'!K:K, MATCH(S48, 'NORTE - RUTH'!K:K, 0), )</f>
        <v>R - 47</v>
      </c>
      <c r="L48" s="242" t="str">
        <f t="array" ref="L48">INDEX('NORTE - RUTH'!L:L, MATCH(S48, 'NORTE - RUTH'!K:K, 0), )</f>
        <v>Sectoristas</v>
      </c>
      <c r="M48" s="242" t="str">
        <f t="array" ref="M48">INDEX('NORTE - RUTH'!M:M, MATCH(S48, 'NORTE - RUTH'!K:K, 0), )</f>
        <v>Nivel 1</v>
      </c>
      <c r="N48" s="241">
        <f t="array" ref="N48">INDEX('NORTE - RUTH'!N:N, MATCH(S48, 'NORTE - RUTH'!K:K, 0), )</f>
        <v>0</v>
      </c>
      <c r="O48" s="241">
        <f t="array" ref="O48">INDEX('NORTE - RUTH'!O:O, MATCH(S48, 'NORTE - RUTH'!K:K, 0), )</f>
        <v>0</v>
      </c>
      <c r="P48" s="236">
        <v>-9.519861111111112</v>
      </c>
      <c r="Q48" s="236">
        <v>-77.516611111111118</v>
      </c>
      <c r="R48" s="243" t="s">
        <v>1330</v>
      </c>
      <c r="S48" s="246" t="s">
        <v>1331</v>
      </c>
      <c r="U48" s="245"/>
    </row>
    <row r="49" spans="1:21" ht="17.25" customHeight="1">
      <c r="A49" s="236">
        <v>48</v>
      </c>
      <c r="B49" s="237" t="str">
        <f t="array" ref="B49">INDEX('NORTE - RUTH'!B:B, MATCH(S49, 'NORTE - RUTH'!K:K, 0), )</f>
        <v xml:space="preserve">Huaraz </v>
      </c>
      <c r="C49" s="156" t="str">
        <f t="array" ref="C49">INDEX('NORTE - RUTH'!C:C, MATCH(S49, 'NORTE - RUTH'!K:K, 0), )</f>
        <v>Ancash</v>
      </c>
      <c r="D49" s="156" t="str">
        <f t="array" ref="D49">INDEX('NORTE - RUTH'!D:D, MATCH(S49, 'NORTE - RUTH'!K:K, 0), )</f>
        <v>FM</v>
      </c>
      <c r="E49" s="156">
        <f t="array" ref="E49">INDEX('NORTE - RUTH'!E:E, MATCH(S49, 'NORTE - RUTH'!K:K, 0), )</f>
        <v>98.1</v>
      </c>
      <c r="F49" s="156">
        <f t="array" ref="F49">INDEX('NORTE - RUTH'!F:F, MATCH(S49, 'NORTE - RUTH'!K:K, 0), )</f>
        <v>12</v>
      </c>
      <c r="G49" s="159" t="str">
        <f t="array" ref="G49">INDEX('NORTE - RUTH'!G:G, MATCH(S49, 'NORTE - RUTH'!K:K, 0), )</f>
        <v>A.A</v>
      </c>
      <c r="H49" s="238" t="str">
        <f t="array" ref="H49">INDEX('NORTE - RUTH'!H:H, MATCH(S49, 'NORTE - RUTH'!K:K, 0), )</f>
        <v>HUARAZ</v>
      </c>
      <c r="I49" s="239" t="str">
        <f t="array" ref="I49">INDEX('NORTE - RUTH'!I:I, MATCH(S49, 'NORTE - RUTH'!K:K, 0), )</f>
        <v>1/12/2025 - Sectoristas - El pastor Abel Cueto estuvo el dia viernes 28 de noviembre por la localidad verificando operatividad de la radio y canal. Pero como los equipos están bastante deteriorados pero en uso, se enviara presupuesto para adquisición de los mismos en esta primera semana de diciembre.</v>
      </c>
      <c r="J49" s="240">
        <f t="array" ref="J49">INDEX('NORTE - RUTH'!J:J, MATCH(S49, 'NORTE - RUTH'!K:K, 0), )</f>
        <v>0</v>
      </c>
      <c r="K49" s="241" t="str">
        <f t="array" ref="K49">INDEX('NORTE - RUTH'!K:K, MATCH(S49, 'NORTE - RUTH'!K:K, 0), )</f>
        <v>R - 48</v>
      </c>
      <c r="L49" s="242" t="str">
        <f t="array" ref="L49">INDEX('NORTE - RUTH'!L:L, MATCH(S49, 'NORTE - RUTH'!K:K, 0), )</f>
        <v>Sectoristas</v>
      </c>
      <c r="M49" s="242" t="str">
        <f t="array" ref="M49">INDEX('NORTE - RUTH'!M:M, MATCH(S49, 'NORTE - RUTH'!K:K, 0), )</f>
        <v>Nivel 1</v>
      </c>
      <c r="N49" s="241">
        <f t="array" ref="N49">INDEX('NORTE - RUTH'!N:N, MATCH(S49, 'NORTE - RUTH'!K:K, 0), )</f>
        <v>0</v>
      </c>
      <c r="O49" s="241">
        <f t="array" ref="O49">INDEX('NORTE - RUTH'!O:O, MATCH(S49, 'NORTE - RUTH'!K:K, 0), )</f>
        <v>0</v>
      </c>
      <c r="P49" s="236">
        <v>-9.519805555555557</v>
      </c>
      <c r="Q49" s="236">
        <v>-77.516611111111118</v>
      </c>
      <c r="R49" s="243" t="s">
        <v>1332</v>
      </c>
      <c r="S49" s="246" t="s">
        <v>1333</v>
      </c>
      <c r="U49" s="245"/>
    </row>
    <row r="50" spans="1:21" ht="17.25" customHeight="1">
      <c r="A50" s="236">
        <v>49</v>
      </c>
      <c r="B50" s="237" t="str">
        <f t="array" ref="B50">INDEX('NORTE - RUTH'!B:B, MATCH(S50, 'NORTE - RUTH'!K:K, 0), )</f>
        <v>Huari</v>
      </c>
      <c r="C50" s="156" t="str">
        <f t="array" ref="C50">INDEX('NORTE - RUTH'!C:C, MATCH(S50, 'NORTE - RUTH'!K:K, 0), )</f>
        <v>Ancash</v>
      </c>
      <c r="D50" s="156" t="str">
        <f t="array" ref="D50">INDEX('NORTE - RUTH'!D:D, MATCH(S50, 'NORTE - RUTH'!K:K, 0), )</f>
        <v>FM</v>
      </c>
      <c r="E50" s="156">
        <f t="array" ref="E50">INDEX('NORTE - RUTH'!E:E, MATCH(S50, 'NORTE - RUTH'!K:K, 0), )</f>
        <v>89.5</v>
      </c>
      <c r="F50" s="156">
        <f t="array" ref="F50">INDEX('NORTE - RUTH'!F:F, MATCH(S50, 'NORTE - RUTH'!K:K, 0), )</f>
        <v>59</v>
      </c>
      <c r="G50" s="159" t="str">
        <f t="array" ref="G50">INDEX('NORTE - RUTH'!G:G, MATCH(S50, 'NORTE - RUTH'!K:K, 0), )</f>
        <v>A.A</v>
      </c>
      <c r="H50" s="238" t="str">
        <f t="array" ref="H50">INDEX('NORTE - RUTH'!H:H, MATCH(S50, 'NORTE - RUTH'!K:K, 0), )</f>
        <v>HUARI</v>
      </c>
      <c r="I50" s="239" t="str">
        <f t="array" ref="I50">INDEX('NORTE - RUTH'!I:I, MATCH(S50, 'NORTE - RUTH'!K:K, 0), )</f>
        <v>27/11/2025 - Sectoristas - El día de ayer 26 de noviembre el pastor local, envio evidencia por audio y video donde se evidencia la operatividad</v>
      </c>
      <c r="J50" s="240">
        <f t="array" ref="J50">INDEX('NORTE - RUTH'!J:J, MATCH(S50, 'NORTE - RUTH'!K:K, 0), )</f>
        <v>0</v>
      </c>
      <c r="K50" s="241" t="str">
        <f t="array" ref="K50">INDEX('NORTE - RUTH'!K:K, MATCH(S50, 'NORTE - RUTH'!K:K, 0), )</f>
        <v>R - 49</v>
      </c>
      <c r="L50" s="242" t="str">
        <f t="array" ref="L50">INDEX('NORTE - RUTH'!L:L, MATCH(S50, 'NORTE - RUTH'!K:K, 0), )</f>
        <v>Sectoristas</v>
      </c>
      <c r="M50" s="242" t="str">
        <f t="array" ref="M50">INDEX('NORTE - RUTH'!M:M, MATCH(S50, 'NORTE - RUTH'!K:K, 0), )</f>
        <v>Nivel 1</v>
      </c>
      <c r="N50" s="241">
        <f t="array" ref="N50">INDEX('NORTE - RUTH'!N:N, MATCH(S50, 'NORTE - RUTH'!K:K, 0), )</f>
        <v>0</v>
      </c>
      <c r="O50" s="241">
        <f t="array" ref="O50">INDEX('NORTE - RUTH'!O:O, MATCH(S50, 'NORTE - RUTH'!K:K, 0), )</f>
        <v>0</v>
      </c>
      <c r="P50" s="236">
        <v>-9.3481111111111126</v>
      </c>
      <c r="Q50" s="236">
        <v>-77.17625000000001</v>
      </c>
      <c r="R50" s="243" t="s">
        <v>1334</v>
      </c>
      <c r="S50" s="246" t="s">
        <v>1335</v>
      </c>
      <c r="U50" s="245"/>
    </row>
    <row r="51" spans="1:21" ht="17.25" customHeight="1">
      <c r="A51" s="236">
        <v>50</v>
      </c>
      <c r="B51" s="237" t="str">
        <f t="array" ref="B51">INDEX('NORTE - RUTH'!B:B, MATCH(S51, 'NORTE - RUTH'!K:K, 0), )</f>
        <v>Huarmey</v>
      </c>
      <c r="C51" s="156" t="str">
        <f t="array" ref="C51">INDEX('NORTE - RUTH'!C:C, MATCH(S51, 'NORTE - RUTH'!K:K, 0), )</f>
        <v>Ancash</v>
      </c>
      <c r="D51" s="156" t="str">
        <f t="array" ref="D51">INDEX('NORTE - RUTH'!D:D, MATCH(S51, 'NORTE - RUTH'!K:K, 0), )</f>
        <v>VHF</v>
      </c>
      <c r="E51" s="156">
        <f t="array" ref="E51">INDEX('NORTE - RUTH'!E:E, MATCH(S51, 'NORTE - RUTH'!K:K, 0), )</f>
        <v>9</v>
      </c>
      <c r="F51" s="156">
        <f t="array" ref="F51">INDEX('NORTE - RUTH'!F:F, MATCH(S51, 'NORTE - RUTH'!K:K, 0), )</f>
        <v>95</v>
      </c>
      <c r="G51" s="159" t="str">
        <f t="array" ref="G51">INDEX('NORTE - RUTH'!G:G, MATCH(S51, 'NORTE - RUTH'!K:K, 0), )</f>
        <v>A.A</v>
      </c>
      <c r="H51" s="238" t="str">
        <f t="array" ref="H51">INDEX('NORTE - RUTH'!H:H, MATCH(S51, 'NORTE - RUTH'!K:K, 0), )</f>
        <v>HUARMEY</v>
      </c>
      <c r="I51" s="239" t="str">
        <f t="array" ref="I51">INDEX('NORTE - RUTH'!I:I, MATCH(S51, 'NORTE - RUTH'!K:K, 0), )</f>
        <v>9/10/2025 - Sectoristas - Se consulto el día de hoy al pastor Victor Vilela por la operatividad de la radio y tv, señalando que operan normalmente.</v>
      </c>
      <c r="J51" s="240">
        <f t="array" ref="J51">INDEX('NORTE - RUTH'!J:J, MATCH(S51, 'NORTE - RUTH'!K:K, 0), )</f>
        <v>0</v>
      </c>
      <c r="K51" s="241" t="str">
        <f t="array" ref="K51">INDEX('NORTE - RUTH'!K:K, MATCH(S51, 'NORTE - RUTH'!K:K, 0), )</f>
        <v>R - 50</v>
      </c>
      <c r="L51" s="242">
        <f t="array" ref="L51">INDEX('NORTE - RUTH'!L:L, MATCH(S51, 'NORTE - RUTH'!K:K, 0), )</f>
        <v>0</v>
      </c>
      <c r="M51" s="242">
        <f t="array" ref="M51">INDEX('NORTE - RUTH'!M:M, MATCH(S51, 'NORTE - RUTH'!K:K, 0), )</f>
        <v>0</v>
      </c>
      <c r="N51" s="241">
        <f t="array" ref="N51">INDEX('NORTE - RUTH'!N:N, MATCH(S51, 'NORTE - RUTH'!K:K, 0), )</f>
        <v>0</v>
      </c>
      <c r="O51" s="241">
        <f t="array" ref="O51">INDEX('NORTE - RUTH'!O:O, MATCH(S51, 'NORTE - RUTH'!K:K, 0), )</f>
        <v>0</v>
      </c>
      <c r="P51" s="236">
        <v>-10.074138888888889</v>
      </c>
      <c r="Q51" s="236">
        <v>-78.150333333333336</v>
      </c>
      <c r="R51" s="243" t="s">
        <v>1336</v>
      </c>
      <c r="S51" s="246" t="s">
        <v>1337</v>
      </c>
      <c r="U51" s="245"/>
    </row>
    <row r="52" spans="1:21" ht="17.25" customHeight="1">
      <c r="A52" s="236">
        <v>51</v>
      </c>
      <c r="B52" s="237" t="str">
        <f t="array" ref="B52">INDEX('NORTE - RUTH'!B:B, MATCH(S52, 'NORTE - RUTH'!K:K, 0), )</f>
        <v>Huarmey</v>
      </c>
      <c r="C52" s="156" t="str">
        <f t="array" ref="C52">INDEX('NORTE - RUTH'!C:C, MATCH(S52, 'NORTE - RUTH'!K:K, 0), )</f>
        <v>Ancash</v>
      </c>
      <c r="D52" s="156" t="str">
        <f t="array" ref="D52">INDEX('NORTE - RUTH'!D:D, MATCH(S52, 'NORTE - RUTH'!K:K, 0), )</f>
        <v>FM</v>
      </c>
      <c r="E52" s="156">
        <f t="array" ref="E52">INDEX('NORTE - RUTH'!E:E, MATCH(S52, 'NORTE - RUTH'!K:K, 0), )</f>
        <v>96.1</v>
      </c>
      <c r="F52" s="156">
        <f t="array" ref="F52">INDEX('NORTE - RUTH'!F:F, MATCH(S52, 'NORTE - RUTH'!K:K, 0), )</f>
        <v>95</v>
      </c>
      <c r="G52" s="159" t="str">
        <f t="array" ref="G52">INDEX('NORTE - RUTH'!G:G, MATCH(S52, 'NORTE - RUTH'!K:K, 0), )</f>
        <v>A.A</v>
      </c>
      <c r="H52" s="238" t="str">
        <f t="array" ref="H52">INDEX('NORTE - RUTH'!H:H, MATCH(S52, 'NORTE - RUTH'!K:K, 0), )</f>
        <v>HUARMEY</v>
      </c>
      <c r="I52" s="239" t="str">
        <f t="array" ref="I52">INDEX('NORTE - RUTH'!I:I, MATCH(S52, 'NORTE - RUTH'!K:K, 0), )</f>
        <v>9/10/2025 - Sectoristas - Se consulto el día de hoy al pastor Victor Vilela por la operatividad de la radio y tv, señalando que operan normalmente.</v>
      </c>
      <c r="J52" s="240">
        <f t="array" ref="J52">INDEX('NORTE - RUTH'!J:J, MATCH(S52, 'NORTE - RUTH'!K:K, 0), )</f>
        <v>0</v>
      </c>
      <c r="K52" s="241" t="str">
        <f t="array" ref="K52">INDEX('NORTE - RUTH'!K:K, MATCH(S52, 'NORTE - RUTH'!K:K, 0), )</f>
        <v>R - 51</v>
      </c>
      <c r="L52" s="242">
        <f t="array" ref="L52">INDEX('NORTE - RUTH'!L:L, MATCH(S52, 'NORTE - RUTH'!K:K, 0), )</f>
        <v>0</v>
      </c>
      <c r="M52" s="242">
        <f t="array" ref="M52">INDEX('NORTE - RUTH'!M:M, MATCH(S52, 'NORTE - RUTH'!K:K, 0), )</f>
        <v>0</v>
      </c>
      <c r="N52" s="241">
        <f t="array" ref="N52">INDEX('NORTE - RUTH'!N:N, MATCH(S52, 'NORTE - RUTH'!K:K, 0), )</f>
        <v>0</v>
      </c>
      <c r="O52" s="241">
        <f t="array" ref="O52">INDEX('NORTE - RUTH'!O:O, MATCH(S52, 'NORTE - RUTH'!K:K, 0), )</f>
        <v>0</v>
      </c>
      <c r="P52" s="236">
        <v>-10.074138888888889</v>
      </c>
      <c r="Q52" s="236">
        <v>-78.150333333333336</v>
      </c>
      <c r="R52" s="243" t="s">
        <v>1336</v>
      </c>
      <c r="S52" s="246" t="s">
        <v>1338</v>
      </c>
      <c r="U52" s="245"/>
    </row>
    <row r="53" spans="1:21" ht="17.25" customHeight="1">
      <c r="A53" s="236">
        <v>52</v>
      </c>
      <c r="B53" s="237" t="str">
        <f t="array" ref="B53">INDEX('NORTE - RUTH'!B:B, MATCH(S53, 'NORTE - RUTH'!K:K, 0), )</f>
        <v>Huicungo</v>
      </c>
      <c r="C53" s="156" t="str">
        <f t="array" ref="C53">INDEX('NORTE - RUTH'!C:C, MATCH(S53, 'NORTE - RUTH'!K:K, 0), )</f>
        <v>San Martin</v>
      </c>
      <c r="D53" s="156" t="str">
        <f t="array" ref="D53">INDEX('NORTE - RUTH'!D:D, MATCH(S53, 'NORTE - RUTH'!K:K, 0), )</f>
        <v>FM</v>
      </c>
      <c r="E53" s="156">
        <f t="array" ref="E53">INDEX('NORTE - RUTH'!E:E, MATCH(S53, 'NORTE - RUTH'!K:K, 0), )</f>
        <v>104.9</v>
      </c>
      <c r="F53" s="156">
        <f t="array" ref="F53">INDEX('NORTE - RUTH'!F:F, MATCH(S53, 'NORTE - RUTH'!K:K, 0), )</f>
        <v>78</v>
      </c>
      <c r="G53" s="159" t="str">
        <f t="array" ref="G53">INDEX('NORTE - RUTH'!G:G, MATCH(S53, 'NORTE - RUTH'!K:K, 0), )</f>
        <v>F.A</v>
      </c>
      <c r="H53" s="238" t="str">
        <f t="array" ref="H53">INDEX('NORTE - RUTH'!H:H, MATCH(S53, 'NORTE - RUTH'!K:K, 0), )</f>
        <v>HUICUNGO</v>
      </c>
      <c r="I53" s="239" t="str">
        <f t="array" ref="I53">INDEX('NORTE - RUTH'!I:I, MATCH(S53, 'NORTE - RUTH'!K:K, 0), )</f>
        <v>27/11/2025 - Sectoristas - Con fecha de hoy 27 de noviembre 2025 el hno Sócrates señala por el grupo de la estación que se esta dejando el transmisor en el laboratorio para reparación. (se copia nuevamente la información pues no se selecciono que estaba fuera del aire)</v>
      </c>
      <c r="J53" s="240">
        <f t="array" ref="J53">INDEX('NORTE - RUTH'!J:J, MATCH(S53, 'NORTE - RUTH'!K:K, 0), )</f>
        <v>0</v>
      </c>
      <c r="K53" s="241" t="str">
        <f t="array" ref="K53">INDEX('NORTE - RUTH'!K:K, MATCH(S53, 'NORTE - RUTH'!K:K, 0), )</f>
        <v>R - 52</v>
      </c>
      <c r="L53" s="242" t="str">
        <f t="array" ref="L53">INDEX('NORTE - RUTH'!L:L, MATCH(S53, 'NORTE - RUTH'!K:K, 0), )</f>
        <v>Laboratorio</v>
      </c>
      <c r="M53" s="242" t="str">
        <f t="array" ref="M53">INDEX('NORTE - RUTH'!M:M, MATCH(S53, 'NORTE - RUTH'!K:K, 0), )</f>
        <v>Nivel 1</v>
      </c>
      <c r="N53" s="241">
        <f t="array" ref="N53">INDEX('NORTE - RUTH'!N:N, MATCH(S53, 'NORTE - RUTH'!K:K, 0), )</f>
        <v>0</v>
      </c>
      <c r="O53" s="241">
        <f t="array" ref="O53">INDEX('NORTE - RUTH'!O:O, MATCH(S53, 'NORTE - RUTH'!K:K, 0), )</f>
        <v>0</v>
      </c>
      <c r="P53" s="236">
        <v>-7.3311805555555551</v>
      </c>
      <c r="Q53" s="236">
        <v>-76.779383333333328</v>
      </c>
      <c r="R53" s="243" t="s">
        <v>1339</v>
      </c>
      <c r="S53" s="246" t="s">
        <v>1195</v>
      </c>
      <c r="U53" s="245"/>
    </row>
    <row r="54" spans="1:21" ht="17.25" customHeight="1">
      <c r="A54" s="236">
        <v>53</v>
      </c>
      <c r="B54" s="237" t="str">
        <f t="array" ref="B54">INDEX('NORTE - RUTH'!B:B, MATCH(S54, 'NORTE - RUTH'!K:K, 0), )</f>
        <v>Jaen</v>
      </c>
      <c r="C54" s="156" t="str">
        <f t="array" ref="C54">INDEX('NORTE - RUTH'!C:C, MATCH(S54, 'NORTE - RUTH'!K:K, 0), )</f>
        <v>Cajamarca</v>
      </c>
      <c r="D54" s="156" t="str">
        <f t="array" ref="D54">INDEX('NORTE - RUTH'!D:D, MATCH(S54, 'NORTE - RUTH'!K:K, 0), )</f>
        <v>FM</v>
      </c>
      <c r="E54" s="156">
        <f t="array" ref="E54">INDEX('NORTE - RUTH'!E:E, MATCH(S54, 'NORTE - RUTH'!K:K, 0), )</f>
        <v>100.5</v>
      </c>
      <c r="F54" s="156">
        <f t="array" ref="F54">INDEX('NORTE - RUTH'!F:F, MATCH(S54, 'NORTE - RUTH'!K:K, 0), )</f>
        <v>83</v>
      </c>
      <c r="G54" s="159" t="str">
        <f t="array" ref="G54">INDEX('NORTE - RUTH'!G:G, MATCH(S54, 'NORTE - RUTH'!K:K, 0), )</f>
        <v>A.A</v>
      </c>
      <c r="H54" s="238" t="str">
        <f t="array" ref="H54">INDEX('NORTE - RUTH'!H:H, MATCH(S54, 'NORTE - RUTH'!K:K, 0), )</f>
        <v>JAEN</v>
      </c>
      <c r="I54" s="239" t="str">
        <f t="array" ref="I54">INDEX('NORTE - RUTH'!I:I, MATCH(S54, 'NORTE - RUTH'!K:K, 0), )</f>
        <v>25/11/2025 - Sectoristas - Según información del pastor local con fecha 19 de noviembre la radio se encuentra operativa</v>
      </c>
      <c r="J54" s="240" t="str">
        <f t="array" ref="J54">INDEX('NORTE - RUTH'!J:J, MATCH(S54, 'NORTE - RUTH'!K:K, 0), )</f>
        <v xml:space="preserve">retorno la señal el 20 de enero </v>
      </c>
      <c r="K54" s="241" t="str">
        <f t="array" ref="K54">INDEX('NORTE - RUTH'!K:K, MATCH(S54, 'NORTE - RUTH'!K:K, 0), )</f>
        <v>R - 53</v>
      </c>
      <c r="L54" s="242" t="str">
        <f t="array" ref="L54">INDEX('NORTE - RUTH'!L:L, MATCH(S54, 'NORTE - RUTH'!K:K, 0), )</f>
        <v>Sectoristas</v>
      </c>
      <c r="M54" s="242" t="str">
        <f t="array" ref="M54">INDEX('NORTE - RUTH'!M:M, MATCH(S54, 'NORTE - RUTH'!K:K, 0), )</f>
        <v>Nivel 1</v>
      </c>
      <c r="N54" s="241">
        <f t="array" ref="N54">INDEX('NORTE - RUTH'!N:N, MATCH(S54, 'NORTE - RUTH'!K:K, 0), )</f>
        <v>0</v>
      </c>
      <c r="O54" s="241">
        <f t="array" ref="O54">INDEX('NORTE - RUTH'!O:O, MATCH(S54, 'NORTE - RUTH'!K:K, 0), )</f>
        <v>0</v>
      </c>
      <c r="P54" s="236">
        <v>-5.6980305555555555</v>
      </c>
      <c r="Q54" s="236">
        <v>-78.819391666666661</v>
      </c>
      <c r="R54" s="243" t="s">
        <v>1340</v>
      </c>
      <c r="S54" s="246" t="s">
        <v>1341</v>
      </c>
      <c r="U54" s="245"/>
    </row>
    <row r="55" spans="1:21" ht="17.25" customHeight="1">
      <c r="A55" s="236">
        <v>54</v>
      </c>
      <c r="B55" s="237" t="str">
        <f t="array" ref="B55">INDEX('NORTE - RUTH'!B:B, MATCH(S55, 'NORTE - RUTH'!K:K, 0), )</f>
        <v>Juanjui</v>
      </c>
      <c r="C55" s="156" t="str">
        <f t="array" ref="C55">INDEX('NORTE - RUTH'!C:C, MATCH(S55, 'NORTE - RUTH'!K:K, 0), )</f>
        <v>San Martin</v>
      </c>
      <c r="D55" s="156" t="str">
        <f t="array" ref="D55">INDEX('NORTE - RUTH'!D:D, MATCH(S55, 'NORTE - RUTH'!K:K, 0), )</f>
        <v>FM</v>
      </c>
      <c r="E55" s="156">
        <f t="array" ref="E55">INDEX('NORTE - RUTH'!E:E, MATCH(S55, 'NORTE - RUTH'!K:K, 0), )</f>
        <v>94.5</v>
      </c>
      <c r="F55" s="156">
        <f t="array" ref="F55">INDEX('NORTE - RUTH'!F:F, MATCH(S55, 'NORTE - RUTH'!K:K, 0), )</f>
        <v>78</v>
      </c>
      <c r="G55" s="159" t="str">
        <f t="array" ref="G55">INDEX('NORTE - RUTH'!G:G, MATCH(S55, 'NORTE - RUTH'!K:K, 0), )</f>
        <v>A.A</v>
      </c>
      <c r="H55" s="238" t="str">
        <f t="array" ref="H55">INDEX('NORTE - RUTH'!H:H, MATCH(S55, 'NORTE - RUTH'!K:K, 0), )</f>
        <v>JUANJUI</v>
      </c>
      <c r="I55" s="239" t="str">
        <f t="array" ref="I55">INDEX('NORTE - RUTH'!I:I, MATCH(S55, 'NORTE - RUTH'!K:K, 0), )</f>
        <v>25/11/2025 - Sectoristas - con fecha 06 de noviembre la radio se encuentra con señal al aire segun lo informado or el pastor local</v>
      </c>
      <c r="J55" s="240">
        <f t="array" ref="J55">INDEX('NORTE - RUTH'!J:J, MATCH(S55, 'NORTE - RUTH'!K:K, 0), )</f>
        <v>0</v>
      </c>
      <c r="K55" s="241" t="str">
        <f t="array" ref="K55">INDEX('NORTE - RUTH'!K:K, MATCH(S55, 'NORTE - RUTH'!K:K, 0), )</f>
        <v>R - 54</v>
      </c>
      <c r="L55" s="242" t="str">
        <f t="array" ref="L55">INDEX('NORTE - RUTH'!L:L, MATCH(S55, 'NORTE - RUTH'!K:K, 0), )</f>
        <v>Sectoristas</v>
      </c>
      <c r="M55" s="242" t="str">
        <f t="array" ref="M55">INDEX('NORTE - RUTH'!M:M, MATCH(S55, 'NORTE - RUTH'!K:K, 0), )</f>
        <v>Nivel 1</v>
      </c>
      <c r="N55" s="241">
        <f t="array" ref="N55">INDEX('NORTE - RUTH'!N:N, MATCH(S55, 'NORTE - RUTH'!K:K, 0), )</f>
        <v>0</v>
      </c>
      <c r="O55" s="241">
        <f t="array" ref="O55">INDEX('NORTE - RUTH'!O:O, MATCH(S55, 'NORTE - RUTH'!K:K, 0), )</f>
        <v>0</v>
      </c>
      <c r="P55" s="236">
        <v>-7.1928611111111111</v>
      </c>
      <c r="Q55" s="236">
        <v>-76.74133333333333</v>
      </c>
      <c r="R55" s="243" t="s">
        <v>1342</v>
      </c>
      <c r="S55" s="246" t="s">
        <v>1343</v>
      </c>
      <c r="U55" s="245"/>
    </row>
    <row r="56" spans="1:21" ht="17.25" customHeight="1">
      <c r="A56" s="236">
        <v>55</v>
      </c>
      <c r="B56" s="237" t="str">
        <f t="array" ref="B56">INDEX('NORTE - RUTH'!B:B, MATCH(S56, 'NORTE - RUTH'!K:K, 0), )</f>
        <v>La Arena</v>
      </c>
      <c r="C56" s="156" t="str">
        <f t="array" ref="C56">INDEX('NORTE - RUTH'!C:C, MATCH(S56, 'NORTE - RUTH'!K:K, 0), )</f>
        <v>Piura</v>
      </c>
      <c r="D56" s="156" t="str">
        <f t="array" ref="D56">INDEX('NORTE - RUTH'!D:D, MATCH(S56, 'NORTE - RUTH'!K:K, 0), )</f>
        <v>FM</v>
      </c>
      <c r="E56" s="156">
        <f t="array" ref="E56">INDEX('NORTE - RUTH'!E:E, MATCH(S56, 'NORTE - RUTH'!K:K, 0), )</f>
        <v>106.9</v>
      </c>
      <c r="F56" s="156">
        <f t="array" ref="F56">INDEX('NORTE - RUTH'!F:F, MATCH(S56, 'NORTE - RUTH'!K:K, 0), )</f>
        <v>106</v>
      </c>
      <c r="G56" s="159" t="str">
        <f t="array" ref="G56">INDEX('NORTE - RUTH'!G:G, MATCH(S56, 'NORTE - RUTH'!K:K, 0), )</f>
        <v>A.A</v>
      </c>
      <c r="H56" s="238" t="str">
        <f t="array" ref="H56">INDEX('NORTE - RUTH'!H:H, MATCH(S56, 'NORTE - RUTH'!K:K, 0), )</f>
        <v>LA ARENA</v>
      </c>
      <c r="I56" s="239" t="str">
        <f t="array" ref="I56">INDEX('NORTE - RUTH'!I:I, MATCH(S56, 'NORTE - RUTH'!K:K, 0), )</f>
        <v>28/11/2025 - Sectoristas - Con fecha jueves 27 de noviembre el pastor envía audio donde se escucha la operatividad de la radio</v>
      </c>
      <c r="J56" s="240">
        <f t="array" ref="J56">INDEX('NORTE - RUTH'!J:J, MATCH(S56, 'NORTE - RUTH'!K:K, 0), )</f>
        <v>0</v>
      </c>
      <c r="K56" s="241" t="str">
        <f t="array" ref="K56">INDEX('NORTE - RUTH'!K:K, MATCH(S56, 'NORTE - RUTH'!K:K, 0), )</f>
        <v>R - 55</v>
      </c>
      <c r="L56" s="242" t="str">
        <f t="array" ref="L56">INDEX('NORTE - RUTH'!L:L, MATCH(S56, 'NORTE - RUTH'!K:K, 0), )</f>
        <v>Sectoristas</v>
      </c>
      <c r="M56" s="242" t="str">
        <f t="array" ref="M56">INDEX('NORTE - RUTH'!M:M, MATCH(S56, 'NORTE - RUTH'!K:K, 0), )</f>
        <v>Nivel 1</v>
      </c>
      <c r="N56" s="241">
        <f t="array" ref="N56">INDEX('NORTE - RUTH'!N:N, MATCH(S56, 'NORTE - RUTH'!K:K, 0), )</f>
        <v>0</v>
      </c>
      <c r="O56" s="241">
        <f t="array" ref="O56">INDEX('NORTE - RUTH'!O:O, MATCH(S56, 'NORTE - RUTH'!K:K, 0), )</f>
        <v>0</v>
      </c>
      <c r="P56" s="236">
        <v>-5.3757833333333327</v>
      </c>
      <c r="Q56" s="236">
        <v>-80.694886111111117</v>
      </c>
      <c r="R56" s="243" t="s">
        <v>1344</v>
      </c>
      <c r="S56" s="246" t="s">
        <v>1345</v>
      </c>
      <c r="U56" s="245"/>
    </row>
    <row r="57" spans="1:21" ht="17.25" customHeight="1">
      <c r="A57" s="236">
        <v>56</v>
      </c>
      <c r="B57" s="237" t="str">
        <f t="array" ref="B57">INDEX('NORTE - RUTH'!B:B, MATCH(S57, 'NORTE - RUTH'!K:K, 0), )</f>
        <v xml:space="preserve">La Pampa </v>
      </c>
      <c r="C57" s="156" t="str">
        <f t="array" ref="C57">INDEX('NORTE - RUTH'!C:C, MATCH(S57, 'NORTE - RUTH'!K:K, 0), )</f>
        <v>Ancash</v>
      </c>
      <c r="D57" s="156" t="str">
        <f t="array" ref="D57">INDEX('NORTE - RUTH'!D:D, MATCH(S57, 'NORTE - RUTH'!K:K, 0), )</f>
        <v>FM</v>
      </c>
      <c r="E57" s="156">
        <f t="array" ref="E57">INDEX('NORTE - RUTH'!E:E, MATCH(S57, 'NORTE - RUTH'!K:K, 0), )</f>
        <v>103.5</v>
      </c>
      <c r="F57" s="156">
        <f t="array" ref="F57">INDEX('NORTE - RUTH'!F:F, MATCH(S57, 'NORTE - RUTH'!K:K, 0), )</f>
        <v>144</v>
      </c>
      <c r="G57" s="159" t="str">
        <f t="array" ref="G57">INDEX('NORTE - RUTH'!G:G, MATCH(S57, 'NORTE - RUTH'!K:K, 0), )</f>
        <v>N.I</v>
      </c>
      <c r="H57" s="238" t="str">
        <f t="array" ref="H57">INDEX('NORTE - RUTH'!H:H, MATCH(S57, 'NORTE - RUTH'!K:K, 0), )</f>
        <v>LA PAMPA</v>
      </c>
      <c r="I57" s="239" t="str">
        <f t="array" ref="I57">INDEX('NORTE - RUTH'!I:I, MATCH(S57, 'NORTE - RUTH'!K:K, 0), )</f>
        <v>9/10/2025 - Sectoristas - L a iglesia ha conseguido un terreno propio se ha solicitado el envío de coordenadas, el transmisor  ya esta homologado, listo para ser enviado.</v>
      </c>
      <c r="J57" s="240">
        <f t="array" ref="J57">INDEX('NORTE - RUTH'!J:J, MATCH(S57, 'NORTE - RUTH'!K:K, 0), )</f>
        <v>0</v>
      </c>
      <c r="K57" s="241" t="str">
        <f t="array" ref="K57">INDEX('NORTE - RUTH'!K:K, MATCH(S57, 'NORTE - RUTH'!K:K, 0), )</f>
        <v>R - 56</v>
      </c>
      <c r="L57" s="242">
        <f t="array" ref="L57">INDEX('NORTE - RUTH'!L:L, MATCH(S57, 'NORTE - RUTH'!K:K, 0), )</f>
        <v>0</v>
      </c>
      <c r="M57" s="242">
        <f t="array" ref="M57">INDEX('NORTE - RUTH'!M:M, MATCH(S57, 'NORTE - RUTH'!K:K, 0), )</f>
        <v>0</v>
      </c>
      <c r="N57" s="241">
        <f t="array" ref="N57">INDEX('NORTE - RUTH'!N:N, MATCH(S57, 'NORTE - RUTH'!K:K, 0), )</f>
        <v>0</v>
      </c>
      <c r="O57" s="241">
        <f t="array" ref="O57">INDEX('NORTE - RUTH'!O:O, MATCH(S57, 'NORTE - RUTH'!K:K, 0), )</f>
        <v>0</v>
      </c>
      <c r="P57" s="236">
        <v>-8.6887444444444455</v>
      </c>
      <c r="Q57" s="236">
        <v>-77.888388888888898</v>
      </c>
      <c r="R57" s="243" t="s">
        <v>1346</v>
      </c>
      <c r="S57" s="246" t="s">
        <v>1347</v>
      </c>
      <c r="U57" s="245"/>
    </row>
    <row r="58" spans="1:21" ht="17.25" customHeight="1">
      <c r="A58" s="236">
        <v>57</v>
      </c>
      <c r="B58" s="237" t="str">
        <f t="array" ref="B58">INDEX('NORTE - RUTH'!B:B, MATCH(S58, 'NORTE - RUTH'!K:K, 0), )</f>
        <v>Lamud</v>
      </c>
      <c r="C58" s="156" t="str">
        <f t="array" ref="C58">INDEX('NORTE - RUTH'!C:C, MATCH(S58, 'NORTE - RUTH'!K:K, 0), )</f>
        <v>Amazonas</v>
      </c>
      <c r="D58" s="156" t="str">
        <f t="array" ref="D58">INDEX('NORTE - RUTH'!D:D, MATCH(S58, 'NORTE - RUTH'!K:K, 0), )</f>
        <v>FM</v>
      </c>
      <c r="E58" s="156">
        <f t="array" ref="E58">INDEX('NORTE - RUTH'!E:E, MATCH(S58, 'NORTE - RUTH'!K:K, 0), )</f>
        <v>102.7</v>
      </c>
      <c r="F58" s="156">
        <f t="array" ref="F58">INDEX('NORTE - RUTH'!F:F, MATCH(S58, 'NORTE - RUTH'!K:K, 0), )</f>
        <v>33</v>
      </c>
      <c r="G58" s="159" t="str">
        <f t="array" ref="G58">INDEX('NORTE - RUTH'!G:G, MATCH(S58, 'NORTE - RUTH'!K:K, 0), )</f>
        <v>A.A</v>
      </c>
      <c r="H58" s="238" t="str">
        <f t="array" ref="H58">INDEX('NORTE - RUTH'!H:H, MATCH(S58, 'NORTE - RUTH'!K:K, 0), )</f>
        <v>LAMUD</v>
      </c>
      <c r="I58" s="239" t="str">
        <f t="array" ref="I58">INDEX('NORTE - RUTH'!I:I, MATCH(S58, 'NORTE - RUTH'!K:K, 0), )</f>
        <v>25/11/2025 - Sectoristas - Con fecha 20 de noviembre el pastor local señala que la radio opera normalmente</v>
      </c>
      <c r="J58" s="240" t="str">
        <f t="array" ref="J58">INDEX('NORTE - RUTH'!J:J, MATCH(S58, 'NORTE - RUTH'!K:K, 0), )</f>
        <v>31/01/2025 El pastor comunico el dia de hoy que nuevamente se encuentra operativa</v>
      </c>
      <c r="K58" s="241" t="str">
        <f t="array" ref="K58">INDEX('NORTE - RUTH'!K:K, MATCH(S58, 'NORTE - RUTH'!K:K, 0), )</f>
        <v>R - 57</v>
      </c>
      <c r="L58" s="242" t="str">
        <f t="array" ref="L58">INDEX('NORTE - RUTH'!L:L, MATCH(S58, 'NORTE - RUTH'!K:K, 0), )</f>
        <v>Sectoristas</v>
      </c>
      <c r="M58" s="242" t="str">
        <f t="array" ref="M58">INDEX('NORTE - RUTH'!M:M, MATCH(S58, 'NORTE - RUTH'!K:K, 0), )</f>
        <v>Nivel 1</v>
      </c>
      <c r="N58" s="241">
        <f t="array" ref="N58">INDEX('NORTE - RUTH'!N:N, MATCH(S58, 'NORTE - RUTH'!K:K, 0), )</f>
        <v>0</v>
      </c>
      <c r="O58" s="241">
        <f t="array" ref="O58">INDEX('NORTE - RUTH'!O:O, MATCH(S58, 'NORTE - RUTH'!K:K, 0), )</f>
        <v>0</v>
      </c>
      <c r="P58" s="236">
        <v>-6.1179999999999994</v>
      </c>
      <c r="Q58" s="236">
        <v>-77.983722222222227</v>
      </c>
      <c r="R58" s="243" t="s">
        <v>1348</v>
      </c>
      <c r="S58" s="246" t="s">
        <v>1349</v>
      </c>
      <c r="U58" s="245"/>
    </row>
    <row r="59" spans="1:21" ht="17.25" customHeight="1">
      <c r="A59" s="236">
        <v>58</v>
      </c>
      <c r="B59" s="237" t="str">
        <f t="array" ref="B59">INDEX('NORTE - RUTH'!B:B, MATCH(S59, 'NORTE - RUTH'!K:K, 0), )</f>
        <v>Las Lomas</v>
      </c>
      <c r="C59" s="156" t="str">
        <f t="array" ref="C59">INDEX('NORTE - RUTH'!C:C, MATCH(S59, 'NORTE - RUTH'!K:K, 0), )</f>
        <v>Piura</v>
      </c>
      <c r="D59" s="156" t="str">
        <f t="array" ref="D59">INDEX('NORTE - RUTH'!D:D, MATCH(S59, 'NORTE - RUTH'!K:K, 0), )</f>
        <v>FM</v>
      </c>
      <c r="E59" s="156">
        <f t="array" ref="E59">INDEX('NORTE - RUTH'!E:E, MATCH(S59, 'NORTE - RUTH'!K:K, 0), )</f>
        <v>101.5</v>
      </c>
      <c r="F59" s="156">
        <f t="array" ref="F59">INDEX('NORTE - RUTH'!F:F, MATCH(S59, 'NORTE - RUTH'!K:K, 0), )</f>
        <v>153</v>
      </c>
      <c r="G59" s="159" t="str">
        <f t="array" ref="G59">INDEX('NORTE - RUTH'!G:G, MATCH(S59, 'NORTE - RUTH'!K:K, 0), )</f>
        <v>A.A</v>
      </c>
      <c r="H59" s="238" t="str">
        <f t="array" ref="H59">INDEX('NORTE - RUTH'!H:H, MATCH(S59, 'NORTE - RUTH'!K:K, 0), )</f>
        <v>LAS LOMAS</v>
      </c>
      <c r="I59" s="239" t="str">
        <f t="array" ref="I59">INDEX('NORTE - RUTH'!I:I, MATCH(S59, 'NORTE - RUTH'!K:K, 0), )</f>
        <v>4/12/2025 - Sectoristas - Con fecha 01 de diciembre el pastor envía video evidenciando la operatividad de la radio.</v>
      </c>
      <c r="J59" s="240">
        <f t="array" ref="J59">INDEX('NORTE - RUTH'!J:J, MATCH(S59, 'NORTE - RUTH'!K:K, 0), )</f>
        <v>0</v>
      </c>
      <c r="K59" s="241" t="str">
        <f t="array" ref="K59">INDEX('NORTE - RUTH'!K:K, MATCH(S59, 'NORTE - RUTH'!K:K, 0), )</f>
        <v>R - 58</v>
      </c>
      <c r="L59" s="242" t="str">
        <f t="array" ref="L59">INDEX('NORTE - RUTH'!L:L, MATCH(S59, 'NORTE - RUTH'!K:K, 0), )</f>
        <v>Sectoristas</v>
      </c>
      <c r="M59" s="242" t="str">
        <f t="array" ref="M59">INDEX('NORTE - RUTH'!M:M, MATCH(S59, 'NORTE - RUTH'!K:K, 0), )</f>
        <v>Nivel 1</v>
      </c>
      <c r="N59" s="241">
        <f t="array" ref="N59">INDEX('NORTE - RUTH'!N:N, MATCH(S59, 'NORTE - RUTH'!K:K, 0), )</f>
        <v>0</v>
      </c>
      <c r="O59" s="241">
        <f t="array" ref="O59">INDEX('NORTE - RUTH'!O:O, MATCH(S59, 'NORTE - RUTH'!K:K, 0), )</f>
        <v>0</v>
      </c>
      <c r="P59" s="236">
        <v>-4.6541111111111118</v>
      </c>
      <c r="Q59" s="236">
        <v>-80.230472222222218</v>
      </c>
      <c r="R59" s="243" t="s">
        <v>1350</v>
      </c>
      <c r="S59" s="246" t="s">
        <v>1351</v>
      </c>
      <c r="U59" s="245"/>
    </row>
    <row r="60" spans="1:21" ht="17.25" customHeight="1">
      <c r="A60" s="236">
        <v>59</v>
      </c>
      <c r="B60" s="237" t="str">
        <f t="array" ref="B60">INDEX('NORTE - RUTH'!B:B, MATCH(S60, 'NORTE - RUTH'!K:K, 0), )</f>
        <v>Las Lomas</v>
      </c>
      <c r="C60" s="156" t="str">
        <f t="array" ref="C60">INDEX('NORTE - RUTH'!C:C, MATCH(S60, 'NORTE - RUTH'!K:K, 0), )</f>
        <v>Piura</v>
      </c>
      <c r="D60" s="156" t="str">
        <f t="array" ref="D60">INDEX('NORTE - RUTH'!D:D, MATCH(S60, 'NORTE - RUTH'!K:K, 0), )</f>
        <v>VHF</v>
      </c>
      <c r="E60" s="156">
        <f t="array" ref="E60">INDEX('NORTE - RUTH'!E:E, MATCH(S60, 'NORTE - RUTH'!K:K, 0), )</f>
        <v>9</v>
      </c>
      <c r="F60" s="156">
        <f t="array" ref="F60">INDEX('NORTE - RUTH'!F:F, MATCH(S60, 'NORTE - RUTH'!K:K, 0), )</f>
        <v>153</v>
      </c>
      <c r="G60" s="159" t="str">
        <f t="array" ref="G60">INDEX('NORTE - RUTH'!G:G, MATCH(S60, 'NORTE - RUTH'!K:K, 0), )</f>
        <v>F.A</v>
      </c>
      <c r="H60" s="238" t="str">
        <f t="array" ref="H60">INDEX('NORTE - RUTH'!H:H, MATCH(S60, 'NORTE - RUTH'!K:K, 0), )</f>
        <v>LAS LOMAS</v>
      </c>
      <c r="I60" s="239" t="str">
        <f t="array" ref="I60">INDEX('NORTE - RUTH'!I:I, MATCH(S60, 'NORTE - RUTH'!K:K, 0), )</f>
        <v>27/11/2025 - Sectoristas - En espera de visita de técnico para atención de la estación</v>
      </c>
      <c r="J60" s="240" t="str">
        <f t="array" ref="J60">INDEX('NORTE - RUTH'!J:J, MATCH(S60, 'NORTE - RUTH'!K:K, 0), )</f>
        <v>Mover templadores</v>
      </c>
      <c r="K60" s="241" t="str">
        <f t="array" ref="K60">INDEX('NORTE - RUTH'!K:K, MATCH(S60, 'NORTE - RUTH'!K:K, 0), )</f>
        <v>R - 59</v>
      </c>
      <c r="L60" s="242" t="str">
        <f t="array" ref="L60">INDEX('NORTE - RUTH'!L:L, MATCH(S60, 'NORTE - RUTH'!K:K, 0), )</f>
        <v>Operaciones</v>
      </c>
      <c r="M60" s="242" t="str">
        <f t="array" ref="M60">INDEX('NORTE - RUTH'!M:M, MATCH(S60, 'NORTE - RUTH'!K:K, 0), )</f>
        <v>Nivel 1</v>
      </c>
      <c r="N60" s="241">
        <f t="array" ref="N60">INDEX('NORTE - RUTH'!N:N, MATCH(S60, 'NORTE - RUTH'!K:K, 0), )</f>
        <v>0</v>
      </c>
      <c r="O60" s="241">
        <f t="array" ref="O60">INDEX('NORTE - RUTH'!O:O, MATCH(S60, 'NORTE - RUTH'!K:K, 0), )</f>
        <v>0</v>
      </c>
      <c r="P60" s="236">
        <v>-4.6541111111111118</v>
      </c>
      <c r="Q60" s="236">
        <v>-80.230472222222218</v>
      </c>
      <c r="R60" s="243" t="s">
        <v>1350</v>
      </c>
      <c r="S60" s="246" t="s">
        <v>1197</v>
      </c>
      <c r="U60" s="245"/>
    </row>
    <row r="61" spans="1:21" ht="17.25" customHeight="1">
      <c r="A61" s="236">
        <v>60</v>
      </c>
      <c r="B61" s="237" t="str">
        <f t="array" ref="B61">INDEX('NORTE - RUTH'!B:B, MATCH(S61, 'NORTE - RUTH'!K:K, 0), )</f>
        <v>Leymebamba</v>
      </c>
      <c r="C61" s="156" t="str">
        <f t="array" ref="C61">INDEX('NORTE - RUTH'!C:C, MATCH(S61, 'NORTE - RUTH'!K:K, 0), )</f>
        <v>Amazonas</v>
      </c>
      <c r="D61" s="156" t="str">
        <f t="array" ref="D61">INDEX('NORTE - RUTH'!D:D, MATCH(S61, 'NORTE - RUTH'!K:K, 0), )</f>
        <v>FM</v>
      </c>
      <c r="E61" s="156">
        <f t="array" ref="E61">INDEX('NORTE - RUTH'!E:E, MATCH(S61, 'NORTE - RUTH'!K:K, 0), )</f>
        <v>95.9</v>
      </c>
      <c r="F61" s="156">
        <f t="array" ref="F61">INDEX('NORTE - RUTH'!F:F, MATCH(S61, 'NORTE - RUTH'!K:K, 0), )</f>
        <v>33</v>
      </c>
      <c r="G61" s="159" t="str">
        <f t="array" ref="G61">INDEX('NORTE - RUTH'!G:G, MATCH(S61, 'NORTE - RUTH'!K:K, 0), )</f>
        <v>A.A</v>
      </c>
      <c r="H61" s="238" t="str">
        <f t="array" ref="H61">INDEX('NORTE - RUTH'!H:H, MATCH(S61, 'NORTE - RUTH'!K:K, 0), )</f>
        <v>LEYMEBAMBA</v>
      </c>
      <c r="I61" s="239" t="str">
        <f t="array" ref="I61">INDEX('NORTE - RUTH'!I:I, MATCH(S61, 'NORTE - RUTH'!K:K, 0), )</f>
        <v>25/11/2025 - Sectoristas - El pastor local con fecha 20 de noviembre señala que la radio tiene buena señal</v>
      </c>
      <c r="J61" s="240">
        <f t="array" ref="J61">INDEX('NORTE - RUTH'!J:J, MATCH(S61, 'NORTE - RUTH'!K:K, 0), )</f>
        <v>0</v>
      </c>
      <c r="K61" s="241" t="str">
        <f t="array" ref="K61">INDEX('NORTE - RUTH'!K:K, MATCH(S61, 'NORTE - RUTH'!K:K, 0), )</f>
        <v>R - 60</v>
      </c>
      <c r="L61" s="242" t="str">
        <f t="array" ref="L61">INDEX('NORTE - RUTH'!L:L, MATCH(S61, 'NORTE - RUTH'!K:K, 0), )</f>
        <v>Sectoristas</v>
      </c>
      <c r="M61" s="242" t="str">
        <f t="array" ref="M61">INDEX('NORTE - RUTH'!M:M, MATCH(S61, 'NORTE - RUTH'!K:K, 0), )</f>
        <v>Nivel 1</v>
      </c>
      <c r="N61" s="241">
        <f t="array" ref="N61">INDEX('NORTE - RUTH'!N:N, MATCH(S61, 'NORTE - RUTH'!K:K, 0), )</f>
        <v>0</v>
      </c>
      <c r="O61" s="241">
        <f t="array" ref="O61">INDEX('NORTE - RUTH'!O:O, MATCH(S61, 'NORTE - RUTH'!K:K, 0), )</f>
        <v>0</v>
      </c>
      <c r="P61" s="236">
        <v>-6.6928055555555561</v>
      </c>
      <c r="Q61" s="236">
        <v>-77.80661111111111</v>
      </c>
      <c r="R61" s="243" t="s">
        <v>1352</v>
      </c>
      <c r="S61" s="246" t="s">
        <v>1353</v>
      </c>
      <c r="U61" s="245"/>
    </row>
    <row r="62" spans="1:21" ht="17.25" customHeight="1">
      <c r="A62" s="236">
        <v>61</v>
      </c>
      <c r="B62" s="237" t="str">
        <f t="array" ref="B62">INDEX('NORTE - RUTH'!B:B, MATCH(S62, 'NORTE - RUTH'!K:K, 0), )</f>
        <v>Llamellin</v>
      </c>
      <c r="C62" s="156" t="str">
        <f t="array" ref="C62">INDEX('NORTE - RUTH'!C:C, MATCH(S62, 'NORTE - RUTH'!K:K, 0), )</f>
        <v>Ancash</v>
      </c>
      <c r="D62" s="156" t="str">
        <f t="array" ref="D62">INDEX('NORTE - RUTH'!D:D, MATCH(S62, 'NORTE - RUTH'!K:K, 0), )</f>
        <v>FM</v>
      </c>
      <c r="E62" s="156">
        <f t="array" ref="E62">INDEX('NORTE - RUTH'!E:E, MATCH(S62, 'NORTE - RUTH'!K:K, 0), )</f>
        <v>98.9</v>
      </c>
      <c r="F62" s="156">
        <f t="array" ref="F62">INDEX('NORTE - RUTH'!F:F, MATCH(S62, 'NORTE - RUTH'!K:K, 0), )</f>
        <v>59</v>
      </c>
      <c r="G62" s="159" t="str">
        <f t="array" ref="G62">INDEX('NORTE - RUTH'!G:G, MATCH(S62, 'NORTE - RUTH'!K:K, 0), )</f>
        <v>A.A</v>
      </c>
      <c r="H62" s="238" t="str">
        <f t="array" ref="H62">INDEX('NORTE - RUTH'!H:H, MATCH(S62, 'NORTE - RUTH'!K:K, 0), )</f>
        <v>LLAMELLIN</v>
      </c>
      <c r="I62" s="239" t="str">
        <f t="array" ref="I62">INDEX('NORTE - RUTH'!I:I, MATCH(S62, 'NORTE - RUTH'!K:K, 0), )</f>
        <v>28/11/2025 - Sectoristas - Estación operativa</v>
      </c>
      <c r="J62" s="240" t="str">
        <f t="array" ref="J62">INDEX('NORTE - RUTH'!J:J, MATCH(S62, 'NORTE - RUTH'!K:K, 0), )</f>
        <v>El dia viernes 03 de octubre el pastor local señala que la radio se encuentra con señal al aire.</v>
      </c>
      <c r="K62" s="241" t="str">
        <f t="array" ref="K62">INDEX('NORTE - RUTH'!K:K, MATCH(S62, 'NORTE - RUTH'!K:K, 0), )</f>
        <v>R - 61</v>
      </c>
      <c r="L62" s="242" t="str">
        <f t="array" ref="L62">INDEX('NORTE - RUTH'!L:L, MATCH(S62, 'NORTE - RUTH'!K:K, 0), )</f>
        <v>Sectoristas</v>
      </c>
      <c r="M62" s="242" t="str">
        <f t="array" ref="M62">INDEX('NORTE - RUTH'!M:M, MATCH(S62, 'NORTE - RUTH'!K:K, 0), )</f>
        <v>Nivel 1</v>
      </c>
      <c r="N62" s="241">
        <f t="array" ref="N62">INDEX('NORTE - RUTH'!N:N, MATCH(S62, 'NORTE - RUTH'!K:K, 0), )</f>
        <v>0</v>
      </c>
      <c r="O62" s="241">
        <f t="array" ref="O62">INDEX('NORTE - RUTH'!O:O, MATCH(S62, 'NORTE - RUTH'!K:K, 0), )</f>
        <v>0</v>
      </c>
      <c r="P62" s="236">
        <v>-9.098391666666668</v>
      </c>
      <c r="Q62" s="236">
        <v>-77.017833333333328</v>
      </c>
      <c r="R62" s="243" t="s">
        <v>1354</v>
      </c>
      <c r="S62" s="246" t="s">
        <v>1355</v>
      </c>
      <c r="U62" s="245"/>
    </row>
    <row r="63" spans="1:21" ht="17.25" customHeight="1">
      <c r="A63" s="236">
        <v>62</v>
      </c>
      <c r="B63" s="237" t="str">
        <f t="array" ref="B63">INDEX('NORTE - RUTH'!B:B, MATCH(S63, 'NORTE - RUTH'!K:K, 0), )</f>
        <v>Lonya Grande</v>
      </c>
      <c r="C63" s="156" t="str">
        <f t="array" ref="C63">INDEX('NORTE - RUTH'!C:C, MATCH(S63, 'NORTE - RUTH'!K:K, 0), )</f>
        <v>Amazonas</v>
      </c>
      <c r="D63" s="156" t="str">
        <f t="array" ref="D63">INDEX('NORTE - RUTH'!D:D, MATCH(S63, 'NORTE - RUTH'!K:K, 0), )</f>
        <v>FM</v>
      </c>
      <c r="E63" s="156">
        <f t="array" ref="E63">INDEX('NORTE - RUTH'!E:E, MATCH(S63, 'NORTE - RUTH'!K:K, 0), )</f>
        <v>95.7</v>
      </c>
      <c r="F63" s="156">
        <f t="array" ref="F63">INDEX('NORTE - RUTH'!F:F, MATCH(S63, 'NORTE - RUTH'!K:K, 0), )</f>
        <v>148</v>
      </c>
      <c r="G63" s="159" t="str">
        <f t="array" ref="G63">INDEX('NORTE - RUTH'!G:G, MATCH(S63, 'NORTE - RUTH'!K:K, 0), )</f>
        <v>A.A</v>
      </c>
      <c r="H63" s="238" t="str">
        <f t="array" ref="H63">INDEX('NORTE - RUTH'!H:H, MATCH(S63, 'NORTE - RUTH'!K:K, 0), )</f>
        <v>LONYA GRANDE</v>
      </c>
      <c r="I63" s="239" t="str">
        <f t="array" ref="I63">INDEX('NORTE - RUTH'!I:I, MATCH(S63, 'NORTE - RUTH'!K:K, 0), )</f>
        <v>27/11/2025 - Sectoristas - Con fecha 25 de noviembre el pastor local envia video donde se evidencia que la radio esta operativa</v>
      </c>
      <c r="J63" s="240">
        <f t="array" ref="J63">INDEX('NORTE - RUTH'!J:J, MATCH(S63, 'NORTE - RUTH'!K:K, 0), )</f>
        <v>0</v>
      </c>
      <c r="K63" s="241" t="str">
        <f t="array" ref="K63">INDEX('NORTE - RUTH'!K:K, MATCH(S63, 'NORTE - RUTH'!K:K, 0), )</f>
        <v>R - 62</v>
      </c>
      <c r="L63" s="242" t="str">
        <f t="array" ref="L63">INDEX('NORTE - RUTH'!L:L, MATCH(S63, 'NORTE - RUTH'!K:K, 0), )</f>
        <v>Sectoristas</v>
      </c>
      <c r="M63" s="242" t="str">
        <f t="array" ref="M63">INDEX('NORTE - RUTH'!M:M, MATCH(S63, 'NORTE - RUTH'!K:K, 0), )</f>
        <v>Nivel 1</v>
      </c>
      <c r="N63" s="241">
        <f t="array" ref="N63">INDEX('NORTE - RUTH'!N:N, MATCH(S63, 'NORTE - RUTH'!K:K, 0), )</f>
        <v>0</v>
      </c>
      <c r="O63" s="241">
        <f t="array" ref="O63">INDEX('NORTE - RUTH'!O:O, MATCH(S63, 'NORTE - RUTH'!K:K, 0), )</f>
        <v>0</v>
      </c>
      <c r="P63" s="236">
        <v>-6.0886666666666667</v>
      </c>
      <c r="Q63" s="236">
        <v>-78.454361111111112</v>
      </c>
      <c r="R63" s="243" t="s">
        <v>1356</v>
      </c>
      <c r="S63" s="246" t="s">
        <v>1357</v>
      </c>
      <c r="U63" s="245"/>
    </row>
    <row r="64" spans="1:21" ht="17.25" customHeight="1">
      <c r="A64" s="236">
        <v>63</v>
      </c>
      <c r="B64" s="237" t="str">
        <f t="array" ref="B64">INDEX('NORTE - RUTH'!B:B, MATCH(S64, 'NORTE - RUTH'!K:K, 0), )</f>
        <v>Los Organos</v>
      </c>
      <c r="C64" s="156" t="str">
        <f t="array" ref="C64">INDEX('NORTE - RUTH'!C:C, MATCH(S64, 'NORTE - RUTH'!K:K, 0), )</f>
        <v>Piura</v>
      </c>
      <c r="D64" s="156" t="str">
        <f t="array" ref="D64">INDEX('NORTE - RUTH'!D:D, MATCH(S64, 'NORTE - RUTH'!K:K, 0), )</f>
        <v>FM</v>
      </c>
      <c r="E64" s="156">
        <f t="array" ref="E64">INDEX('NORTE - RUTH'!E:E, MATCH(S64, 'NORTE - RUTH'!K:K, 0), )</f>
        <v>101.3</v>
      </c>
      <c r="F64" s="156">
        <f t="array" ref="F64">INDEX('NORTE - RUTH'!F:F, MATCH(S64, 'NORTE - RUTH'!K:K, 0), )</f>
        <v>97</v>
      </c>
      <c r="G64" s="159" t="str">
        <f t="array" ref="G64">INDEX('NORTE - RUTH'!G:G, MATCH(S64, 'NORTE - RUTH'!K:K, 0), )</f>
        <v>A.A</v>
      </c>
      <c r="H64" s="238" t="str">
        <f t="array" ref="H64">INDEX('NORTE - RUTH'!H:H, MATCH(S64, 'NORTE - RUTH'!K:K, 0), )</f>
        <v>LOS ORGANOS</v>
      </c>
      <c r="I64" s="239" t="str">
        <f t="array" ref="I64">INDEX('NORTE - RUTH'!I:I, MATCH(S64, 'NORTE - RUTH'!K:K, 0), )</f>
        <v>27/11/2025 - Sectoristas - Con fecha martes 25 de noviembre el pastor envía audio evidenciando la operatividad de la radio</v>
      </c>
      <c r="J64" s="240">
        <f t="array" ref="J64">INDEX('NORTE - RUTH'!J:J, MATCH(S64, 'NORTE - RUTH'!K:K, 0), )</f>
        <v>0</v>
      </c>
      <c r="K64" s="241" t="str">
        <f t="array" ref="K64">INDEX('NORTE - RUTH'!K:K, MATCH(S64, 'NORTE - RUTH'!K:K, 0), )</f>
        <v>R - 63</v>
      </c>
      <c r="L64" s="242" t="str">
        <f t="array" ref="L64">INDEX('NORTE - RUTH'!L:L, MATCH(S64, 'NORTE - RUTH'!K:K, 0), )</f>
        <v>Sectoristas</v>
      </c>
      <c r="M64" s="242" t="str">
        <f t="array" ref="M64">INDEX('NORTE - RUTH'!M:M, MATCH(S64, 'NORTE - RUTH'!K:K, 0), )</f>
        <v>Nivel 1</v>
      </c>
      <c r="N64" s="241">
        <f t="array" ref="N64">INDEX('NORTE - RUTH'!N:N, MATCH(S64, 'NORTE - RUTH'!K:K, 0), )</f>
        <v>0</v>
      </c>
      <c r="O64" s="241">
        <f t="array" ref="O64">INDEX('NORTE - RUTH'!O:O, MATCH(S64, 'NORTE - RUTH'!K:K, 0), )</f>
        <v>0</v>
      </c>
      <c r="P64" s="236">
        <v>-4.1838333333333333</v>
      </c>
      <c r="Q64" s="236">
        <v>-81.125861111111107</v>
      </c>
      <c r="R64" s="243" t="s">
        <v>1358</v>
      </c>
      <c r="S64" s="246" t="s">
        <v>1359</v>
      </c>
      <c r="U64" s="245"/>
    </row>
    <row r="65" spans="1:21" ht="17.25" customHeight="1">
      <c r="A65" s="236">
        <v>64</v>
      </c>
      <c r="B65" s="237" t="str">
        <f t="array" ref="B65">INDEX('NORTE - RUTH'!B:B, MATCH(S65, 'NORTE - RUTH'!K:K, 0), )</f>
        <v>Máncora</v>
      </c>
      <c r="C65" s="156" t="str">
        <f t="array" ref="C65">INDEX('NORTE - RUTH'!C:C, MATCH(S65, 'NORTE - RUTH'!K:K, 0), )</f>
        <v>Piura</v>
      </c>
      <c r="D65" s="156" t="str">
        <f t="array" ref="D65">INDEX('NORTE - RUTH'!D:D, MATCH(S65, 'NORTE - RUTH'!K:K, 0), )</f>
        <v>FM</v>
      </c>
      <c r="E65" s="156">
        <f t="array" ref="E65">INDEX('NORTE - RUTH'!E:E, MATCH(S65, 'NORTE - RUTH'!K:K, 0), )</f>
        <v>105.9</v>
      </c>
      <c r="F65" s="156">
        <f t="array" ref="F65">INDEX('NORTE - RUTH'!F:F, MATCH(S65, 'NORTE - RUTH'!K:K, 0), )</f>
        <v>97</v>
      </c>
      <c r="G65" s="159" t="str">
        <f t="array" ref="G65">INDEX('NORTE - RUTH'!G:G, MATCH(S65, 'NORTE - RUTH'!K:K, 0), )</f>
        <v>A.A</v>
      </c>
      <c r="H65" s="238" t="str">
        <f t="array" ref="H65">INDEX('NORTE - RUTH'!H:H, MATCH(S65, 'NORTE - RUTH'!K:K, 0), )</f>
        <v>MANCORA</v>
      </c>
      <c r="I65" s="239" t="str">
        <f t="array" ref="I65">INDEX('NORTE - RUTH'!I:I, MATCH(S65, 'NORTE - RUTH'!K:K, 0), )</f>
        <v>1/12/2025 - Sectoristas - Con fecha martes 25 de noviembre y lunes 01 de diciembre se solicitó evidencia de monitoreo, el pastor envió esta evidencia en video el dia de hoy.</v>
      </c>
      <c r="J65" s="240" t="str">
        <f t="array" ref="J65">INDEX('NORTE - RUTH'!J:J, MATCH(S65, 'NORTE - RUTH'!K:K, 0), )</f>
        <v>21/02/2025 Desde el jueves 20 la estsacion se encuentra nuevamente al aire con el apoyo de Quevin. 13/02/2025 en espera de visita de tecnico para instalacion y levantamiento de informacion</v>
      </c>
      <c r="K65" s="241" t="str">
        <f t="array" ref="K65">INDEX('NORTE - RUTH'!K:K, MATCH(S65, 'NORTE - RUTH'!K:K, 0), )</f>
        <v>R - 64</v>
      </c>
      <c r="L65" s="242" t="str">
        <f t="array" ref="L65">INDEX('NORTE - RUTH'!L:L, MATCH(S65, 'NORTE - RUTH'!K:K, 0), )</f>
        <v>Sectoristas</v>
      </c>
      <c r="M65" s="242" t="str">
        <f t="array" ref="M65">INDEX('NORTE - RUTH'!M:M, MATCH(S65, 'NORTE - RUTH'!K:K, 0), )</f>
        <v>Nivel 1</v>
      </c>
      <c r="N65" s="241">
        <f t="array" ref="N65">INDEX('NORTE - RUTH'!N:N, MATCH(S65, 'NORTE - RUTH'!K:K, 0), )</f>
        <v>0</v>
      </c>
      <c r="O65" s="241">
        <f t="array" ref="O65">INDEX('NORTE - RUTH'!O:O, MATCH(S65, 'NORTE - RUTH'!K:K, 0), )</f>
        <v>0</v>
      </c>
      <c r="P65" s="236">
        <v>-4.1090833333333334</v>
      </c>
      <c r="Q65" s="236">
        <v>-81.046388888888885</v>
      </c>
      <c r="R65" s="243" t="s">
        <v>1360</v>
      </c>
      <c r="S65" s="246" t="s">
        <v>1361</v>
      </c>
      <c r="U65" s="245"/>
    </row>
    <row r="66" spans="1:21" ht="17.25" customHeight="1">
      <c r="A66" s="236">
        <v>65</v>
      </c>
      <c r="B66" s="237" t="str">
        <f t="array" ref="B66">INDEX('NORTE - RUTH'!B:B, MATCH(S66, 'NORTE - RUTH'!K:K, 0), )</f>
        <v>Mendoza - San Nicolas</v>
      </c>
      <c r="C66" s="156" t="str">
        <f t="array" ref="C66">INDEX('NORTE - RUTH'!C:C, MATCH(S66, 'NORTE - RUTH'!K:K, 0), )</f>
        <v>Amazonas</v>
      </c>
      <c r="D66" s="156" t="str">
        <f t="array" ref="D66">INDEX('NORTE - RUTH'!D:D, MATCH(S66, 'NORTE - RUTH'!K:K, 0), )</f>
        <v>FM</v>
      </c>
      <c r="E66" s="156">
        <f t="array" ref="E66">INDEX('NORTE - RUTH'!E:E, MATCH(S66, 'NORTE - RUTH'!K:K, 0), )</f>
        <v>100.5</v>
      </c>
      <c r="F66" s="156">
        <f t="array" ref="F66">INDEX('NORTE - RUTH'!F:F, MATCH(S66, 'NORTE - RUTH'!K:K, 0), )</f>
        <v>33</v>
      </c>
      <c r="G66" s="159" t="str">
        <f t="array" ref="G66">INDEX('NORTE - RUTH'!G:G, MATCH(S66, 'NORTE - RUTH'!K:K, 0), )</f>
        <v>A.A</v>
      </c>
      <c r="H66" s="238" t="str">
        <f t="array" ref="H66">INDEX('NORTE - RUTH'!H:H, MATCH(S66, 'NORTE - RUTH'!K:K, 0), )</f>
        <v>MENDOZA</v>
      </c>
      <c r="I66" s="239" t="str">
        <f t="array" ref="I66">INDEX('NORTE - RUTH'!I:I, MATCH(S66, 'NORTE - RUTH'!K:K, 0), )</f>
        <v>27/11/2025 - Sectoristas - Con fecha martes 25 de noviembre el pastor envia video donde se evidencia que la radio esta operativa</v>
      </c>
      <c r="J66" s="240">
        <f t="array" ref="J66">INDEX('NORTE - RUTH'!J:J, MATCH(S66, 'NORTE - RUTH'!K:K, 0), )</f>
        <v>0</v>
      </c>
      <c r="K66" s="241" t="str">
        <f t="array" ref="K66">INDEX('NORTE - RUTH'!K:K, MATCH(S66, 'NORTE - RUTH'!K:K, 0), )</f>
        <v>R - 65</v>
      </c>
      <c r="L66" s="242" t="str">
        <f t="array" ref="L66">INDEX('NORTE - RUTH'!L:L, MATCH(S66, 'NORTE - RUTH'!K:K, 0), )</f>
        <v>Sectoristas</v>
      </c>
      <c r="M66" s="242" t="str">
        <f t="array" ref="M66">INDEX('NORTE - RUTH'!M:M, MATCH(S66, 'NORTE - RUTH'!K:K, 0), )</f>
        <v>Nivel 1</v>
      </c>
      <c r="N66" s="241">
        <f t="array" ref="N66">INDEX('NORTE - RUTH'!N:N, MATCH(S66, 'NORTE - RUTH'!K:K, 0), )</f>
        <v>0</v>
      </c>
      <c r="O66" s="241">
        <f t="array" ref="O66">INDEX('NORTE - RUTH'!O:O, MATCH(S66, 'NORTE - RUTH'!K:K, 0), )</f>
        <v>0</v>
      </c>
      <c r="P66" s="236">
        <v>-6.3898333333333337</v>
      </c>
      <c r="Q66" s="236">
        <v>-77.481277777777777</v>
      </c>
      <c r="R66" s="243" t="s">
        <v>1362</v>
      </c>
      <c r="S66" s="246" t="s">
        <v>1363</v>
      </c>
      <c r="U66" s="245"/>
    </row>
    <row r="67" spans="1:21" ht="17.25" customHeight="1">
      <c r="A67" s="236">
        <v>66</v>
      </c>
      <c r="B67" s="237" t="str">
        <f t="array" ref="B67">INDEX('NORTE - RUTH'!B:B, MATCH(S67, 'NORTE - RUTH'!K:K, 0), )</f>
        <v>Morrope</v>
      </c>
      <c r="C67" s="156" t="str">
        <f t="array" ref="C67">INDEX('NORTE - RUTH'!C:C, MATCH(S67, 'NORTE - RUTH'!K:K, 0), )</f>
        <v>Lambayeque</v>
      </c>
      <c r="D67" s="156" t="str">
        <f t="array" ref="D67">INDEX('NORTE - RUTH'!D:D, MATCH(S67, 'NORTE - RUTH'!K:K, 0), )</f>
        <v>FM</v>
      </c>
      <c r="E67" s="156">
        <f t="array" ref="E67">INDEX('NORTE - RUTH'!E:E, MATCH(S67, 'NORTE - RUTH'!K:K, 0), )</f>
        <v>93.7</v>
      </c>
      <c r="F67" s="156">
        <f t="array" ref="F67">INDEX('NORTE - RUTH'!F:F, MATCH(S67, 'NORTE - RUTH'!K:K, 0), )</f>
        <v>42</v>
      </c>
      <c r="G67" s="159" t="str">
        <f t="array" ref="G67">INDEX('NORTE - RUTH'!G:G, MATCH(S67, 'NORTE - RUTH'!K:K, 0), )</f>
        <v>A.A</v>
      </c>
      <c r="H67" s="238" t="str">
        <f t="array" ref="H67">INDEX('NORTE - RUTH'!H:H, MATCH(S67, 'NORTE - RUTH'!K:K, 0), )</f>
        <v>MORROPE</v>
      </c>
      <c r="I67" s="239" t="str">
        <f t="array" ref="I67">INDEX('NORTE - RUTH'!I:I, MATCH(S67, 'NORTE - RUTH'!K:K, 0), )</f>
        <v>28/11/2025 - Sectoristas - Con fecha miércoles 26 de noviembre el pastor envía video pero no se abre. Se le ha solicitado que envie nuevo video</v>
      </c>
      <c r="J67" s="240">
        <f t="array" ref="J67">INDEX('NORTE - RUTH'!J:J, MATCH(S67, 'NORTE - RUTH'!K:K, 0), )</f>
        <v>0</v>
      </c>
      <c r="K67" s="241" t="str">
        <f t="array" ref="K67">INDEX('NORTE - RUTH'!K:K, MATCH(S67, 'NORTE - RUTH'!K:K, 0), )</f>
        <v>R - 66</v>
      </c>
      <c r="L67" s="242" t="str">
        <f t="array" ref="L67">INDEX('NORTE - RUTH'!L:L, MATCH(S67, 'NORTE - RUTH'!K:K, 0), )</f>
        <v>Sectoristas</v>
      </c>
      <c r="M67" s="242" t="str">
        <f t="array" ref="M67">INDEX('NORTE - RUTH'!M:M, MATCH(S67, 'NORTE - RUTH'!K:K, 0), )</f>
        <v>Nivel 1</v>
      </c>
      <c r="N67" s="241">
        <f t="array" ref="N67">INDEX('NORTE - RUTH'!N:N, MATCH(S67, 'NORTE - RUTH'!K:K, 0), )</f>
        <v>0</v>
      </c>
      <c r="O67" s="241">
        <f t="array" ref="O67">INDEX('NORTE - RUTH'!O:O, MATCH(S67, 'NORTE - RUTH'!K:K, 0), )</f>
        <v>0</v>
      </c>
      <c r="P67" s="236">
        <v>-6.5373888888888887</v>
      </c>
      <c r="Q67" s="236">
        <v>-80.010972222222222</v>
      </c>
      <c r="R67" s="243" t="s">
        <v>1364</v>
      </c>
      <c r="S67" s="246" t="s">
        <v>1365</v>
      </c>
      <c r="U67" s="245"/>
    </row>
    <row r="68" spans="1:21" ht="17.25" customHeight="1">
      <c r="A68" s="236">
        <v>67</v>
      </c>
      <c r="B68" s="237" t="str">
        <f t="array" ref="B68">INDEX('NORTE - RUTH'!B:B, MATCH(S68, 'NORTE - RUTH'!K:K, 0), )</f>
        <v>Motupe</v>
      </c>
      <c r="C68" s="156" t="str">
        <f t="array" ref="C68">INDEX('NORTE - RUTH'!C:C, MATCH(S68, 'NORTE - RUTH'!K:K, 0), )</f>
        <v>Lambayeque</v>
      </c>
      <c r="D68" s="156" t="str">
        <f t="array" ref="D68">INDEX('NORTE - RUTH'!D:D, MATCH(S68, 'NORTE - RUTH'!K:K, 0), )</f>
        <v>VHF</v>
      </c>
      <c r="E68" s="156">
        <f t="array" ref="E68">INDEX('NORTE - RUTH'!E:E, MATCH(S68, 'NORTE - RUTH'!K:K, 0), )</f>
        <v>12</v>
      </c>
      <c r="F68" s="156">
        <f t="array" ref="F68">INDEX('NORTE - RUTH'!F:F, MATCH(S68, 'NORTE - RUTH'!K:K, 0), )</f>
        <v>80</v>
      </c>
      <c r="G68" s="159" t="str">
        <f t="array" ref="G68">INDEX('NORTE - RUTH'!G:G, MATCH(S68, 'NORTE - RUTH'!K:K, 0), )</f>
        <v>A.A</v>
      </c>
      <c r="H68" s="238" t="str">
        <f t="array" ref="H68">INDEX('NORTE - RUTH'!H:H, MATCH(S68, 'NORTE - RUTH'!K:K, 0), )</f>
        <v>MOTUPE</v>
      </c>
      <c r="I68" s="239" t="str">
        <f t="array" ref="I68">INDEX('NORTE - RUTH'!I:I, MATCH(S68, 'NORTE - RUTH'!K:K, 0), )</f>
        <v>28/11/2025 - Sectoristas - Con fecha jueves 27 de noviembre el pastor envía video para evidenciar operatividad</v>
      </c>
      <c r="J68" s="240">
        <f t="array" ref="J68">INDEX('NORTE - RUTH'!J:J, MATCH(S68, 'NORTE - RUTH'!K:K, 0), )</f>
        <v>0</v>
      </c>
      <c r="K68" s="241" t="str">
        <f t="array" ref="K68">INDEX('NORTE - RUTH'!K:K, MATCH(S68, 'NORTE - RUTH'!K:K, 0), )</f>
        <v>R - 67</v>
      </c>
      <c r="L68" s="242" t="str">
        <f t="array" ref="L68">INDEX('NORTE - RUTH'!L:L, MATCH(S68, 'NORTE - RUTH'!K:K, 0), )</f>
        <v>Sectoristas</v>
      </c>
      <c r="M68" s="242" t="str">
        <f t="array" ref="M68">INDEX('NORTE - RUTH'!M:M, MATCH(S68, 'NORTE - RUTH'!K:K, 0), )</f>
        <v>Nivel 1</v>
      </c>
      <c r="N68" s="241">
        <f t="array" ref="N68">INDEX('NORTE - RUTH'!N:N, MATCH(S68, 'NORTE - RUTH'!K:K, 0), )</f>
        <v>0</v>
      </c>
      <c r="O68" s="241">
        <f t="array" ref="O68">INDEX('NORTE - RUTH'!O:O, MATCH(S68, 'NORTE - RUTH'!K:K, 0), )</f>
        <v>0</v>
      </c>
      <c r="P68" s="236">
        <v>-6.1649222222222226</v>
      </c>
      <c r="Q68" s="236">
        <v>-79.729936111111115</v>
      </c>
      <c r="R68" s="243" t="s">
        <v>1366</v>
      </c>
      <c r="S68" s="246" t="s">
        <v>1367</v>
      </c>
      <c r="U68" s="245"/>
    </row>
    <row r="69" spans="1:21" ht="17.25" customHeight="1">
      <c r="A69" s="236">
        <v>68</v>
      </c>
      <c r="B69" s="237" t="str">
        <f t="array" ref="B69">INDEX('NORTE - RUTH'!B:B, MATCH(S69, 'NORTE - RUTH'!K:K, 0), )</f>
        <v>Moyobamba</v>
      </c>
      <c r="C69" s="156" t="str">
        <f t="array" ref="C69">INDEX('NORTE - RUTH'!C:C, MATCH(S69, 'NORTE - RUTH'!K:K, 0), )</f>
        <v>San Martin</v>
      </c>
      <c r="D69" s="156" t="str">
        <f t="array" ref="D69">INDEX('NORTE - RUTH'!D:D, MATCH(S69, 'NORTE - RUTH'!K:K, 0), )</f>
        <v>UHF</v>
      </c>
      <c r="E69" s="156">
        <f t="array" ref="E69">INDEX('NORTE - RUTH'!E:E, MATCH(S69, 'NORTE - RUTH'!K:K, 0), )</f>
        <v>33</v>
      </c>
      <c r="F69" s="156">
        <f t="array" ref="F69">INDEX('NORTE - RUTH'!F:F, MATCH(S69, 'NORTE - RUTH'!K:K, 0), )</f>
        <v>16</v>
      </c>
      <c r="G69" s="159" t="str">
        <f t="array" ref="G69">INDEX('NORTE - RUTH'!G:G, MATCH(S69, 'NORTE - RUTH'!K:K, 0), )</f>
        <v>A.A</v>
      </c>
      <c r="H69" s="238" t="str">
        <f t="array" ref="H69">INDEX('NORTE - RUTH'!H:H, MATCH(S69, 'NORTE - RUTH'!K:K, 0), )</f>
        <v>MOYOBAMBA</v>
      </c>
      <c r="I69" s="239" t="str">
        <f t="array" ref="I69">INDEX('NORTE - RUTH'!I:I, MATCH(S69, 'NORTE - RUTH'!K:K, 0), )</f>
        <v>28/11/2025 - Sectoristas - Con fecha jueves 27 de noviembre el hno José Huanca envía video donde se sintoniza la radio y otro donde se sintoniza la señal del canal.</v>
      </c>
      <c r="J69" s="240">
        <f t="array" ref="J69">INDEX('NORTE - RUTH'!J:J, MATCH(S69, 'NORTE - RUTH'!K:K, 0), )</f>
        <v>0</v>
      </c>
      <c r="K69" s="241" t="str">
        <f t="array" ref="K69">INDEX('NORTE - RUTH'!K:K, MATCH(S69, 'NORTE - RUTH'!K:K, 0), )</f>
        <v>R - 68</v>
      </c>
      <c r="L69" s="242" t="str">
        <f t="array" ref="L69">INDEX('NORTE - RUTH'!L:L, MATCH(S69, 'NORTE - RUTH'!K:K, 0), )</f>
        <v>Sectoristas</v>
      </c>
      <c r="M69" s="242" t="str">
        <f t="array" ref="M69">INDEX('NORTE - RUTH'!M:M, MATCH(S69, 'NORTE - RUTH'!K:K, 0), )</f>
        <v>Nivel 1</v>
      </c>
      <c r="N69" s="241">
        <f t="array" ref="N69">INDEX('NORTE - RUTH'!N:N, MATCH(S69, 'NORTE - RUTH'!K:K, 0), )</f>
        <v>0</v>
      </c>
      <c r="O69" s="241">
        <f t="array" ref="O69">INDEX('NORTE - RUTH'!O:O, MATCH(S69, 'NORTE - RUTH'!K:K, 0), )</f>
        <v>0</v>
      </c>
      <c r="P69" s="236">
        <v>-6.0337499999999995</v>
      </c>
      <c r="Q69" s="236">
        <v>-76.969916666666663</v>
      </c>
      <c r="R69" s="243" t="s">
        <v>1368</v>
      </c>
      <c r="S69" s="246" t="s">
        <v>1369</v>
      </c>
      <c r="U69" s="245"/>
    </row>
    <row r="70" spans="1:21" ht="17.25" customHeight="1">
      <c r="A70" s="236">
        <v>69</v>
      </c>
      <c r="B70" s="237" t="str">
        <f t="array" ref="B70">INDEX('NORTE - RUTH'!B:B, MATCH(S70, 'NORTE - RUTH'!K:K, 0), )</f>
        <v>Moyobamba</v>
      </c>
      <c r="C70" s="156" t="str">
        <f t="array" ref="C70">INDEX('NORTE - RUTH'!C:C, MATCH(S70, 'NORTE - RUTH'!K:K, 0), )</f>
        <v>San Martin</v>
      </c>
      <c r="D70" s="156" t="str">
        <f t="array" ref="D70">INDEX('NORTE - RUTH'!D:D, MATCH(S70, 'NORTE - RUTH'!K:K, 0), )</f>
        <v>FM</v>
      </c>
      <c r="E70" s="156">
        <f t="array" ref="E70">INDEX('NORTE - RUTH'!E:E, MATCH(S70, 'NORTE - RUTH'!K:K, 0), )</f>
        <v>94.5</v>
      </c>
      <c r="F70" s="156">
        <f t="array" ref="F70">INDEX('NORTE - RUTH'!F:F, MATCH(S70, 'NORTE - RUTH'!K:K, 0), )</f>
        <v>16</v>
      </c>
      <c r="G70" s="159" t="str">
        <f t="array" ref="G70">INDEX('NORTE - RUTH'!G:G, MATCH(S70, 'NORTE - RUTH'!K:K, 0), )</f>
        <v>A.A</v>
      </c>
      <c r="H70" s="238" t="str">
        <f t="array" ref="H70">INDEX('NORTE - RUTH'!H:H, MATCH(S70, 'NORTE - RUTH'!K:K, 0), )</f>
        <v>MOYOBAMBA</v>
      </c>
      <c r="I70" s="239" t="str">
        <f t="array" ref="I70">INDEX('NORTE - RUTH'!I:I, MATCH(S70, 'NORTE - RUTH'!K:K, 0), )</f>
        <v>28/11/2025 - Sectoristas - Con fecha jueves 27 de noviembre el hno José Huanca envía video donde se sintoniza la radio y otro donde se sintoniza la señal del canal.</v>
      </c>
      <c r="J70" s="240" t="str">
        <f t="array" ref="J70">INDEX('NORTE - RUTH'!J:J, MATCH(S70, 'NORTE - RUTH'!K:K, 0), )</f>
        <v xml:space="preserve">En espera de transmisor para revision </v>
      </c>
      <c r="K70" s="241" t="str">
        <f t="array" ref="K70">INDEX('NORTE - RUTH'!K:K, MATCH(S70, 'NORTE - RUTH'!K:K, 0), )</f>
        <v>R - 69</v>
      </c>
      <c r="L70" s="242" t="str">
        <f t="array" ref="L70">INDEX('NORTE - RUTH'!L:L, MATCH(S70, 'NORTE - RUTH'!K:K, 0), )</f>
        <v>Sectoristas</v>
      </c>
      <c r="M70" s="242" t="str">
        <f t="array" ref="M70">INDEX('NORTE - RUTH'!M:M, MATCH(S70, 'NORTE - RUTH'!K:K, 0), )</f>
        <v>Nivel 1</v>
      </c>
      <c r="N70" s="241">
        <f t="array" ref="N70">INDEX('NORTE - RUTH'!N:N, MATCH(S70, 'NORTE - RUTH'!K:K, 0), )</f>
        <v>0</v>
      </c>
      <c r="O70" s="241">
        <f t="array" ref="O70">INDEX('NORTE - RUTH'!O:O, MATCH(S70, 'NORTE - RUTH'!K:K, 0), )</f>
        <v>0</v>
      </c>
      <c r="P70" s="236">
        <v>-6.0337499999999995</v>
      </c>
      <c r="Q70" s="236">
        <v>-76.969916666666663</v>
      </c>
      <c r="R70" s="243" t="s">
        <v>1368</v>
      </c>
      <c r="S70" s="246" t="s">
        <v>1370</v>
      </c>
      <c r="U70" s="245"/>
    </row>
    <row r="71" spans="1:21" ht="17.25" customHeight="1">
      <c r="A71" s="236">
        <v>70</v>
      </c>
      <c r="B71" s="237" t="str">
        <f t="array" ref="B71">INDEX('NORTE - RUTH'!B:B, MATCH(S71, 'NORTE - RUTH'!K:K, 0), )</f>
        <v>Nepeña</v>
      </c>
      <c r="C71" s="156" t="str">
        <f t="array" ref="C71">INDEX('NORTE - RUTH'!C:C, MATCH(S71, 'NORTE - RUTH'!K:K, 0), )</f>
        <v>Ancash</v>
      </c>
      <c r="D71" s="156" t="str">
        <f t="array" ref="D71">INDEX('NORTE - RUTH'!D:D, MATCH(S71, 'NORTE - RUTH'!K:K, 0), )</f>
        <v>FM</v>
      </c>
      <c r="E71" s="156">
        <f t="array" ref="E71">INDEX('NORTE - RUTH'!E:E, MATCH(S71, 'NORTE - RUTH'!K:K, 0), )</f>
        <v>104.7</v>
      </c>
      <c r="F71" s="156">
        <f t="array" ref="F71">INDEX('NORTE - RUTH'!F:F, MATCH(S71, 'NORTE - RUTH'!K:K, 0), )</f>
        <v>114</v>
      </c>
      <c r="G71" s="159" t="str">
        <f t="array" ref="G71">INDEX('NORTE - RUTH'!G:G, MATCH(S71, 'NORTE - RUTH'!K:K, 0), )</f>
        <v>A.A</v>
      </c>
      <c r="H71" s="238" t="str">
        <f t="array" ref="H71">INDEX('NORTE - RUTH'!H:H, MATCH(S71, 'NORTE - RUTH'!K:K, 0), )</f>
        <v>NEPEÑA</v>
      </c>
      <c r="I71" s="239" t="str">
        <f t="array" ref="I71">INDEX('NORTE - RUTH'!I:I, MATCH(S71, 'NORTE - RUTH'!K:K, 0), )</f>
        <v>28/11/2025 - Sectoristas - El viernes 21 de noviembre la estación paso inspección de renovación. La estación opera con normalidad</v>
      </c>
      <c r="J71" s="240">
        <f t="array" ref="J71">INDEX('NORTE - RUTH'!J:J, MATCH(S71, 'NORTE - RUTH'!K:K, 0), )</f>
        <v>0</v>
      </c>
      <c r="K71" s="241" t="str">
        <f t="array" ref="K71">INDEX('NORTE - RUTH'!K:K, MATCH(S71, 'NORTE - RUTH'!K:K, 0), )</f>
        <v>R - 70</v>
      </c>
      <c r="L71" s="242" t="str">
        <f t="array" ref="L71">INDEX('NORTE - RUTH'!L:L, MATCH(S71, 'NORTE - RUTH'!K:K, 0), )</f>
        <v>Sectoristas</v>
      </c>
      <c r="M71" s="242" t="str">
        <f t="array" ref="M71">INDEX('NORTE - RUTH'!M:M, MATCH(S71, 'NORTE - RUTH'!K:K, 0), )</f>
        <v>Nivel 1</v>
      </c>
      <c r="N71" s="241">
        <f t="array" ref="N71">INDEX('NORTE - RUTH'!N:N, MATCH(S71, 'NORTE - RUTH'!K:K, 0), )</f>
        <v>0</v>
      </c>
      <c r="O71" s="241">
        <f t="array" ref="O71">INDEX('NORTE - RUTH'!O:O, MATCH(S71, 'NORTE - RUTH'!K:K, 0), )</f>
        <v>0</v>
      </c>
      <c r="P71" s="236">
        <v>-9.1455555555555552</v>
      </c>
      <c r="Q71" s="236">
        <v>-78.284277777777774</v>
      </c>
      <c r="R71" s="243" t="s">
        <v>1371</v>
      </c>
      <c r="S71" s="246" t="s">
        <v>1372</v>
      </c>
      <c r="U71" s="245"/>
    </row>
    <row r="72" spans="1:21" ht="17.25" customHeight="1">
      <c r="A72" s="236">
        <v>71</v>
      </c>
      <c r="B72" s="237" t="str">
        <f t="array" ref="B72">INDEX('NORTE - RUTH'!B:B, MATCH(S72, 'NORTE - RUTH'!K:K, 0), )</f>
        <v>Nueva Cajamarca</v>
      </c>
      <c r="C72" s="156" t="str">
        <f t="array" ref="C72">INDEX('NORTE - RUTH'!C:C, MATCH(S72, 'NORTE - RUTH'!K:K, 0), )</f>
        <v>San Martin</v>
      </c>
      <c r="D72" s="156" t="str">
        <f t="array" ref="D72">INDEX('NORTE - RUTH'!D:D, MATCH(S72, 'NORTE - RUTH'!K:K, 0), )</f>
        <v>FM</v>
      </c>
      <c r="E72" s="156">
        <f t="array" ref="E72">INDEX('NORTE - RUTH'!E:E, MATCH(S72, 'NORTE - RUTH'!K:K, 0), )</f>
        <v>90.7</v>
      </c>
      <c r="F72" s="156">
        <f t="array" ref="F72">INDEX('NORTE - RUTH'!F:F, MATCH(S72, 'NORTE - RUTH'!K:K, 0), )</f>
        <v>98</v>
      </c>
      <c r="G72" s="159" t="str">
        <f t="array" ref="G72">INDEX('NORTE - RUTH'!G:G, MATCH(S72, 'NORTE - RUTH'!K:K, 0), )</f>
        <v>A.A</v>
      </c>
      <c r="H72" s="238" t="str">
        <f t="array" ref="H72">INDEX('NORTE - RUTH'!H:H, MATCH(S72, 'NORTE - RUTH'!K:K, 0), )</f>
        <v>NUEVA CAJAMARCA</v>
      </c>
      <c r="I72" s="239" t="str">
        <f t="array" ref="I72">INDEX('NORTE - RUTH'!I:I, MATCH(S72, 'NORTE - RUTH'!K:K, 0), )</f>
        <v>1/12/2025 - Sectoristas - Con fecha martes 25 de noviembre y lunes 01 de diciembre se solicitó evidencia de monitoreo, el pastor escribió señalando que la radio tiene señal las 24 horas del dia.</v>
      </c>
      <c r="J72" s="240">
        <f t="array" ref="J72">INDEX('NORTE - RUTH'!J:J, MATCH(S72, 'NORTE - RUTH'!K:K, 0), )</f>
        <v>0</v>
      </c>
      <c r="K72" s="241" t="str">
        <f t="array" ref="K72">INDEX('NORTE - RUTH'!K:K, MATCH(S72, 'NORTE - RUTH'!K:K, 0), )</f>
        <v>R - 71</v>
      </c>
      <c r="L72" s="242" t="str">
        <f t="array" ref="L72">INDEX('NORTE - RUTH'!L:L, MATCH(S72, 'NORTE - RUTH'!K:K, 0), )</f>
        <v>Sectoristas</v>
      </c>
      <c r="M72" s="242" t="str">
        <f t="array" ref="M72">INDEX('NORTE - RUTH'!M:M, MATCH(S72, 'NORTE - RUTH'!K:K, 0), )</f>
        <v>Nivel 1</v>
      </c>
      <c r="N72" s="241">
        <f t="array" ref="N72">INDEX('NORTE - RUTH'!N:N, MATCH(S72, 'NORTE - RUTH'!K:K, 0), )</f>
        <v>0</v>
      </c>
      <c r="O72" s="241">
        <f t="array" ref="O72">INDEX('NORTE - RUTH'!O:O, MATCH(S72, 'NORTE - RUTH'!K:K, 0), )</f>
        <v>0</v>
      </c>
      <c r="P72" s="236">
        <v>-5.9413611111111111</v>
      </c>
      <c r="Q72" s="236">
        <v>-77.305361111111111</v>
      </c>
      <c r="R72" s="243" t="s">
        <v>1373</v>
      </c>
      <c r="S72" s="246" t="s">
        <v>1374</v>
      </c>
      <c r="U72" s="245"/>
    </row>
    <row r="73" spans="1:21" ht="17.25" customHeight="1">
      <c r="A73" s="236">
        <v>72</v>
      </c>
      <c r="B73" s="237" t="str">
        <f t="array" ref="B73">INDEX('NORTE - RUTH'!B:B, MATCH(S73, 'NORTE - RUTH'!K:K, 0), )</f>
        <v>Olleros</v>
      </c>
      <c r="C73" s="156" t="str">
        <f t="array" ref="C73">INDEX('NORTE - RUTH'!C:C, MATCH(S73, 'NORTE - RUTH'!K:K, 0), )</f>
        <v>Ancash</v>
      </c>
      <c r="D73" s="156" t="str">
        <f t="array" ref="D73">INDEX('NORTE - RUTH'!D:D, MATCH(S73, 'NORTE - RUTH'!K:K, 0), )</f>
        <v>VHF</v>
      </c>
      <c r="E73" s="156">
        <f t="array" ref="E73">INDEX('NORTE - RUTH'!E:E, MATCH(S73, 'NORTE - RUTH'!K:K, 0), )</f>
        <v>12</v>
      </c>
      <c r="F73" s="156">
        <f t="array" ref="F73">INDEX('NORTE - RUTH'!F:F, MATCH(S73, 'NORTE - RUTH'!K:K, 0), )</f>
        <v>12</v>
      </c>
      <c r="G73" s="159" t="str">
        <f t="array" ref="G73">INDEX('NORTE - RUTH'!G:G, MATCH(S73, 'NORTE - RUTH'!K:K, 0), )</f>
        <v>F.A</v>
      </c>
      <c r="H73" s="238" t="str">
        <f t="array" ref="H73">INDEX('NORTE - RUTH'!H:H, MATCH(S73, 'NORTE - RUTH'!K:K, 0), )</f>
        <v>OLLEROS</v>
      </c>
      <c r="I73" s="239" t="str">
        <f t="array" ref="I73">INDEX('NORTE - RUTH'!I:I, MATCH(S73, 'NORTE - RUTH'!K:K, 0), )</f>
        <v>21/11/2025 - Ingeniería - Con fecha 30/04/25, el área de Laboratorio mandó el presupuesto por la reparación del tx. Se ha pedido una actualización de dicho presupuesto.</v>
      </c>
      <c r="J73" s="240" t="str">
        <f t="array" ref="J73">INDEX('NORTE - RUTH'!J:J, MATCH(S73, 'NORTE - RUTH'!K:K, 0), )</f>
        <v xml:space="preserve">23/01/2025 El transmisor sera atendido el dia de hoy por Kelion y Abel, comunicaran por el grupo si le dieron solucion </v>
      </c>
      <c r="K73" s="241" t="str">
        <f t="array" ref="K73">INDEX('NORTE - RUTH'!K:K, MATCH(S73, 'NORTE - RUTH'!K:K, 0), )</f>
        <v>R - 72</v>
      </c>
      <c r="L73" s="242" t="str">
        <f t="array" ref="L73">INDEX('NORTE - RUTH'!L:L, MATCH(S73, 'NORTE - RUTH'!K:K, 0), )</f>
        <v>Sectoristas</v>
      </c>
      <c r="M73" s="242" t="str">
        <f t="array" ref="M73">INDEX('NORTE - RUTH'!M:M, MATCH(S73, 'NORTE - RUTH'!K:K, 0), )</f>
        <v>Nivel 1</v>
      </c>
      <c r="N73" s="241" t="str">
        <f t="array" ref="N73">INDEX('NORTE - RUTH'!N:N, MATCH(S73, 'NORTE - RUTH'!K:K, 0), )</f>
        <v>3784.20</v>
      </c>
      <c r="O73" s="241">
        <f t="array" ref="O73">INDEX('NORTE - RUTH'!O:O, MATCH(S73, 'NORTE - RUTH'!K:K, 0), )</f>
        <v>0</v>
      </c>
      <c r="P73" s="236">
        <v>-9.6652611111111106</v>
      </c>
      <c r="Q73" s="236">
        <v>-77.473663888888893</v>
      </c>
      <c r="R73" s="243" t="s">
        <v>1375</v>
      </c>
      <c r="S73" s="246" t="s">
        <v>1199</v>
      </c>
      <c r="U73" s="245"/>
    </row>
    <row r="74" spans="1:21" ht="17.25" customHeight="1">
      <c r="A74" s="236">
        <v>73</v>
      </c>
      <c r="B74" s="237" t="str">
        <f t="array" ref="B74">INDEX('NORTE - RUTH'!B:B, MATCH(S74, 'NORTE - RUTH'!K:K, 0), )</f>
        <v>Olmos</v>
      </c>
      <c r="C74" s="156" t="str">
        <f t="array" ref="C74">INDEX('NORTE - RUTH'!C:C, MATCH(S74, 'NORTE - RUTH'!K:K, 0), )</f>
        <v>Lambayeque</v>
      </c>
      <c r="D74" s="156" t="str">
        <f t="array" ref="D74">INDEX('NORTE - RUTH'!D:D, MATCH(S74, 'NORTE - RUTH'!K:K, 0), )</f>
        <v>FM</v>
      </c>
      <c r="E74" s="156">
        <f t="array" ref="E74">INDEX('NORTE - RUTH'!E:E, MATCH(S74, 'NORTE - RUTH'!K:K, 0), )</f>
        <v>96.7</v>
      </c>
      <c r="F74" s="156">
        <f t="array" ref="F74">INDEX('NORTE - RUTH'!F:F, MATCH(S74, 'NORTE - RUTH'!K:K, 0), )</f>
        <v>80</v>
      </c>
      <c r="G74" s="159" t="str">
        <f t="array" ref="G74">INDEX('NORTE - RUTH'!G:G, MATCH(S74, 'NORTE - RUTH'!K:K, 0), )</f>
        <v>A.A</v>
      </c>
      <c r="H74" s="238" t="str">
        <f t="array" ref="H74">INDEX('NORTE - RUTH'!H:H, MATCH(S74, 'NORTE - RUTH'!K:K, 0), )</f>
        <v>OLMOS</v>
      </c>
      <c r="I74" s="239" t="str">
        <f t="array" ref="I74">INDEX('NORTE - RUTH'!I:I, MATCH(S74, 'NORTE - RUTH'!K:K, 0), )</f>
        <v>3/11/2025 - Sectoristas - Se realizo consulta al pastor por la operatividad el dia jueves 30 pero no contesto, el dia de hoy 03 de noviembre se volvió a consultar, el pastor contesto señalando que la radio se encuentra operativa enviando evidencia de video donde se visualiza y escucha la señal de la radio.</v>
      </c>
      <c r="J74" s="240">
        <f t="array" ref="J74">INDEX('NORTE - RUTH'!J:J, MATCH(S74, 'NORTE - RUTH'!K:K, 0), )</f>
        <v>0</v>
      </c>
      <c r="K74" s="241" t="str">
        <f t="array" ref="K74">INDEX('NORTE - RUTH'!K:K, MATCH(S74, 'NORTE - RUTH'!K:K, 0), )</f>
        <v>R - 73</v>
      </c>
      <c r="L74" s="242">
        <f t="array" ref="L74">INDEX('NORTE - RUTH'!L:L, MATCH(S74, 'NORTE - RUTH'!K:K, 0), )</f>
        <v>0</v>
      </c>
      <c r="M74" s="242">
        <f t="array" ref="M74">INDEX('NORTE - RUTH'!M:M, MATCH(S74, 'NORTE - RUTH'!K:K, 0), )</f>
        <v>0</v>
      </c>
      <c r="N74" s="241">
        <f t="array" ref="N74">INDEX('NORTE - RUTH'!N:N, MATCH(S74, 'NORTE - RUTH'!K:K, 0), )</f>
        <v>0</v>
      </c>
      <c r="O74" s="241">
        <f t="array" ref="O74">INDEX('NORTE - RUTH'!O:O, MATCH(S74, 'NORTE - RUTH'!K:K, 0), )</f>
        <v>0</v>
      </c>
      <c r="P74" s="236">
        <v>-5.9944444444444445</v>
      </c>
      <c r="Q74" s="236">
        <v>-79.724444444444444</v>
      </c>
      <c r="R74" s="243" t="s">
        <v>1376</v>
      </c>
      <c r="S74" s="246" t="s">
        <v>1377</v>
      </c>
      <c r="U74" s="245"/>
    </row>
    <row r="75" spans="1:21" ht="17.25" customHeight="1">
      <c r="A75" s="236">
        <v>74</v>
      </c>
      <c r="B75" s="237" t="str">
        <f t="array" ref="B75">INDEX('NORTE - RUTH'!B:B, MATCH(S75, 'NORTE - RUTH'!K:K, 0), )</f>
        <v>Otuzco</v>
      </c>
      <c r="C75" s="156" t="str">
        <f t="array" ref="C75">INDEX('NORTE - RUTH'!C:C, MATCH(S75, 'NORTE - RUTH'!K:K, 0), )</f>
        <v>La Libertad</v>
      </c>
      <c r="D75" s="156" t="str">
        <f t="array" ref="D75">INDEX('NORTE - RUTH'!D:D, MATCH(S75, 'NORTE - RUTH'!K:K, 0), )</f>
        <v>FM</v>
      </c>
      <c r="E75" s="156" t="str">
        <f t="array" ref="E75">INDEX('NORTE - RUTH'!E:E, MATCH(S75, 'NORTE - RUTH'!K:K, 0), )</f>
        <v>106.1</v>
      </c>
      <c r="F75" s="156">
        <f t="array" ref="F75">INDEX('NORTE - RUTH'!F:F, MATCH(S75, 'NORTE - RUTH'!K:K, 0), )</f>
        <v>82</v>
      </c>
      <c r="G75" s="159" t="str">
        <f t="array" ref="G75">INDEX('NORTE - RUTH'!G:G, MATCH(S75, 'NORTE - RUTH'!K:K, 0), )</f>
        <v>A.A</v>
      </c>
      <c r="H75" s="238" t="str">
        <f t="array" ref="H75">INDEX('NORTE - RUTH'!H:H, MATCH(S75, 'NORTE - RUTH'!K:K, 0), )</f>
        <v>OTUZCO</v>
      </c>
      <c r="I75" s="239" t="str">
        <f t="array" ref="I75">INDEX('NORTE - RUTH'!I:I, MATCH(S75, 'NORTE - RUTH'!K:K, 0), )</f>
        <v>13/11/2025 - Ingeniería - En coordinación con el hno. Manuel Espinoza, informa que la estación se encuentra al aire nuevamente, según manifiesta el nuevo pastor, Wilfredo.</v>
      </c>
      <c r="J75" s="240">
        <f t="array" ref="J75">INDEX('NORTE - RUTH'!J:J, MATCH(S75, 'NORTE - RUTH'!K:K, 0), )</f>
        <v>0</v>
      </c>
      <c r="K75" s="241" t="str">
        <f t="array" ref="K75">INDEX('NORTE - RUTH'!K:K, MATCH(S75, 'NORTE - RUTH'!K:K, 0), )</f>
        <v>R - 74</v>
      </c>
      <c r="L75" s="242">
        <f t="array" ref="L75">INDEX('NORTE - RUTH'!L:L, MATCH(S75, 'NORTE - RUTH'!K:K, 0), )</f>
        <v>0</v>
      </c>
      <c r="M75" s="242">
        <f t="array" ref="M75">INDEX('NORTE - RUTH'!M:M, MATCH(S75, 'NORTE - RUTH'!K:K, 0), )</f>
        <v>0</v>
      </c>
      <c r="N75" s="241">
        <f t="array" ref="N75">INDEX('NORTE - RUTH'!N:N, MATCH(S75, 'NORTE - RUTH'!K:K, 0), )</f>
        <v>0</v>
      </c>
      <c r="O75" s="241">
        <f t="array" ref="O75">INDEX('NORTE - RUTH'!O:O, MATCH(S75, 'NORTE - RUTH'!K:K, 0), )</f>
        <v>0</v>
      </c>
      <c r="P75" s="236">
        <v>-7.907491666666667</v>
      </c>
      <c r="Q75" s="236">
        <v>-78.571336111111108</v>
      </c>
      <c r="R75" s="243" t="s">
        <v>1378</v>
      </c>
      <c r="S75" s="246" t="s">
        <v>1379</v>
      </c>
      <c r="U75" s="245"/>
    </row>
    <row r="76" spans="1:21" ht="17.25" customHeight="1">
      <c r="A76" s="236">
        <v>75</v>
      </c>
      <c r="B76" s="237" t="str">
        <f t="array" ref="B76">INDEX('NORTE - RUTH'!B:B, MATCH(S76, 'NORTE - RUTH'!K:K, 0), )</f>
        <v>Pacasmayo</v>
      </c>
      <c r="C76" s="156" t="str">
        <f t="array" ref="C76">INDEX('NORTE - RUTH'!C:C, MATCH(S76, 'NORTE - RUTH'!K:K, 0), )</f>
        <v>La Libertad</v>
      </c>
      <c r="D76" s="156" t="str">
        <f t="array" ref="D76">INDEX('NORTE - RUTH'!D:D, MATCH(S76, 'NORTE - RUTH'!K:K, 0), )</f>
        <v>FM</v>
      </c>
      <c r="E76" s="156">
        <f t="array" ref="E76">INDEX('NORTE - RUTH'!E:E, MATCH(S76, 'NORTE - RUTH'!K:K, 0), )</f>
        <v>99.1</v>
      </c>
      <c r="F76" s="156">
        <f t="array" ref="F76">INDEX('NORTE - RUTH'!F:F, MATCH(S76, 'NORTE - RUTH'!K:K, 0), )</f>
        <v>54</v>
      </c>
      <c r="G76" s="159" t="str">
        <f t="array" ref="G76">INDEX('NORTE - RUTH'!G:G, MATCH(S76, 'NORTE - RUTH'!K:K, 0), )</f>
        <v>A.A</v>
      </c>
      <c r="H76" s="238" t="str">
        <f t="array" ref="H76">INDEX('NORTE - RUTH'!H:H, MATCH(S76, 'NORTE - RUTH'!K:K, 0), )</f>
        <v>PACASMAYO</v>
      </c>
      <c r="I76" s="239" t="str">
        <f t="array" ref="I76">INDEX('NORTE - RUTH'!I:I, MATCH(S76, 'NORTE - RUTH'!K:K, 0), )</f>
        <v>28/11/2025 - Sectoristas - Con fecha miércoles 26 de noviembre el pastor envía video evidenciando la operativdad de la radio</v>
      </c>
      <c r="J76" s="240">
        <f t="array" ref="J76">INDEX('NORTE - RUTH'!J:J, MATCH(S76, 'NORTE - RUTH'!K:K, 0), )</f>
        <v>0</v>
      </c>
      <c r="K76" s="241" t="str">
        <f t="array" ref="K76">INDEX('NORTE - RUTH'!K:K, MATCH(S76, 'NORTE - RUTH'!K:K, 0), )</f>
        <v>R - 75</v>
      </c>
      <c r="L76" s="242" t="str">
        <f t="array" ref="L76">INDEX('NORTE - RUTH'!L:L, MATCH(S76, 'NORTE - RUTH'!K:K, 0), )</f>
        <v>Sectoristas</v>
      </c>
      <c r="M76" s="242" t="str">
        <f t="array" ref="M76">INDEX('NORTE - RUTH'!M:M, MATCH(S76, 'NORTE - RUTH'!K:K, 0), )</f>
        <v>Nivel 1</v>
      </c>
      <c r="N76" s="241">
        <f t="array" ref="N76">INDEX('NORTE - RUTH'!N:N, MATCH(S76, 'NORTE - RUTH'!K:K, 0), )</f>
        <v>0</v>
      </c>
      <c r="O76" s="241">
        <f t="array" ref="O76">INDEX('NORTE - RUTH'!O:O, MATCH(S76, 'NORTE - RUTH'!K:K, 0), )</f>
        <v>0</v>
      </c>
      <c r="P76" s="236">
        <v>-7.4168666666666674</v>
      </c>
      <c r="Q76" s="236">
        <v>-79.559583333333336</v>
      </c>
      <c r="R76" s="243" t="s">
        <v>1380</v>
      </c>
      <c r="S76" s="246" t="s">
        <v>1381</v>
      </c>
      <c r="U76" s="245"/>
    </row>
    <row r="77" spans="1:21" ht="17.25" customHeight="1">
      <c r="A77" s="236">
        <v>76</v>
      </c>
      <c r="B77" s="237" t="str">
        <f t="array" ref="B77">INDEX('NORTE - RUTH'!B:B, MATCH(S77, 'NORTE - RUTH'!K:K, 0), )</f>
        <v>Paita</v>
      </c>
      <c r="C77" s="156" t="str">
        <f t="array" ref="C77">INDEX('NORTE - RUTH'!C:C, MATCH(S77, 'NORTE - RUTH'!K:K, 0), )</f>
        <v>Piura</v>
      </c>
      <c r="D77" s="156" t="str">
        <f t="array" ref="D77">INDEX('NORTE - RUTH'!D:D, MATCH(S77, 'NORTE - RUTH'!K:K, 0), )</f>
        <v>FM</v>
      </c>
      <c r="E77" s="156">
        <f t="array" ref="E77">INDEX('NORTE - RUTH'!E:E, MATCH(S77, 'NORTE - RUTH'!K:K, 0), )</f>
        <v>93.3</v>
      </c>
      <c r="F77" s="156">
        <f t="array" ref="F77">INDEX('NORTE - RUTH'!F:F, MATCH(S77, 'NORTE - RUTH'!K:K, 0), )</f>
        <v>105</v>
      </c>
      <c r="G77" s="159" t="str">
        <f t="array" ref="G77">INDEX('NORTE - RUTH'!G:G, MATCH(S77, 'NORTE - RUTH'!K:K, 0), )</f>
        <v>A.A</v>
      </c>
      <c r="H77" s="238" t="str">
        <f t="array" ref="H77">INDEX('NORTE - RUTH'!H:H, MATCH(S77, 'NORTE - RUTH'!K:K, 0), )</f>
        <v>PAITA</v>
      </c>
      <c r="I77" s="239" t="str">
        <f t="array" ref="I77">INDEX('NORTE - RUTH'!I:I, MATCH(S77, 'NORTE - RUTH'!K:K, 0), )</f>
        <v>10/10/2025 - Sectoristas - Según lo mencionado por el pastor Alex el día de hoy 10 de octubre la radio se encuentra operativa.</v>
      </c>
      <c r="J77" s="240">
        <f t="array" ref="J77">INDEX('NORTE - RUTH'!J:J, MATCH(S77, 'NORTE - RUTH'!K:K, 0), )</f>
        <v>0</v>
      </c>
      <c r="K77" s="241" t="str">
        <f t="array" ref="K77">INDEX('NORTE - RUTH'!K:K, MATCH(S77, 'NORTE - RUTH'!K:K, 0), )</f>
        <v>R - 76</v>
      </c>
      <c r="L77" s="242">
        <f t="array" ref="L77">INDEX('NORTE - RUTH'!L:L, MATCH(S77, 'NORTE - RUTH'!K:K, 0), )</f>
        <v>0</v>
      </c>
      <c r="M77" s="242">
        <f t="array" ref="M77">INDEX('NORTE - RUTH'!M:M, MATCH(S77, 'NORTE - RUTH'!K:K, 0), )</f>
        <v>0</v>
      </c>
      <c r="N77" s="241">
        <f t="array" ref="N77">INDEX('NORTE - RUTH'!N:N, MATCH(S77, 'NORTE - RUTH'!K:K, 0), )</f>
        <v>0</v>
      </c>
      <c r="O77" s="241">
        <f t="array" ref="O77">INDEX('NORTE - RUTH'!O:O, MATCH(S77, 'NORTE - RUTH'!K:K, 0), )</f>
        <v>0</v>
      </c>
      <c r="P77" s="236">
        <v>-5.1031944444444441</v>
      </c>
      <c r="Q77" s="236">
        <v>-81.090916666666658</v>
      </c>
      <c r="R77" s="243" t="s">
        <v>1382</v>
      </c>
      <c r="S77" s="246" t="s">
        <v>1383</v>
      </c>
      <c r="U77" s="245"/>
    </row>
    <row r="78" spans="1:21" ht="17.25" customHeight="1">
      <c r="A78" s="236">
        <v>77</v>
      </c>
      <c r="B78" s="237" t="str">
        <f t="array" ref="B78">INDEX('NORTE - RUTH'!B:B, MATCH(S78, 'NORTE - RUTH'!K:K, 0), )</f>
        <v>Pamparomas</v>
      </c>
      <c r="C78" s="156" t="str">
        <f t="array" ref="C78">INDEX('NORTE - RUTH'!C:C, MATCH(S78, 'NORTE - RUTH'!K:K, 0), )</f>
        <v>Ancash</v>
      </c>
      <c r="D78" s="156" t="str">
        <f t="array" ref="D78">INDEX('NORTE - RUTH'!D:D, MATCH(S78, 'NORTE - RUTH'!K:K, 0), )</f>
        <v>VHF</v>
      </c>
      <c r="E78" s="156">
        <f t="array" ref="E78">INDEX('NORTE - RUTH'!E:E, MATCH(S78, 'NORTE - RUTH'!K:K, 0), )</f>
        <v>9</v>
      </c>
      <c r="F78" s="156">
        <f t="array" ref="F78">INDEX('NORTE - RUTH'!F:F, MATCH(S78, 'NORTE - RUTH'!K:K, 0), )</f>
        <v>144</v>
      </c>
      <c r="G78" s="159" t="str">
        <f t="array" ref="G78">INDEX('NORTE - RUTH'!G:G, MATCH(S78, 'NORTE - RUTH'!K:K, 0), )</f>
        <v>N.I</v>
      </c>
      <c r="H78" s="238" t="str">
        <f t="array" ref="H78">INDEX('NORTE - RUTH'!H:H, MATCH(S78, 'NORTE - RUTH'!K:K, 0), )</f>
        <v>PAMPAROMAS</v>
      </c>
      <c r="I78" s="239" t="str">
        <f t="array" ref="I78">INDEX('NORTE - RUTH'!I:I, MATCH(S78, 'NORTE - RUTH'!K:K, 0), )</f>
        <v>26/09/2025 - Sectoristas - Se le menciono al pastor Guillermo que esta pendiente la instalación, realizo consulta por la iglesia y ahora no hay anexo.</v>
      </c>
      <c r="J78" s="240">
        <f t="array" ref="J78">INDEX('NORTE - RUTH'!J:J, MATCH(S78, 'NORTE - RUTH'!K:K, 0), )</f>
        <v>0</v>
      </c>
      <c r="K78" s="241" t="str">
        <f t="array" ref="K78">INDEX('NORTE - RUTH'!K:K, MATCH(S78, 'NORTE - RUTH'!K:K, 0), )</f>
        <v>R - 77</v>
      </c>
      <c r="L78" s="242">
        <f t="array" ref="L78">INDEX('NORTE - RUTH'!L:L, MATCH(S78, 'NORTE - RUTH'!K:K, 0), )</f>
        <v>0</v>
      </c>
      <c r="M78" s="242">
        <f t="array" ref="M78">INDEX('NORTE - RUTH'!M:M, MATCH(S78, 'NORTE - RUTH'!K:K, 0), )</f>
        <v>0</v>
      </c>
      <c r="N78" s="241">
        <f t="array" ref="N78">INDEX('NORTE - RUTH'!N:N, MATCH(S78, 'NORTE - RUTH'!K:K, 0), )</f>
        <v>0</v>
      </c>
      <c r="O78" s="241">
        <f t="array" ref="O78">INDEX('NORTE - RUTH'!O:O, MATCH(S78, 'NORTE - RUTH'!K:K, 0), )</f>
        <v>0</v>
      </c>
      <c r="P78" s="236">
        <v>-9.0732416666666662</v>
      </c>
      <c r="Q78" s="236">
        <v>-77.97956388888889</v>
      </c>
      <c r="R78" s="243" t="s">
        <v>1384</v>
      </c>
      <c r="S78" s="246" t="s">
        <v>1385</v>
      </c>
      <c r="U78" s="245"/>
    </row>
    <row r="79" spans="1:21" ht="17.25" customHeight="1">
      <c r="A79" s="236">
        <v>78</v>
      </c>
      <c r="B79" s="237" t="str">
        <f t="array" ref="B79">INDEX('NORTE - RUTH'!B:B, MATCH(S79, 'NORTE - RUTH'!K:K, 0), )</f>
        <v>Parcoy</v>
      </c>
      <c r="C79" s="156" t="str">
        <f t="array" ref="C79">INDEX('NORTE - RUTH'!C:C, MATCH(S79, 'NORTE - RUTH'!K:K, 0), )</f>
        <v>La Libertad</v>
      </c>
      <c r="D79" s="156" t="str">
        <f t="array" ref="D79">INDEX('NORTE - RUTH'!D:D, MATCH(S79, 'NORTE - RUTH'!K:K, 0), )</f>
        <v>FM</v>
      </c>
      <c r="E79" s="156" t="str">
        <f t="array" ref="E79">INDEX('NORTE - RUTH'!E:E, MATCH(S79, 'NORTE - RUTH'!K:K, 0), )</f>
        <v>94.1</v>
      </c>
      <c r="F79" s="156">
        <f t="array" ref="F79">INDEX('NORTE - RUTH'!F:F, MATCH(S79, 'NORTE - RUTH'!K:K, 0), )</f>
        <v>102</v>
      </c>
      <c r="G79" s="159" t="str">
        <f t="array" ref="G79">INDEX('NORTE - RUTH'!G:G, MATCH(S79, 'NORTE - RUTH'!K:K, 0), )</f>
        <v>A.A</v>
      </c>
      <c r="H79" s="238" t="str">
        <f t="array" ref="H79">INDEX('NORTE - RUTH'!H:H, MATCH(S79, 'NORTE - RUTH'!K:K, 0), )</f>
        <v>PARCOY</v>
      </c>
      <c r="I79" s="239" t="str">
        <f t="array" ref="I79">INDEX('NORTE - RUTH'!I:I, MATCH(S79, 'NORTE - RUTH'!K:K, 0), )</f>
        <v>28/11/2025 - Sectoristas - Con fecha martes 25 de noviembre el pastor envía video evidenciando que la radio esta operativa</v>
      </c>
      <c r="J79" s="240">
        <f t="array" ref="J79">INDEX('NORTE - RUTH'!J:J, MATCH(S79, 'NORTE - RUTH'!K:K, 0), )</f>
        <v>0</v>
      </c>
      <c r="K79" s="241" t="str">
        <f t="array" ref="K79">INDEX('NORTE - RUTH'!K:K, MATCH(S79, 'NORTE - RUTH'!K:K, 0), )</f>
        <v>R - 78</v>
      </c>
      <c r="L79" s="242" t="str">
        <f t="array" ref="L79">INDEX('NORTE - RUTH'!L:L, MATCH(S79, 'NORTE - RUTH'!K:K, 0), )</f>
        <v>Sectoristas</v>
      </c>
      <c r="M79" s="242" t="str">
        <f t="array" ref="M79">INDEX('NORTE - RUTH'!M:M, MATCH(S79, 'NORTE - RUTH'!K:K, 0), )</f>
        <v>Nivel 1</v>
      </c>
      <c r="N79" s="241">
        <f t="array" ref="N79">INDEX('NORTE - RUTH'!N:N, MATCH(S79, 'NORTE - RUTH'!K:K, 0), )</f>
        <v>0</v>
      </c>
      <c r="O79" s="241">
        <f t="array" ref="O79">INDEX('NORTE - RUTH'!O:O, MATCH(S79, 'NORTE - RUTH'!K:K, 0), )</f>
        <v>0</v>
      </c>
      <c r="P79" s="236">
        <v>-8.0136666666666674</v>
      </c>
      <c r="Q79" s="236">
        <v>-77.473333333333329</v>
      </c>
      <c r="R79" s="243" t="s">
        <v>1386</v>
      </c>
      <c r="S79" s="246" t="s">
        <v>1387</v>
      </c>
      <c r="U79" s="245"/>
    </row>
    <row r="80" spans="1:21" ht="17.25" customHeight="1">
      <c r="A80" s="236">
        <v>79</v>
      </c>
      <c r="B80" s="237" t="str">
        <f t="array" ref="B80">INDEX('NORTE - RUTH'!B:B, MATCH(S80, 'NORTE - RUTH'!K:K, 0), )</f>
        <v>Pariacoto - Yautan</v>
      </c>
      <c r="C80" s="156" t="str">
        <f t="array" ref="C80">INDEX('NORTE - RUTH'!C:C, MATCH(S80, 'NORTE - RUTH'!K:K, 0), )</f>
        <v>Ancash</v>
      </c>
      <c r="D80" s="156" t="str">
        <f t="array" ref="D80">INDEX('NORTE - RUTH'!D:D, MATCH(S80, 'NORTE - RUTH'!K:K, 0), )</f>
        <v>FM</v>
      </c>
      <c r="E80" s="156">
        <f t="array" ref="E80">INDEX('NORTE - RUTH'!E:E, MATCH(S80, 'NORTE - RUTH'!K:K, 0), )</f>
        <v>103.1</v>
      </c>
      <c r="F80" s="156">
        <f t="array" ref="F80">INDEX('NORTE - RUTH'!F:F, MATCH(S80, 'NORTE - RUTH'!K:K, 0), )</f>
        <v>95</v>
      </c>
      <c r="G80" s="159" t="str">
        <f t="array" ref="G80">INDEX('NORTE - RUTH'!G:G, MATCH(S80, 'NORTE - RUTH'!K:K, 0), )</f>
        <v>A.A</v>
      </c>
      <c r="H80" s="238" t="str">
        <f t="array" ref="H80">INDEX('NORTE - RUTH'!H:H, MATCH(S80, 'NORTE - RUTH'!K:K, 0), )</f>
        <v>PARIACOTO</v>
      </c>
      <c r="I80" s="239" t="str">
        <f t="array" ref="I80">INDEX('NORTE - RUTH'!I:I, MATCH(S80, 'NORTE - RUTH'!K:K, 0), )</f>
        <v>3/11/2025 - Sectoristas - Con fecha 31 de octubre el pastor local señala que la radio se encuentra con señal al aire</v>
      </c>
      <c r="J80" s="240">
        <f t="array" ref="J80">INDEX('NORTE - RUTH'!J:J, MATCH(S80, 'NORTE - RUTH'!K:K, 0), )</f>
        <v>0</v>
      </c>
      <c r="K80" s="241" t="str">
        <f t="array" ref="K80">INDEX('NORTE - RUTH'!K:K, MATCH(S80, 'NORTE - RUTH'!K:K, 0), )</f>
        <v>R - 79</v>
      </c>
      <c r="L80" s="242">
        <f t="array" ref="L80">INDEX('NORTE - RUTH'!L:L, MATCH(S80, 'NORTE - RUTH'!K:K, 0), )</f>
        <v>0</v>
      </c>
      <c r="M80" s="242">
        <f t="array" ref="M80">INDEX('NORTE - RUTH'!M:M, MATCH(S80, 'NORTE - RUTH'!K:K, 0), )</f>
        <v>0</v>
      </c>
      <c r="N80" s="241">
        <f t="array" ref="N80">INDEX('NORTE - RUTH'!N:N, MATCH(S80, 'NORTE - RUTH'!K:K, 0), )</f>
        <v>0</v>
      </c>
      <c r="O80" s="241">
        <f t="array" ref="O80">INDEX('NORTE - RUTH'!O:O, MATCH(S80, 'NORTE - RUTH'!K:K, 0), )</f>
        <v>0</v>
      </c>
      <c r="P80" s="236">
        <v>-9.5469444444444438</v>
      </c>
      <c r="Q80" s="236">
        <v>-77.885416666666671</v>
      </c>
      <c r="R80" s="243" t="s">
        <v>1388</v>
      </c>
      <c r="S80" s="246" t="s">
        <v>1389</v>
      </c>
      <c r="U80" s="245"/>
    </row>
    <row r="81" spans="1:21" ht="17.25" customHeight="1">
      <c r="A81" s="236">
        <v>80</v>
      </c>
      <c r="B81" s="237" t="str">
        <f t="array" ref="B81">INDEX('NORTE - RUTH'!B:B, MATCH(S81, 'NORTE - RUTH'!K:K, 0), )</f>
        <v>Parobamba</v>
      </c>
      <c r="C81" s="156" t="str">
        <f t="array" ref="C81">INDEX('NORTE - RUTH'!C:C, MATCH(S81, 'NORTE - RUTH'!K:K, 0), )</f>
        <v>Ancash</v>
      </c>
      <c r="D81" s="156" t="str">
        <f t="array" ref="D81">INDEX('NORTE - RUTH'!D:D, MATCH(S81, 'NORTE - RUTH'!K:K, 0), )</f>
        <v>FM</v>
      </c>
      <c r="E81" s="156">
        <f t="array" ref="E81">INDEX('NORTE - RUTH'!E:E, MATCH(S81, 'NORTE - RUTH'!K:K, 0), )</f>
        <v>98.5</v>
      </c>
      <c r="F81" s="156">
        <f t="array" ref="F81">INDEX('NORTE - RUTH'!F:F, MATCH(S81, 'NORTE - RUTH'!K:K, 0), )</f>
        <v>81</v>
      </c>
      <c r="G81" s="159" t="str">
        <f t="array" ref="G81">INDEX('NORTE - RUTH'!G:G, MATCH(S81, 'NORTE - RUTH'!K:K, 0), )</f>
        <v>N.I</v>
      </c>
      <c r="H81" s="238" t="str">
        <f t="array" ref="H81">INDEX('NORTE - RUTH'!H:H, MATCH(S81, 'NORTE - RUTH'!K:K, 0), )</f>
        <v>PAROBAMBA</v>
      </c>
      <c r="I81" s="239" t="str">
        <f t="array" ref="I81">INDEX('NORTE - RUTH'!I:I, MATCH(S81, 'NORTE - RUTH'!K:K, 0), )</f>
        <v>26/09/2025 - Sectoristas - Esta en evaluación darle de baja a la autorización.</v>
      </c>
      <c r="J81" s="240">
        <f t="array" ref="J81">INDEX('NORTE - RUTH'!J:J, MATCH(S81, 'NORTE - RUTH'!K:K, 0), )</f>
        <v>0</v>
      </c>
      <c r="K81" s="241" t="str">
        <f t="array" ref="K81">INDEX('NORTE - RUTH'!K:K, MATCH(S81, 'NORTE - RUTH'!K:K, 0), )</f>
        <v>R - 80</v>
      </c>
      <c r="L81" s="242">
        <f t="array" ref="L81">INDEX('NORTE - RUTH'!L:L, MATCH(S81, 'NORTE - RUTH'!K:K, 0), )</f>
        <v>0</v>
      </c>
      <c r="M81" s="242">
        <f t="array" ref="M81">INDEX('NORTE - RUTH'!M:M, MATCH(S81, 'NORTE - RUTH'!K:K, 0), )</f>
        <v>0</v>
      </c>
      <c r="N81" s="241">
        <f t="array" ref="N81">INDEX('NORTE - RUTH'!N:N, MATCH(S81, 'NORTE - RUTH'!K:K, 0), )</f>
        <v>0</v>
      </c>
      <c r="O81" s="241">
        <f t="array" ref="O81">INDEX('NORTE - RUTH'!O:O, MATCH(S81, 'NORTE - RUTH'!K:K, 0), )</f>
        <v>0</v>
      </c>
      <c r="P81" s="236">
        <v>-8.697166666666666</v>
      </c>
      <c r="Q81" s="236">
        <v>-77.430055555555555</v>
      </c>
      <c r="R81" s="243" t="s">
        <v>1390</v>
      </c>
      <c r="S81" s="246" t="s">
        <v>1391</v>
      </c>
      <c r="U81" s="245"/>
    </row>
    <row r="82" spans="1:21" ht="17.25" customHeight="1">
      <c r="A82" s="236">
        <v>81</v>
      </c>
      <c r="B82" s="237" t="str">
        <f t="array" ref="B82">INDEX('NORTE - RUTH'!B:B, MATCH(S82, 'NORTE - RUTH'!K:K, 0), )</f>
        <v>Pataz</v>
      </c>
      <c r="C82" s="156" t="str">
        <f t="array" ref="C82">INDEX('NORTE - RUTH'!C:C, MATCH(S82, 'NORTE - RUTH'!K:K, 0), )</f>
        <v>La Libertad</v>
      </c>
      <c r="D82" s="156" t="str">
        <f t="array" ref="D82">INDEX('NORTE - RUTH'!D:D, MATCH(S82, 'NORTE - RUTH'!K:K, 0), )</f>
        <v>FM</v>
      </c>
      <c r="E82" s="156">
        <f t="array" ref="E82">INDEX('NORTE - RUTH'!E:E, MATCH(S82, 'NORTE - RUTH'!K:K, 0), )</f>
        <v>98.1</v>
      </c>
      <c r="F82" s="156">
        <f t="array" ref="F82">INDEX('NORTE - RUTH'!F:F, MATCH(S82, 'NORTE - RUTH'!K:K, 0), )</f>
        <v>102</v>
      </c>
      <c r="G82" s="159" t="str">
        <f t="array" ref="G82">INDEX('NORTE - RUTH'!G:G, MATCH(S82, 'NORTE - RUTH'!K:K, 0), )</f>
        <v>A.A</v>
      </c>
      <c r="H82" s="238" t="str">
        <f t="array" ref="H82">INDEX('NORTE - RUTH'!H:H, MATCH(S82, 'NORTE - RUTH'!K:K, 0), )</f>
        <v>PATAZ</v>
      </c>
      <c r="I82" s="239" t="str">
        <f t="array" ref="I82">INDEX('NORTE - RUTH'!I:I, MATCH(S82, 'NORTE - RUTH'!K:K, 0), )</f>
        <v>3/11/2025 - Sectoristas - Con fecha 30 de octubre el pastor local señala que la radio se encuentra con señal al aire.</v>
      </c>
      <c r="J82" s="240">
        <f t="array" ref="J82">INDEX('NORTE - RUTH'!J:J, MATCH(S82, 'NORTE - RUTH'!K:K, 0), )</f>
        <v>0</v>
      </c>
      <c r="K82" s="241" t="str">
        <f t="array" ref="K82">INDEX('NORTE - RUTH'!K:K, MATCH(S82, 'NORTE - RUTH'!K:K, 0), )</f>
        <v>R - 81</v>
      </c>
      <c r="L82" s="242">
        <f t="array" ref="L82">INDEX('NORTE - RUTH'!L:L, MATCH(S82, 'NORTE - RUTH'!K:K, 0), )</f>
        <v>0</v>
      </c>
      <c r="M82" s="242">
        <f t="array" ref="M82">INDEX('NORTE - RUTH'!M:M, MATCH(S82, 'NORTE - RUTH'!K:K, 0), )</f>
        <v>0</v>
      </c>
      <c r="N82" s="241">
        <f t="array" ref="N82">INDEX('NORTE - RUTH'!N:N, MATCH(S82, 'NORTE - RUTH'!K:K, 0), )</f>
        <v>0</v>
      </c>
      <c r="O82" s="241">
        <f t="array" ref="O82">INDEX('NORTE - RUTH'!O:O, MATCH(S82, 'NORTE - RUTH'!K:K, 0), )</f>
        <v>0</v>
      </c>
      <c r="P82" s="236">
        <v>-7.7625388888888889</v>
      </c>
      <c r="Q82" s="236">
        <v>-77.596466666666657</v>
      </c>
      <c r="R82" s="243" t="s">
        <v>1392</v>
      </c>
      <c r="S82" s="246" t="s">
        <v>1393</v>
      </c>
      <c r="U82" s="245"/>
    </row>
    <row r="83" spans="1:21" ht="17.25" customHeight="1">
      <c r="A83" s="236">
        <v>82</v>
      </c>
      <c r="B83" s="237" t="str">
        <f t="array" ref="B83">INDEX('NORTE - RUTH'!B:B, MATCH(S83, 'NORTE - RUTH'!K:K, 0), )</f>
        <v>Pedro Galvez - Chancay - San Marcos</v>
      </c>
      <c r="C83" s="156" t="str">
        <f t="array" ref="C83">INDEX('NORTE - RUTH'!C:C, MATCH(S83, 'NORTE - RUTH'!K:K, 0), )</f>
        <v>Cajamarca</v>
      </c>
      <c r="D83" s="156" t="str">
        <f t="array" ref="D83">INDEX('NORTE - RUTH'!D:D, MATCH(S83, 'NORTE - RUTH'!K:K, 0), )</f>
        <v>FM</v>
      </c>
      <c r="E83" s="156">
        <f t="array" ref="E83">INDEX('NORTE - RUTH'!E:E, MATCH(S83, 'NORTE - RUTH'!K:K, 0), )</f>
        <v>100.9</v>
      </c>
      <c r="F83" s="156">
        <f t="array" ref="F83">INDEX('NORTE - RUTH'!F:F, MATCH(S83, 'NORTE - RUTH'!K:K, 0), )</f>
        <v>26</v>
      </c>
      <c r="G83" s="159" t="str">
        <f t="array" ref="G83">INDEX('NORTE - RUTH'!G:G, MATCH(S83, 'NORTE - RUTH'!K:K, 0), )</f>
        <v>A.A</v>
      </c>
      <c r="H83" s="238" t="str">
        <f t="array" ref="H83">INDEX('NORTE - RUTH'!H:H, MATCH(S83, 'NORTE - RUTH'!K:K, 0), )</f>
        <v>PEDRO GALVEZ</v>
      </c>
      <c r="I83" s="239" t="str">
        <f t="array" ref="I83">INDEX('NORTE - RUTH'!I:I, MATCH(S83, 'NORTE - RUTH'!K:K, 0), )</f>
        <v>28/11/2025 - Sectoristas - La estacion se encuentra operativa</v>
      </c>
      <c r="J83" s="240">
        <f t="array" ref="J83">INDEX('NORTE - RUTH'!J:J, MATCH(S83, 'NORTE - RUTH'!K:K, 0), )</f>
        <v>0</v>
      </c>
      <c r="K83" s="241" t="str">
        <f t="array" ref="K83">INDEX('NORTE - RUTH'!K:K, MATCH(S83, 'NORTE - RUTH'!K:K, 0), )</f>
        <v>R - 82</v>
      </c>
      <c r="L83" s="242" t="str">
        <f t="array" ref="L83">INDEX('NORTE - RUTH'!L:L, MATCH(S83, 'NORTE - RUTH'!K:K, 0), )</f>
        <v>Sectoristas</v>
      </c>
      <c r="M83" s="242" t="str">
        <f t="array" ref="M83">INDEX('NORTE - RUTH'!M:M, MATCH(S83, 'NORTE - RUTH'!K:K, 0), )</f>
        <v>Nivel 1</v>
      </c>
      <c r="N83" s="241">
        <f t="array" ref="N83">INDEX('NORTE - RUTH'!N:N, MATCH(S83, 'NORTE - RUTH'!K:K, 0), )</f>
        <v>0</v>
      </c>
      <c r="O83" s="241">
        <f t="array" ref="O83">INDEX('NORTE - RUTH'!O:O, MATCH(S83, 'NORTE - RUTH'!K:K, 0), )</f>
        <v>0</v>
      </c>
      <c r="P83" s="236">
        <v>-7.334888888888889</v>
      </c>
      <c r="Q83" s="236">
        <v>-78.17391666666667</v>
      </c>
      <c r="R83" s="243" t="s">
        <v>1394</v>
      </c>
      <c r="S83" s="246" t="s">
        <v>1395</v>
      </c>
      <c r="U83" s="245"/>
    </row>
    <row r="84" spans="1:21" ht="17.25" customHeight="1">
      <c r="A84" s="236">
        <v>83</v>
      </c>
      <c r="B84" s="237" t="str">
        <f t="array" ref="B84">INDEX('NORTE - RUTH'!B:B, MATCH(S84, 'NORTE - RUTH'!K:K, 0), )</f>
        <v>Pedro Galvez - Ichocan</v>
      </c>
      <c r="C84" s="156" t="str">
        <f t="array" ref="C84">INDEX('NORTE - RUTH'!C:C, MATCH(S84, 'NORTE - RUTH'!K:K, 0), )</f>
        <v>Cajamarca</v>
      </c>
      <c r="D84" s="156" t="str">
        <f t="array" ref="D84">INDEX('NORTE - RUTH'!D:D, MATCH(S84, 'NORTE - RUTH'!K:K, 0), )</f>
        <v>VHF</v>
      </c>
      <c r="E84" s="156">
        <f t="array" ref="E84">INDEX('NORTE - RUTH'!E:E, MATCH(S84, 'NORTE - RUTH'!K:K, 0), )</f>
        <v>9</v>
      </c>
      <c r="F84" s="156">
        <f t="array" ref="F84">INDEX('NORTE - RUTH'!F:F, MATCH(S84, 'NORTE - RUTH'!K:K, 0), )</f>
        <v>26</v>
      </c>
      <c r="G84" s="159" t="str">
        <f t="array" ref="G84">INDEX('NORTE - RUTH'!G:G, MATCH(S84, 'NORTE - RUTH'!K:K, 0), )</f>
        <v>A.A</v>
      </c>
      <c r="H84" s="238" t="str">
        <f t="array" ref="H84">INDEX('NORTE - RUTH'!H:H, MATCH(S84, 'NORTE - RUTH'!K:K, 0), )</f>
        <v>SAN MARCOS</v>
      </c>
      <c r="I84" s="239" t="str">
        <f t="array" ref="I84">INDEX('NORTE - RUTH'!I:I, MATCH(S84, 'NORTE - RUTH'!K:K, 0), )</f>
        <v>30/10/2025 - Sectoristas - La estación se encuentra operativa</v>
      </c>
      <c r="J84" s="240">
        <f t="array" ref="J84">INDEX('NORTE - RUTH'!J:J, MATCH(S84, 'NORTE - RUTH'!K:K, 0), )</f>
        <v>0</v>
      </c>
      <c r="K84" s="241" t="str">
        <f t="array" ref="K84">INDEX('NORTE - RUTH'!K:K, MATCH(S84, 'NORTE - RUTH'!K:K, 0), )</f>
        <v>R - 83</v>
      </c>
      <c r="L84" s="242">
        <f t="array" ref="L84">INDEX('NORTE - RUTH'!L:L, MATCH(S84, 'NORTE - RUTH'!K:K, 0), )</f>
        <v>0</v>
      </c>
      <c r="M84" s="242">
        <f t="array" ref="M84">INDEX('NORTE - RUTH'!M:M, MATCH(S84, 'NORTE - RUTH'!K:K, 0), )</f>
        <v>0</v>
      </c>
      <c r="N84" s="241">
        <f t="array" ref="N84">INDEX('NORTE - RUTH'!N:N, MATCH(S84, 'NORTE - RUTH'!K:K, 0), )</f>
        <v>0</v>
      </c>
      <c r="O84" s="241">
        <f t="array" ref="O84">INDEX('NORTE - RUTH'!O:O, MATCH(S84, 'NORTE - RUTH'!K:K, 0), )</f>
        <v>0</v>
      </c>
      <c r="P84" s="236">
        <v>-7.3811138888888888</v>
      </c>
      <c r="Q84" s="236">
        <v>-78.09963888888889</v>
      </c>
      <c r="R84" s="243" t="s">
        <v>1396</v>
      </c>
      <c r="S84" s="246" t="s">
        <v>1397</v>
      </c>
      <c r="U84" s="245"/>
    </row>
    <row r="85" spans="1:21" ht="17.25" customHeight="1">
      <c r="A85" s="236">
        <v>84</v>
      </c>
      <c r="B85" s="237" t="str">
        <f t="array" ref="B85">INDEX('NORTE - RUTH'!B:B, MATCH(S85, 'NORTE - RUTH'!K:K, 0), )</f>
        <v>Picota</v>
      </c>
      <c r="C85" s="156" t="str">
        <f t="array" ref="C85">INDEX('NORTE - RUTH'!C:C, MATCH(S85, 'NORTE - RUTH'!K:K, 0), )</f>
        <v>San Martin</v>
      </c>
      <c r="D85" s="156" t="str">
        <f t="array" ref="D85">INDEX('NORTE - RUTH'!D:D, MATCH(S85, 'NORTE - RUTH'!K:K, 0), )</f>
        <v>FM</v>
      </c>
      <c r="E85" s="156">
        <f t="array" ref="E85">INDEX('NORTE - RUTH'!E:E, MATCH(S85, 'NORTE - RUTH'!K:K, 0), )</f>
        <v>101.7</v>
      </c>
      <c r="F85" s="156">
        <f t="array" ref="F85">INDEX('NORTE - RUTH'!F:F, MATCH(S85, 'NORTE - RUTH'!K:K, 0), )</f>
        <v>35</v>
      </c>
      <c r="G85" s="159" t="str">
        <f t="array" ref="G85">INDEX('NORTE - RUTH'!G:G, MATCH(S85, 'NORTE - RUTH'!K:K, 0), )</f>
        <v>A.A</v>
      </c>
      <c r="H85" s="238" t="str">
        <f t="array" ref="H85">INDEX('NORTE - RUTH'!H:H, MATCH(S85, 'NORTE - RUTH'!K:K, 0), )</f>
        <v>PICOTA</v>
      </c>
      <c r="I85" s="239" t="str">
        <f t="array" ref="I85">INDEX('NORTE - RUTH'!I:I, MATCH(S85, 'NORTE - RUTH'!K:K, 0), )</f>
        <v>25/11/2025 - Sectoristas - El dia de hoy 25 de noviembre el pastor envía evidencia en audio para corroborar la operatividad</v>
      </c>
      <c r="J85" s="240">
        <f t="array" ref="J85">INDEX('NORTE - RUTH'!J:J, MATCH(S85, 'NORTE - RUTH'!K:K, 0), )</f>
        <v>0</v>
      </c>
      <c r="K85" s="241" t="str">
        <f t="array" ref="K85">INDEX('NORTE - RUTH'!K:K, MATCH(S85, 'NORTE - RUTH'!K:K, 0), )</f>
        <v>R - 84</v>
      </c>
      <c r="L85" s="242" t="str">
        <f t="array" ref="L85">INDEX('NORTE - RUTH'!L:L, MATCH(S85, 'NORTE - RUTH'!K:K, 0), )</f>
        <v>Sectoristas</v>
      </c>
      <c r="M85" s="242" t="str">
        <f t="array" ref="M85">INDEX('NORTE - RUTH'!M:M, MATCH(S85, 'NORTE - RUTH'!K:K, 0), )</f>
        <v>Nivel 1</v>
      </c>
      <c r="N85" s="241">
        <f t="array" ref="N85">INDEX('NORTE - RUTH'!N:N, MATCH(S85, 'NORTE - RUTH'!K:K, 0), )</f>
        <v>0</v>
      </c>
      <c r="O85" s="241">
        <f t="array" ref="O85">INDEX('NORTE - RUTH'!O:O, MATCH(S85, 'NORTE - RUTH'!K:K, 0), )</f>
        <v>0</v>
      </c>
      <c r="P85" s="236">
        <v>-6.9244166666666667</v>
      </c>
      <c r="Q85" s="236">
        <v>-76.330916666666667</v>
      </c>
      <c r="R85" s="243" t="s">
        <v>1398</v>
      </c>
      <c r="S85" s="246" t="s">
        <v>1399</v>
      </c>
      <c r="U85" s="245"/>
    </row>
    <row r="86" spans="1:21" ht="17.25" customHeight="1">
      <c r="A86" s="236">
        <v>85</v>
      </c>
      <c r="B86" s="237" t="str">
        <f t="array" ref="B86">INDEX('NORTE - RUTH'!B:B, MATCH(S86, 'NORTE - RUTH'!K:K, 0), )</f>
        <v>Pinra</v>
      </c>
      <c r="C86" s="156" t="str">
        <f t="array" ref="C86">INDEX('NORTE - RUTH'!C:C, MATCH(S86, 'NORTE - RUTH'!K:K, 0), )</f>
        <v>Huanuco</v>
      </c>
      <c r="D86" s="156" t="str">
        <f t="array" ref="D86">INDEX('NORTE - RUTH'!D:D, MATCH(S86, 'NORTE - RUTH'!K:K, 0), )</f>
        <v>FM</v>
      </c>
      <c r="E86" s="156" t="str">
        <f t="array" ref="E86">INDEX('NORTE - RUTH'!E:E, MATCH(S86, 'NORTE - RUTH'!K:K, 0), )</f>
        <v>95.3</v>
      </c>
      <c r="F86" s="156">
        <f t="array" ref="F86">INDEX('NORTE - RUTH'!F:F, MATCH(S86, 'NORTE - RUTH'!K:K, 0), )</f>
        <v>59</v>
      </c>
      <c r="G86" s="159" t="str">
        <f t="array" ref="G86">INDEX('NORTE - RUTH'!G:G, MATCH(S86, 'NORTE - RUTH'!K:K, 0), )</f>
        <v>N.I</v>
      </c>
      <c r="H86" s="238" t="str">
        <f t="array" ref="H86">INDEX('NORTE - RUTH'!H:H, MATCH(S86, 'NORTE - RUTH'!K:K, 0), )</f>
        <v>PINRA</v>
      </c>
      <c r="I86" s="239" t="str">
        <f t="array" ref="I86">INDEX('NORTE - RUTH'!I:I, MATCH(S86, 'NORTE - RUTH'!K:K, 0), )</f>
        <v>26/09/2025 - Sectoristas - Se tiene una ubicación para instalación la envió un hno el 01/07/2025</v>
      </c>
      <c r="J86" s="240" t="str">
        <f t="array" ref="J86">INDEX('NORTE - RUTH'!J:J, MATCH(S86, 'NORTE - RUTH'!K:K, 0), )</f>
        <v>Le brindaran apoyo para instalacion</v>
      </c>
      <c r="K86" s="241" t="str">
        <f t="array" ref="K86">INDEX('NORTE - RUTH'!K:K, MATCH(S86, 'NORTE - RUTH'!K:K, 0), )</f>
        <v>R - 85</v>
      </c>
      <c r="L86" s="242">
        <f t="array" ref="L86">INDEX('NORTE - RUTH'!L:L, MATCH(S86, 'NORTE - RUTH'!K:K, 0), )</f>
        <v>0</v>
      </c>
      <c r="M86" s="242">
        <f t="array" ref="M86">INDEX('NORTE - RUTH'!M:M, MATCH(S86, 'NORTE - RUTH'!K:K, 0), )</f>
        <v>0</v>
      </c>
      <c r="N86" s="241">
        <f t="array" ref="N86">INDEX('NORTE - RUTH'!N:N, MATCH(S86, 'NORTE - RUTH'!K:K, 0), )</f>
        <v>0</v>
      </c>
      <c r="O86" s="241">
        <f t="array" ref="O86">INDEX('NORTE - RUTH'!O:O, MATCH(S86, 'NORTE - RUTH'!K:K, 0), )</f>
        <v>0</v>
      </c>
      <c r="R86" s="248"/>
      <c r="S86" s="246" t="s">
        <v>1400</v>
      </c>
      <c r="U86" s="245"/>
    </row>
    <row r="87" spans="1:21" ht="17.25" customHeight="1">
      <c r="A87" s="236">
        <v>86</v>
      </c>
      <c r="B87" s="237" t="str">
        <f t="array" ref="B87">INDEX('NORTE - RUTH'!B:B, MATCH(S87, 'NORTE - RUTH'!K:K, 0), )</f>
        <v>Piscobamba</v>
      </c>
      <c r="C87" s="156" t="str">
        <f t="array" ref="C87">INDEX('NORTE - RUTH'!C:C, MATCH(S87, 'NORTE - RUTH'!K:K, 0), )</f>
        <v>Ancash</v>
      </c>
      <c r="D87" s="156" t="str">
        <f t="array" ref="D87">INDEX('NORTE - RUTH'!D:D, MATCH(S87, 'NORTE - RUTH'!K:K, 0), )</f>
        <v>FM</v>
      </c>
      <c r="E87" s="156">
        <f t="array" ref="E87">INDEX('NORTE - RUTH'!E:E, MATCH(S87, 'NORTE - RUTH'!K:K, 0), )</f>
        <v>97.9</v>
      </c>
      <c r="F87" s="156">
        <f t="array" ref="F87">INDEX('NORTE - RUTH'!F:F, MATCH(S87, 'NORTE - RUTH'!K:K, 0), )</f>
        <v>81</v>
      </c>
      <c r="G87" s="159" t="str">
        <f t="array" ref="G87">INDEX('NORTE - RUTH'!G:G, MATCH(S87, 'NORTE - RUTH'!K:K, 0), )</f>
        <v>F.A</v>
      </c>
      <c r="H87" s="238" t="str">
        <f t="array" ref="H87">INDEX('NORTE - RUTH'!H:H, MATCH(S87, 'NORTE - RUTH'!K:K, 0), )</f>
        <v>PISCOBAMBA</v>
      </c>
      <c r="I87" s="239" t="str">
        <f t="array" ref="I87">INDEX('NORTE - RUTH'!I:I, MATCH(S87, 'NORTE - RUTH'!K:K, 0), )</f>
        <v>3/12/2025 - Sectoristas - Con fecha de hoy 03 de diciembre el pastor comunica que ha conversado con el obrero que deberá volver a revisar que ha sucedido nuevamente con la radio pues se apago nuevamente según lo comunicado por el pastor nuevamente el dia lunes 01 de diciembre. El dia lunes 08 viajara el hno a Piscobamba a revisar</v>
      </c>
      <c r="J87" s="240">
        <f t="array" ref="J87">INDEX('NORTE - RUTH'!J:J, MATCH(S87, 'NORTE - RUTH'!K:K, 0), )</f>
        <v>0</v>
      </c>
      <c r="K87" s="241" t="str">
        <f t="array" ref="K87">INDEX('NORTE - RUTH'!K:K, MATCH(S87, 'NORTE - RUTH'!K:K, 0), )</f>
        <v>R - 86</v>
      </c>
      <c r="L87" s="242" t="str">
        <f t="array" ref="L87">INDEX('NORTE - RUTH'!L:L, MATCH(S87, 'NORTE - RUTH'!K:K, 0), )</f>
        <v>Sectoristas</v>
      </c>
      <c r="M87" s="242" t="str">
        <f t="array" ref="M87">INDEX('NORTE - RUTH'!M:M, MATCH(S87, 'NORTE - RUTH'!K:K, 0), )</f>
        <v>Nivel 1</v>
      </c>
      <c r="N87" s="241">
        <f t="array" ref="N87">INDEX('NORTE - RUTH'!N:N, MATCH(S87, 'NORTE - RUTH'!K:K, 0), )</f>
        <v>0</v>
      </c>
      <c r="O87" s="241">
        <f t="array" ref="O87">INDEX('NORTE - RUTH'!O:O, MATCH(S87, 'NORTE - RUTH'!K:K, 0), )</f>
        <v>0</v>
      </c>
      <c r="P87" s="236">
        <v>-8.8637611111111099</v>
      </c>
      <c r="Q87" s="236">
        <v>-77.368547222222219</v>
      </c>
      <c r="R87" s="243" t="s">
        <v>1401</v>
      </c>
      <c r="S87" s="246" t="s">
        <v>1178</v>
      </c>
      <c r="U87" s="245"/>
    </row>
    <row r="88" spans="1:21" ht="17.25" customHeight="1">
      <c r="A88" s="236">
        <v>87</v>
      </c>
      <c r="B88" s="237" t="str">
        <f t="array" ref="B88">INDEX('NORTE - RUTH'!B:B, MATCH(S88, 'NORTE - RUTH'!K:K, 0), )</f>
        <v>Piura</v>
      </c>
      <c r="C88" s="156" t="str">
        <f t="array" ref="C88">INDEX('NORTE - RUTH'!C:C, MATCH(S88, 'NORTE - RUTH'!K:K, 0), )</f>
        <v>Piura</v>
      </c>
      <c r="D88" s="156" t="str">
        <f t="array" ref="D88">INDEX('NORTE - RUTH'!D:D, MATCH(S88, 'NORTE - RUTH'!K:K, 0), )</f>
        <v>UHF</v>
      </c>
      <c r="E88" s="156">
        <f t="array" ref="E88">INDEX('NORTE - RUTH'!E:E, MATCH(S88, 'NORTE - RUTH'!K:K, 0), )</f>
        <v>39</v>
      </c>
      <c r="F88" s="156">
        <f t="array" ref="F88">INDEX('NORTE - RUTH'!F:F, MATCH(S88, 'NORTE - RUTH'!K:K, 0), )</f>
        <v>14</v>
      </c>
      <c r="G88" s="159" t="str">
        <f t="array" ref="G88">INDEX('NORTE - RUTH'!G:G, MATCH(S88, 'NORTE - RUTH'!K:K, 0), )</f>
        <v>A.A</v>
      </c>
      <c r="H88" s="238" t="str">
        <f t="array" ref="H88">INDEX('NORTE - RUTH'!H:H, MATCH(S88, 'NORTE - RUTH'!K:K, 0), )</f>
        <v>PIURA</v>
      </c>
      <c r="I88" s="239" t="str">
        <f t="array" ref="I88">INDEX('NORTE - RUTH'!I:I, MATCH(S88, 'NORTE - RUTH'!K:K, 0), )</f>
        <v>28/11/2025 - Sectoristas - La estación se encuentra operativa</v>
      </c>
      <c r="J88" s="240">
        <f t="array" ref="J88">INDEX('NORTE - RUTH'!J:J, MATCH(S88, 'NORTE - RUTH'!K:K, 0), )</f>
        <v>0</v>
      </c>
      <c r="K88" s="241" t="str">
        <f t="array" ref="K88">INDEX('NORTE - RUTH'!K:K, MATCH(S88, 'NORTE - RUTH'!K:K, 0), )</f>
        <v>R - 87</v>
      </c>
      <c r="L88" s="242" t="str">
        <f t="array" ref="L88">INDEX('NORTE - RUTH'!L:L, MATCH(S88, 'NORTE - RUTH'!K:K, 0), )</f>
        <v>Sectoristas</v>
      </c>
      <c r="M88" s="242" t="str">
        <f t="array" ref="M88">INDEX('NORTE - RUTH'!M:M, MATCH(S88, 'NORTE - RUTH'!K:K, 0), )</f>
        <v>Nivel 1</v>
      </c>
      <c r="N88" s="241">
        <f t="array" ref="N88">INDEX('NORTE - RUTH'!N:N, MATCH(S88, 'NORTE - RUTH'!K:K, 0), )</f>
        <v>0</v>
      </c>
      <c r="O88" s="241">
        <f t="array" ref="O88">INDEX('NORTE - RUTH'!O:O, MATCH(S88, 'NORTE - RUTH'!K:K, 0), )</f>
        <v>0</v>
      </c>
      <c r="P88" s="236">
        <v>-5.2031444444444448</v>
      </c>
      <c r="Q88" s="236">
        <v>-80.632061111111099</v>
      </c>
      <c r="R88" s="243" t="s">
        <v>1402</v>
      </c>
      <c r="S88" s="246" t="s">
        <v>1403</v>
      </c>
      <c r="U88" s="245"/>
    </row>
    <row r="89" spans="1:21" ht="17.25" customHeight="1">
      <c r="A89" s="236">
        <v>88</v>
      </c>
      <c r="B89" s="237" t="str">
        <f t="array" ref="B89">INDEX('NORTE - RUTH'!B:B, MATCH(S89, 'NORTE - RUTH'!K:K, 0), )</f>
        <v>Piura</v>
      </c>
      <c r="C89" s="156" t="str">
        <f t="array" ref="C89">INDEX('NORTE - RUTH'!C:C, MATCH(S89, 'NORTE - RUTH'!K:K, 0), )</f>
        <v>Piura</v>
      </c>
      <c r="D89" s="156" t="str">
        <f t="array" ref="D89">INDEX('NORTE - RUTH'!D:D, MATCH(S89, 'NORTE - RUTH'!K:K, 0), )</f>
        <v>FM</v>
      </c>
      <c r="E89" s="156" t="str">
        <f t="array" ref="E89">INDEX('NORTE - RUTH'!E:E, MATCH(S89, 'NORTE - RUTH'!K:K, 0), )</f>
        <v>101.9</v>
      </c>
      <c r="F89" s="156">
        <f t="array" ref="F89">INDEX('NORTE - RUTH'!F:F, MATCH(S89, 'NORTE - RUTH'!K:K, 0), )</f>
        <v>14</v>
      </c>
      <c r="G89" s="159" t="str">
        <f t="array" ref="G89">INDEX('NORTE - RUTH'!G:G, MATCH(S89, 'NORTE - RUTH'!K:K, 0), )</f>
        <v>A.A</v>
      </c>
      <c r="H89" s="238" t="str">
        <f t="array" ref="H89">INDEX('NORTE - RUTH'!H:H, MATCH(S89, 'NORTE - RUTH'!K:K, 0), )</f>
        <v>PIURA FM</v>
      </c>
      <c r="I89" s="239" t="str">
        <f t="array" ref="I89">INDEX('NORTE - RUTH'!I:I, MATCH(S89, 'NORTE - RUTH'!K:K, 0), )</f>
        <v>28/11/2025 - Sectoristas - La estación se encuentra operativa</v>
      </c>
      <c r="J89" s="240">
        <f t="array" ref="J89">INDEX('NORTE - RUTH'!J:J, MATCH(S89, 'NORTE - RUTH'!K:K, 0), )</f>
        <v>0</v>
      </c>
      <c r="K89" s="241" t="str">
        <f t="array" ref="K89">INDEX('NORTE - RUTH'!K:K, MATCH(S89, 'NORTE - RUTH'!K:K, 0), )</f>
        <v>R - 88</v>
      </c>
      <c r="L89" s="242" t="str">
        <f t="array" ref="L89">INDEX('NORTE - RUTH'!L:L, MATCH(S89, 'NORTE - RUTH'!K:K, 0), )</f>
        <v>Sectoristas</v>
      </c>
      <c r="M89" s="242" t="str">
        <f t="array" ref="M89">INDEX('NORTE - RUTH'!M:M, MATCH(S89, 'NORTE - RUTH'!K:K, 0), )</f>
        <v>Nivel 1</v>
      </c>
      <c r="N89" s="241">
        <f t="array" ref="N89">INDEX('NORTE - RUTH'!N:N, MATCH(S89, 'NORTE - RUTH'!K:K, 0), )</f>
        <v>0</v>
      </c>
      <c r="O89" s="241">
        <f t="array" ref="O89">INDEX('NORTE - RUTH'!O:O, MATCH(S89, 'NORTE - RUTH'!K:K, 0), )</f>
        <v>0</v>
      </c>
      <c r="P89" s="236">
        <v>-5.1332499999999994</v>
      </c>
      <c r="Q89" s="236">
        <v>-80.642638888888897</v>
      </c>
      <c r="R89" s="243" t="s">
        <v>1404</v>
      </c>
      <c r="S89" s="246" t="s">
        <v>1405</v>
      </c>
      <c r="U89" s="245"/>
    </row>
    <row r="90" spans="1:21" ht="17.25" customHeight="1">
      <c r="A90" s="236">
        <v>89</v>
      </c>
      <c r="B90" s="237" t="str">
        <f t="array" ref="B90">INDEX('NORTE - RUTH'!B:B, MATCH(S90, 'NORTE - RUTH'!K:K, 0), )</f>
        <v>Piura</v>
      </c>
      <c r="C90" s="156" t="str">
        <f t="array" ref="C90">INDEX('NORTE - RUTH'!C:C, MATCH(S90, 'NORTE - RUTH'!K:K, 0), )</f>
        <v>Piura</v>
      </c>
      <c r="D90" s="156" t="str">
        <f t="array" ref="D90">INDEX('NORTE - RUTH'!D:D, MATCH(S90, 'NORTE - RUTH'!K:K, 0), )</f>
        <v>AM</v>
      </c>
      <c r="E90" s="156">
        <f t="array" ref="E90">INDEX('NORTE - RUTH'!E:E, MATCH(S90, 'NORTE - RUTH'!K:K, 0), )</f>
        <v>1310</v>
      </c>
      <c r="F90" s="156">
        <f t="array" ref="F90">INDEX('NORTE - RUTH'!F:F, MATCH(S90, 'NORTE - RUTH'!K:K, 0), )</f>
        <v>14</v>
      </c>
      <c r="G90" s="159" t="str">
        <f t="array" ref="G90">INDEX('NORTE - RUTH'!G:G, MATCH(S90, 'NORTE - RUTH'!K:K, 0), )</f>
        <v>F.A</v>
      </c>
      <c r="H90" s="238" t="str">
        <f t="array" ref="H90">INDEX('NORTE - RUTH'!H:H, MATCH(S90, 'NORTE - RUTH'!K:K, 0), )</f>
        <v>PIURA</v>
      </c>
      <c r="I90" s="239" t="str">
        <f t="array" ref="I90">INDEX('NORTE - RUTH'!I:I, MATCH(S90, 'NORTE - RUTH'!K:K, 0), )</f>
        <v>27/11/2025 - Sectoristas - El pastor Abel Delgado señalo que en esta semana del 24 al 28 estaría buscando ubicación para la radio, se deberá llamar la semana que viene para consultar.</v>
      </c>
      <c r="J90" s="240" t="str">
        <f t="array" ref="J90">INDEX('NORTE - RUTH'!J:J, MATCH(S90, 'NORTE - RUTH'!K:K, 0), )</f>
        <v>El MTC oficio respecto al cambio de ubicacion ingresado con uso compartido a la fm de Sechura, no se podra instalar en esa ubicacion. Se trasladara la planta de la radio a Sechura en la caseta de la radio y tv de la localidad</v>
      </c>
      <c r="K90" s="241" t="str">
        <f t="array" ref="K90">INDEX('NORTE - RUTH'!K:K, MATCH(S90, 'NORTE - RUTH'!K:K, 0), )</f>
        <v>R - 89</v>
      </c>
      <c r="L90" s="242" t="str">
        <f t="array" ref="L90">INDEX('NORTE - RUTH'!L:L, MATCH(S90, 'NORTE - RUTH'!K:K, 0), )</f>
        <v>Iglesia Local</v>
      </c>
      <c r="M90" s="242" t="str">
        <f t="array" ref="M90">INDEX('NORTE - RUTH'!M:M, MATCH(S90, 'NORTE - RUTH'!K:K, 0), )</f>
        <v>Nivel 1</v>
      </c>
      <c r="N90" s="241">
        <f t="array" ref="N90">INDEX('NORTE - RUTH'!N:N, MATCH(S90, 'NORTE - RUTH'!K:K, 0), )</f>
        <v>0</v>
      </c>
      <c r="O90" s="241">
        <f t="array" ref="O90">INDEX('NORTE - RUTH'!O:O, MATCH(S90, 'NORTE - RUTH'!K:K, 0), )</f>
        <v>0</v>
      </c>
      <c r="P90" s="236">
        <v>-5.1335277777777781</v>
      </c>
      <c r="Q90" s="236">
        <v>-80.641861111111112</v>
      </c>
      <c r="R90" s="243" t="s">
        <v>1406</v>
      </c>
      <c r="S90" s="246" t="s">
        <v>1201</v>
      </c>
      <c r="U90" s="245"/>
    </row>
    <row r="91" spans="1:21" ht="17.25" customHeight="1">
      <c r="A91" s="236">
        <v>90</v>
      </c>
      <c r="B91" s="237" t="str">
        <f t="array" ref="B91">INDEX('NORTE - RUTH'!B:B, MATCH(S91, 'NORTE - RUTH'!K:K, 0), )</f>
        <v>Pomabamba</v>
      </c>
      <c r="C91" s="156" t="str">
        <f t="array" ref="C91">INDEX('NORTE - RUTH'!C:C, MATCH(S91, 'NORTE - RUTH'!K:K, 0), )</f>
        <v>Ancash</v>
      </c>
      <c r="D91" s="156" t="str">
        <f t="array" ref="D91">INDEX('NORTE - RUTH'!D:D, MATCH(S91, 'NORTE - RUTH'!K:K, 0), )</f>
        <v>FM</v>
      </c>
      <c r="E91" s="156">
        <f t="array" ref="E91">INDEX('NORTE - RUTH'!E:E, MATCH(S91, 'NORTE - RUTH'!K:K, 0), )</f>
        <v>91.1</v>
      </c>
      <c r="F91" s="156">
        <f t="array" ref="F91">INDEX('NORTE - RUTH'!F:F, MATCH(S91, 'NORTE - RUTH'!K:K, 0), )</f>
        <v>81</v>
      </c>
      <c r="G91" s="159" t="str">
        <f t="array" ref="G91">INDEX('NORTE - RUTH'!G:G, MATCH(S91, 'NORTE - RUTH'!K:K, 0), )</f>
        <v>A.A</v>
      </c>
      <c r="H91" s="238" t="str">
        <f t="array" ref="H91">INDEX('NORTE - RUTH'!H:H, MATCH(S91, 'NORTE - RUTH'!K:K, 0), )</f>
        <v>POMABAMBA</v>
      </c>
      <c r="I91" s="239" t="str">
        <f t="array" ref="I91">INDEX('NORTE - RUTH'!I:I, MATCH(S91, 'NORTE - RUTH'!K:K, 0), )</f>
        <v>27/11/2025 - Sectoristas - Con fecha de ayer miércoles 26 de noviembre el pastor Abel Chuquillanqui llamo para confirmar que la radio ya recupero señal, le ayudo un hermano electricista obrero de la zona</v>
      </c>
      <c r="J91" s="247">
        <f t="array" ref="J91">INDEX('NORTE - RUTH'!J:J, MATCH(S91, 'NORTE - RUTH'!K:K, 0), )</f>
        <v>45686</v>
      </c>
      <c r="K91" s="241" t="str">
        <f t="array" ref="K91">INDEX('NORTE - RUTH'!K:K, MATCH(S91, 'NORTE - RUTH'!K:K, 0), )</f>
        <v>R - 90</v>
      </c>
      <c r="L91" s="242" t="str">
        <f t="array" ref="L91">INDEX('NORTE - RUTH'!L:L, MATCH(S91, 'NORTE - RUTH'!K:K, 0), )</f>
        <v>Sectoristas</v>
      </c>
      <c r="M91" s="242" t="str">
        <f t="array" ref="M91">INDEX('NORTE - RUTH'!M:M, MATCH(S91, 'NORTE - RUTH'!K:K, 0), )</f>
        <v>Nivel 1</v>
      </c>
      <c r="N91" s="241">
        <f t="array" ref="N91">INDEX('NORTE - RUTH'!N:N, MATCH(S91, 'NORTE - RUTH'!K:K, 0), )</f>
        <v>0</v>
      </c>
      <c r="O91" s="241">
        <f t="array" ref="O91">INDEX('NORTE - RUTH'!O:O, MATCH(S91, 'NORTE - RUTH'!K:K, 0), )</f>
        <v>0</v>
      </c>
      <c r="P91" s="236">
        <v>-8.8196583333333329</v>
      </c>
      <c r="Q91" s="236">
        <v>-77.467883333333333</v>
      </c>
      <c r="R91" s="243" t="s">
        <v>1407</v>
      </c>
      <c r="S91" s="246" t="s">
        <v>1408</v>
      </c>
      <c r="U91" s="245"/>
    </row>
    <row r="92" spans="1:21" ht="17.25" customHeight="1">
      <c r="A92" s="236">
        <v>91</v>
      </c>
      <c r="B92" s="237" t="str">
        <f t="array" ref="B92">INDEX('NORTE - RUTH'!B:B, MATCH(S92, 'NORTE - RUTH'!K:K, 0), )</f>
        <v>Poroto - Simbal</v>
      </c>
      <c r="C92" s="156" t="str">
        <f t="array" ref="C92">INDEX('NORTE - RUTH'!C:C, MATCH(S92, 'NORTE - RUTH'!K:K, 0), )</f>
        <v>La Libertad</v>
      </c>
      <c r="D92" s="156" t="str">
        <f t="array" ref="D92">INDEX('NORTE - RUTH'!D:D, MATCH(S92, 'NORTE - RUTH'!K:K, 0), )</f>
        <v>FM</v>
      </c>
      <c r="E92" s="156" t="str">
        <f t="array" ref="E92">INDEX('NORTE - RUTH'!E:E, MATCH(S92, 'NORTE - RUTH'!K:K, 0), )</f>
        <v>103.7</v>
      </c>
      <c r="F92" s="156">
        <f t="array" ref="F92">INDEX('NORTE - RUTH'!F:F, MATCH(S92, 'NORTE - RUTH'!K:K, 0), )</f>
        <v>10</v>
      </c>
      <c r="G92" s="159" t="str">
        <f t="array" ref="G92">INDEX('NORTE - RUTH'!G:G, MATCH(S92, 'NORTE - RUTH'!K:K, 0), )</f>
        <v>F.A</v>
      </c>
      <c r="H92" s="238" t="str">
        <f t="array" ref="H92">INDEX('NORTE - RUTH'!H:H, MATCH(S92, 'NORTE - RUTH'!K:K, 0), )</f>
        <v>POROTO</v>
      </c>
      <c r="I92" s="239" t="str">
        <f t="array" ref="I92">INDEX('NORTE - RUTH'!I:I, MATCH(S92, 'NORTE - RUTH'!K:K, 0), )</f>
        <v>21/11/2025 - Ingeniería - Se facilitó en el grupo de WhatsApp el presupuesto de un tx y ax nuevas e implementación necesaria para torre. En espera del depósito e información de la nueva ubicación para la planta tx.</v>
      </c>
      <c r="J92" s="240">
        <f t="array" ref="J92">INDEX('NORTE - RUTH'!J:J, MATCH(S92, 'NORTE - RUTH'!K:K, 0), )</f>
        <v>0</v>
      </c>
      <c r="K92" s="241" t="str">
        <f t="array" ref="K92">INDEX('NORTE - RUTH'!K:K, MATCH(S92, 'NORTE - RUTH'!K:K, 0), )</f>
        <v>R - 91</v>
      </c>
      <c r="L92" s="242" t="str">
        <f t="array" ref="L92">INDEX('NORTE - RUTH'!L:L, MATCH(S92, 'NORTE - RUTH'!K:K, 0), )</f>
        <v>Sectoristas</v>
      </c>
      <c r="M92" s="242" t="str">
        <f t="array" ref="M92">INDEX('NORTE - RUTH'!M:M, MATCH(S92, 'NORTE - RUTH'!K:K, 0), )</f>
        <v>Nivel 2</v>
      </c>
      <c r="N92" s="241" t="str">
        <f t="array" ref="N92">INDEX('NORTE - RUTH'!N:N, MATCH(S92, 'NORTE - RUTH'!K:K, 0), )</f>
        <v>13388.76</v>
      </c>
      <c r="O92" s="241">
        <f t="array" ref="O92">INDEX('NORTE - RUTH'!O:O, MATCH(S92, 'NORTE - RUTH'!K:K, 0), )</f>
        <v>0</v>
      </c>
      <c r="P92" s="236">
        <v>-8.0590222222222234</v>
      </c>
      <c r="Q92" s="236">
        <v>-78.807583333333326</v>
      </c>
      <c r="R92" s="243" t="s">
        <v>1409</v>
      </c>
      <c r="S92" s="246" t="s">
        <v>1203</v>
      </c>
      <c r="U92" s="245"/>
    </row>
    <row r="93" spans="1:21" ht="17.25" customHeight="1">
      <c r="A93" s="236">
        <v>92</v>
      </c>
      <c r="B93" s="237" t="str">
        <f t="array" ref="B93">INDEX('NORTE - RUTH'!B:B, MATCH(S93, 'NORTE - RUTH'!K:K, 0), )</f>
        <v>Quiruvilca</v>
      </c>
      <c r="C93" s="156" t="str">
        <f t="array" ref="C93">INDEX('NORTE - RUTH'!C:C, MATCH(S93, 'NORTE - RUTH'!K:K, 0), )</f>
        <v>La Libertad</v>
      </c>
      <c r="D93" s="156" t="str">
        <f t="array" ref="D93">INDEX('NORTE - RUTH'!D:D, MATCH(S93, 'NORTE - RUTH'!K:K, 0), )</f>
        <v>FM</v>
      </c>
      <c r="E93" s="156">
        <f t="array" ref="E93">INDEX('NORTE - RUTH'!E:E, MATCH(S93, 'NORTE - RUTH'!K:K, 0), )</f>
        <v>104.1</v>
      </c>
      <c r="F93" s="156">
        <f t="array" ref="F93">INDEX('NORTE - RUTH'!F:F, MATCH(S93, 'NORTE - RUTH'!K:K, 0), )</f>
        <v>82</v>
      </c>
      <c r="G93" s="159" t="str">
        <f t="array" ref="G93">INDEX('NORTE - RUTH'!G:G, MATCH(S93, 'NORTE - RUTH'!K:K, 0), )</f>
        <v>F.A</v>
      </c>
      <c r="H93" s="238" t="str">
        <f t="array" ref="H93">INDEX('NORTE - RUTH'!H:H, MATCH(S93, 'NORTE - RUTH'!K:K, 0), )</f>
        <v>QUIRUVILCA</v>
      </c>
      <c r="I93" s="239" t="str">
        <f t="array" ref="I93">INDEX('NORTE - RUTH'!I:I, MATCH(S93, 'NORTE - RUTH'!K:K, 0), )</f>
        <v>25/11/2025 - Sectoristas - El pastor Daniel el dia de hoy señala que el martes 18 movio los equipos de la radio a un espacio que adecuo en el templo para la caseta, tambien movio parabolica, mastil y antena. Desde ese dia salio fuera del aire pues no pudo recuperar la señal del satelite, este jueves 27 con la ayuda de Espinoza intentara bajar la señal, asimismo el dia de mañana enviara fotos del nuevo ambiente de la radio</v>
      </c>
      <c r="J93" s="240">
        <f t="array" ref="J93">INDEX('NORTE - RUTH'!J:J, MATCH(S93, 'NORTE - RUTH'!K:K, 0), )</f>
        <v>0</v>
      </c>
      <c r="K93" s="241" t="str">
        <f t="array" ref="K93">INDEX('NORTE - RUTH'!K:K, MATCH(S93, 'NORTE - RUTH'!K:K, 0), )</f>
        <v>R - 92</v>
      </c>
      <c r="L93" s="242" t="str">
        <f t="array" ref="L93">INDEX('NORTE - RUTH'!L:L, MATCH(S93, 'NORTE - RUTH'!K:K, 0), )</f>
        <v>Sectoristas</v>
      </c>
      <c r="M93" s="242" t="str">
        <f t="array" ref="M93">INDEX('NORTE - RUTH'!M:M, MATCH(S93, 'NORTE - RUTH'!K:K, 0), )</f>
        <v>Nivel 1</v>
      </c>
      <c r="N93" s="241">
        <f t="array" ref="N93">INDEX('NORTE - RUTH'!N:N, MATCH(S93, 'NORTE - RUTH'!K:K, 0), )</f>
        <v>0</v>
      </c>
      <c r="O93" s="241">
        <f t="array" ref="O93">INDEX('NORTE - RUTH'!O:O, MATCH(S93, 'NORTE - RUTH'!K:K, 0), )</f>
        <v>0</v>
      </c>
      <c r="P93" s="236">
        <v>-8.0014833333333328</v>
      </c>
      <c r="Q93" s="236">
        <v>-78.306550000000001</v>
      </c>
      <c r="R93" s="243" t="s">
        <v>1410</v>
      </c>
      <c r="S93" s="246" t="s">
        <v>1205</v>
      </c>
      <c r="U93" s="245"/>
    </row>
    <row r="94" spans="1:21" ht="17.25" customHeight="1">
      <c r="A94" s="236">
        <v>93</v>
      </c>
      <c r="B94" s="237" t="str">
        <f t="array" ref="B94">INDEX('NORTE - RUTH'!B:B, MATCH(S94, 'NORTE - RUTH'!K:K, 0), )</f>
        <v>Roque</v>
      </c>
      <c r="C94" s="156" t="str">
        <f t="array" ref="C94">INDEX('NORTE - RUTH'!C:C, MATCH(S94, 'NORTE - RUTH'!K:K, 0), )</f>
        <v>San Martin</v>
      </c>
      <c r="D94" s="156" t="str">
        <f t="array" ref="D94">INDEX('NORTE - RUTH'!D:D, MATCH(S94, 'NORTE - RUTH'!K:K, 0), )</f>
        <v>FM</v>
      </c>
      <c r="E94" s="156">
        <f t="array" ref="E94">INDEX('NORTE - RUTH'!E:E, MATCH(S94, 'NORTE - RUTH'!K:K, 0), )</f>
        <v>96.7</v>
      </c>
      <c r="F94" s="156">
        <f t="array" ref="F94">INDEX('NORTE - RUTH'!F:F, MATCH(S94, 'NORTE - RUTH'!K:K, 0), )</f>
        <v>16</v>
      </c>
      <c r="G94" s="159" t="str">
        <f t="array" ref="G94">INDEX('NORTE - RUTH'!G:G, MATCH(S94, 'NORTE - RUTH'!K:K, 0), )</f>
        <v>A.A</v>
      </c>
      <c r="H94" s="238" t="str">
        <f t="array" ref="H94">INDEX('NORTE - RUTH'!H:H, MATCH(S94, 'NORTE - RUTH'!K:K, 0), )</f>
        <v>ROQUE</v>
      </c>
      <c r="I94" s="239" t="str">
        <f t="array" ref="I94">INDEX('NORTE - RUTH'!I:I, MATCH(S94, 'NORTE - RUTH'!K:K, 0), )</f>
        <v>2/12/2025 - Sectoristas - Con fecha 01 de diciembre el pastor local señala que la radio se encuentra operativa, se volvió a reiterar que envie el video</v>
      </c>
      <c r="J94" s="240">
        <f t="array" ref="J94">INDEX('NORTE - RUTH'!J:J, MATCH(S94, 'NORTE - RUTH'!K:K, 0), )</f>
        <v>0</v>
      </c>
      <c r="K94" s="241" t="str">
        <f t="array" ref="K94">INDEX('NORTE - RUTH'!K:K, MATCH(S94, 'NORTE - RUTH'!K:K, 0), )</f>
        <v>R - 93</v>
      </c>
      <c r="L94" s="242" t="str">
        <f t="array" ref="L94">INDEX('NORTE - RUTH'!L:L, MATCH(S94, 'NORTE - RUTH'!K:K, 0), )</f>
        <v>Sectoristas</v>
      </c>
      <c r="M94" s="242" t="str">
        <f t="array" ref="M94">INDEX('NORTE - RUTH'!M:M, MATCH(S94, 'NORTE - RUTH'!K:K, 0), )</f>
        <v>Nivel 1</v>
      </c>
      <c r="N94" s="241">
        <f t="array" ref="N94">INDEX('NORTE - RUTH'!N:N, MATCH(S94, 'NORTE - RUTH'!K:K, 0), )</f>
        <v>0</v>
      </c>
      <c r="O94" s="241">
        <f t="array" ref="O94">INDEX('NORTE - RUTH'!O:O, MATCH(S94, 'NORTE - RUTH'!K:K, 0), )</f>
        <v>0</v>
      </c>
      <c r="P94" s="236">
        <v>-6.3282638888888885</v>
      </c>
      <c r="Q94" s="236">
        <v>-76.761936111111112</v>
      </c>
      <c r="R94" s="243" t="s">
        <v>1411</v>
      </c>
      <c r="S94" s="246" t="s">
        <v>1412</v>
      </c>
      <c r="U94" s="245"/>
    </row>
    <row r="95" spans="1:21" ht="17.25" customHeight="1">
      <c r="A95" s="236">
        <v>94</v>
      </c>
      <c r="B95" s="237" t="str">
        <f t="array" ref="B95">INDEX('NORTE - RUTH'!B:B, MATCH(S95, 'NORTE - RUTH'!K:K, 0), )</f>
        <v>San Ignacio</v>
      </c>
      <c r="C95" s="156" t="str">
        <f t="array" ref="C95">INDEX('NORTE - RUTH'!C:C, MATCH(S95, 'NORTE - RUTH'!K:K, 0), )</f>
        <v>Cajamarca</v>
      </c>
      <c r="D95" s="156" t="str">
        <f t="array" ref="D95">INDEX('NORTE - RUTH'!D:D, MATCH(S95, 'NORTE - RUTH'!K:K, 0), )</f>
        <v>FM</v>
      </c>
      <c r="E95" s="156">
        <f t="array" ref="E95">INDEX('NORTE - RUTH'!E:E, MATCH(S95, 'NORTE - RUTH'!K:K, 0), )</f>
        <v>89.9</v>
      </c>
      <c r="F95" s="156">
        <f t="array" ref="F95">INDEX('NORTE - RUTH'!F:F, MATCH(S95, 'NORTE - RUTH'!K:K, 0), )</f>
        <v>83</v>
      </c>
      <c r="G95" s="159" t="str">
        <f t="array" ref="G95">INDEX('NORTE - RUTH'!G:G, MATCH(S95, 'NORTE - RUTH'!K:K, 0), )</f>
        <v>A.A</v>
      </c>
      <c r="H95" s="238" t="str">
        <f t="array" ref="H95">INDEX('NORTE - RUTH'!H:H, MATCH(S95, 'NORTE - RUTH'!K:K, 0), )</f>
        <v>SAN IGNACIO</v>
      </c>
      <c r="I95" s="239" t="str">
        <f t="array" ref="I95">INDEX('NORTE - RUTH'!I:I, MATCH(S95, 'NORTE - RUTH'!K:K, 0), )</f>
        <v>1/12/2025 - Sectoristas - Con fecha martes 25 de noviembre y lunes 01 de diciembre se solicitó evidencia de monitoreo, el pastor envió esta evidencia el dia de hoy.</v>
      </c>
      <c r="J95" s="240" t="str">
        <f t="array" ref="J95">INDEX('NORTE - RUTH'!J:J, MATCH(S95, 'NORTE - RUTH'!K:K, 0), )</f>
        <v>13/02/2025 en espera de visita de tecnico para instalacion y levantamiento de informacion</v>
      </c>
      <c r="K95" s="241" t="str">
        <f t="array" ref="K95">INDEX('NORTE - RUTH'!K:K, MATCH(S95, 'NORTE - RUTH'!K:K, 0), )</f>
        <v>R - 94</v>
      </c>
      <c r="L95" s="242" t="str">
        <f t="array" ref="L95">INDEX('NORTE - RUTH'!L:L, MATCH(S95, 'NORTE - RUTH'!K:K, 0), )</f>
        <v>Sectoristas</v>
      </c>
      <c r="M95" s="242" t="str">
        <f t="array" ref="M95">INDEX('NORTE - RUTH'!M:M, MATCH(S95, 'NORTE - RUTH'!K:K, 0), )</f>
        <v>Nivel 1</v>
      </c>
      <c r="N95" s="241">
        <f t="array" ref="N95">INDEX('NORTE - RUTH'!N:N, MATCH(S95, 'NORTE - RUTH'!K:K, 0), )</f>
        <v>0</v>
      </c>
      <c r="O95" s="241">
        <f t="array" ref="O95">INDEX('NORTE - RUTH'!O:O, MATCH(S95, 'NORTE - RUTH'!K:K, 0), )</f>
        <v>0</v>
      </c>
      <c r="P95" s="236">
        <v>-5.125166666666666</v>
      </c>
      <c r="Q95" s="236">
        <v>-79.011750000000006</v>
      </c>
      <c r="R95" s="243" t="s">
        <v>1413</v>
      </c>
      <c r="S95" s="246" t="s">
        <v>1414</v>
      </c>
      <c r="U95" s="245"/>
    </row>
    <row r="96" spans="1:21" ht="17.25" customHeight="1">
      <c r="A96" s="236">
        <v>95</v>
      </c>
      <c r="B96" s="237" t="str">
        <f t="array" ref="B96">INDEX('NORTE - RUTH'!B:B, MATCH(S96, 'NORTE - RUTH'!K:K, 0), )</f>
        <v>San Jacinto - Ignacio Escudero</v>
      </c>
      <c r="C96" s="156" t="str">
        <f t="array" ref="C96">INDEX('NORTE - RUTH'!C:C, MATCH(S96, 'NORTE - RUTH'!K:K, 0), )</f>
        <v>Piura</v>
      </c>
      <c r="D96" s="156" t="str">
        <f t="array" ref="D96">INDEX('NORTE - RUTH'!D:D, MATCH(S96, 'NORTE - RUTH'!K:K, 0), )</f>
        <v>FM</v>
      </c>
      <c r="E96" s="156">
        <f t="array" ref="E96">INDEX('NORTE - RUTH'!E:E, MATCH(S96, 'NORTE - RUTH'!K:K, 0), )</f>
        <v>95.3</v>
      </c>
      <c r="F96" s="156">
        <f t="array" ref="F96">INDEX('NORTE - RUTH'!F:F, MATCH(S96, 'NORTE - RUTH'!K:K, 0), )</f>
        <v>90</v>
      </c>
      <c r="G96" s="159" t="str">
        <f t="array" ref="G96">INDEX('NORTE - RUTH'!G:G, MATCH(S96, 'NORTE - RUTH'!K:K, 0), )</f>
        <v>A.A</v>
      </c>
      <c r="H96" s="238" t="str">
        <f t="array" ref="H96">INDEX('NORTE - RUTH'!H:H, MATCH(S96, 'NORTE - RUTH'!K:K, 0), )</f>
        <v>IGNACIO ESCUDERO</v>
      </c>
      <c r="I96" s="239" t="str">
        <f t="array" ref="I96">INDEX('NORTE - RUTH'!I:I, MATCH(S96, 'NORTE - RUTH'!K:K, 0), )</f>
        <v>1/12/2025 - Sectoristas - Con fecha martes 25 y jueves 27 de noviembre se solicito al pastor evidencia de operatividad de la radio, sin embargo no había enviado nada, el día de hoy 01 de diciembre se volvió a tener comunicación, enviaron video donde se evidencia la operatividad.</v>
      </c>
      <c r="J96" s="240">
        <f t="array" ref="J96">INDEX('NORTE - RUTH'!J:J, MATCH(S96, 'NORTE - RUTH'!K:K, 0), )</f>
        <v>0</v>
      </c>
      <c r="K96" s="241" t="str">
        <f t="array" ref="K96">INDEX('NORTE - RUTH'!K:K, MATCH(S96, 'NORTE - RUTH'!K:K, 0), )</f>
        <v>R - 95</v>
      </c>
      <c r="L96" s="242" t="str">
        <f t="array" ref="L96">INDEX('NORTE - RUTH'!L:L, MATCH(S96, 'NORTE - RUTH'!K:K, 0), )</f>
        <v>Sectoristas</v>
      </c>
      <c r="M96" s="242" t="str">
        <f t="array" ref="M96">INDEX('NORTE - RUTH'!M:M, MATCH(S96, 'NORTE - RUTH'!K:K, 0), )</f>
        <v>Nivel 1</v>
      </c>
      <c r="N96" s="241">
        <f t="array" ref="N96">INDEX('NORTE - RUTH'!N:N, MATCH(S96, 'NORTE - RUTH'!K:K, 0), )</f>
        <v>0</v>
      </c>
      <c r="O96" s="241">
        <f t="array" ref="O96">INDEX('NORTE - RUTH'!O:O, MATCH(S96, 'NORTE - RUTH'!K:K, 0), )</f>
        <v>0</v>
      </c>
      <c r="P96" s="236">
        <v>-4.8468888888888886</v>
      </c>
      <c r="Q96" s="236">
        <v>-80.878194444444432</v>
      </c>
      <c r="R96" s="243" t="s">
        <v>1415</v>
      </c>
      <c r="S96" s="246" t="s">
        <v>1416</v>
      </c>
      <c r="U96" s="245"/>
    </row>
    <row r="97" spans="1:21" ht="17.25" customHeight="1">
      <c r="A97" s="236">
        <v>96</v>
      </c>
      <c r="B97" s="237" t="str">
        <f t="array" ref="B97">INDEX('NORTE - RUTH'!B:B, MATCH(S97, 'NORTE - RUTH'!K:K, 0), )</f>
        <v>San Jose de Sisa</v>
      </c>
      <c r="C97" s="156" t="str">
        <f t="array" ref="C97">INDEX('NORTE - RUTH'!C:C, MATCH(S97, 'NORTE - RUTH'!K:K, 0), )</f>
        <v>San Martin</v>
      </c>
      <c r="D97" s="156" t="str">
        <f t="array" ref="D97">INDEX('NORTE - RUTH'!D:D, MATCH(S97, 'NORTE - RUTH'!K:K, 0), )</f>
        <v>FM</v>
      </c>
      <c r="E97" s="156">
        <f t="array" ref="E97">INDEX('NORTE - RUTH'!E:E, MATCH(S97, 'NORTE - RUTH'!K:K, 0), )</f>
        <v>101.5</v>
      </c>
      <c r="F97" s="156">
        <f t="array" ref="F97">INDEX('NORTE - RUTH'!F:F, MATCH(S97, 'NORTE - RUTH'!K:K, 0), )</f>
        <v>35</v>
      </c>
      <c r="G97" s="159" t="str">
        <f t="array" ref="G97">INDEX('NORTE - RUTH'!G:G, MATCH(S97, 'NORTE - RUTH'!K:K, 0), )</f>
        <v>A.A</v>
      </c>
      <c r="H97" s="238" t="str">
        <f t="array" ref="H97">INDEX('NORTE - RUTH'!H:H, MATCH(S97, 'NORTE - RUTH'!K:K, 0), )</f>
        <v>SAN JOSE DE SISA</v>
      </c>
      <c r="I97" s="239" t="str">
        <f t="array" ref="I97">INDEX('NORTE - RUTH'!I:I, MATCH(S97, 'NORTE - RUTH'!K:K, 0), )</f>
        <v>28/11/2025 - Sectoristas - El dia de ayer jueves 27 de noviembre el pastor envia video evidenciando que la radio esta operativa, pero se le solicito un nuevo video pues no se oye casi nada la señal</v>
      </c>
      <c r="J97" s="240">
        <f t="array" ref="J97">INDEX('NORTE - RUTH'!J:J, MATCH(S97, 'NORTE - RUTH'!K:K, 0), )</f>
        <v>0</v>
      </c>
      <c r="K97" s="241" t="str">
        <f t="array" ref="K97">INDEX('NORTE - RUTH'!K:K, MATCH(S97, 'NORTE - RUTH'!K:K, 0), )</f>
        <v>R - 96</v>
      </c>
      <c r="L97" s="242" t="str">
        <f t="array" ref="L97">INDEX('NORTE - RUTH'!L:L, MATCH(S97, 'NORTE - RUTH'!K:K, 0), )</f>
        <v>Sectoristas</v>
      </c>
      <c r="M97" s="242" t="str">
        <f t="array" ref="M97">INDEX('NORTE - RUTH'!M:M, MATCH(S97, 'NORTE - RUTH'!K:K, 0), )</f>
        <v>Nivel 1</v>
      </c>
      <c r="N97" s="241">
        <f t="array" ref="N97">INDEX('NORTE - RUTH'!N:N, MATCH(S97, 'NORTE - RUTH'!K:K, 0), )</f>
        <v>0</v>
      </c>
      <c r="O97" s="241">
        <f t="array" ref="O97">INDEX('NORTE - RUTH'!O:O, MATCH(S97, 'NORTE - RUTH'!K:K, 0), )</f>
        <v>0</v>
      </c>
      <c r="P97" s="236">
        <v>-6.6202777777777779</v>
      </c>
      <c r="Q97" s="236">
        <v>-76.687452777777779</v>
      </c>
      <c r="R97" s="243" t="s">
        <v>1417</v>
      </c>
      <c r="S97" s="246" t="s">
        <v>1418</v>
      </c>
      <c r="U97" s="245"/>
    </row>
    <row r="98" spans="1:21" ht="17.25" customHeight="1">
      <c r="A98" s="236">
        <v>97</v>
      </c>
      <c r="B98" s="237" t="str">
        <f t="array" ref="B98">INDEX('NORTE - RUTH'!B:B, MATCH(S98, 'NORTE - RUTH'!K:K, 0), )</f>
        <v>San Juan de Bigote - Morropon</v>
      </c>
      <c r="C98" s="156" t="str">
        <f t="array" ref="C98">INDEX('NORTE - RUTH'!C:C, MATCH(S98, 'NORTE - RUTH'!K:K, 0), )</f>
        <v>Piura</v>
      </c>
      <c r="D98" s="156" t="str">
        <f t="array" ref="D98">INDEX('NORTE - RUTH'!D:D, MATCH(S98, 'NORTE - RUTH'!K:K, 0), )</f>
        <v>FM</v>
      </c>
      <c r="E98" s="156">
        <f t="array" ref="E98">INDEX('NORTE - RUTH'!E:E, MATCH(S98, 'NORTE - RUTH'!K:K, 0), )</f>
        <v>101.1</v>
      </c>
      <c r="F98" s="156">
        <f t="array" ref="F98">INDEX('NORTE - RUTH'!F:F, MATCH(S98, 'NORTE - RUTH'!K:K, 0), )</f>
        <v>142</v>
      </c>
      <c r="G98" s="159" t="str">
        <f t="array" ref="G98">INDEX('NORTE - RUTH'!G:G, MATCH(S98, 'NORTE - RUTH'!K:K, 0), )</f>
        <v>F.A</v>
      </c>
      <c r="H98" s="238" t="str">
        <f t="array" ref="H98">INDEX('NORTE - RUTH'!H:H, MATCH(S98, 'NORTE - RUTH'!K:K, 0), )</f>
        <v>SAN JUAN DE BIGOTE</v>
      </c>
      <c r="I98" s="239" t="str">
        <f t="array" ref="I98">INDEX('NORTE - RUTH'!I:I, MATCH(S98, 'NORTE - RUTH'!K:K, 0), )</f>
        <v>3/12/2025 - Sectoristas - Con fecha de hoy 03 de diciembre se vuelve a consultar al pastor por la atención a la estación que aun esta inoperativa</v>
      </c>
      <c r="J98" s="240">
        <f t="array" ref="J98">INDEX('NORTE - RUTH'!J:J, MATCH(S98, 'NORTE - RUTH'!K:K, 0), )</f>
        <v>0</v>
      </c>
      <c r="K98" s="241" t="str">
        <f t="array" ref="K98">INDEX('NORTE - RUTH'!K:K, MATCH(S98, 'NORTE - RUTH'!K:K, 0), )</f>
        <v>R - 97</v>
      </c>
      <c r="L98" s="242" t="str">
        <f t="array" ref="L98">INDEX('NORTE - RUTH'!L:L, MATCH(S98, 'NORTE - RUTH'!K:K, 0), )</f>
        <v>Sectoristas</v>
      </c>
      <c r="M98" s="242" t="str">
        <f t="array" ref="M98">INDEX('NORTE - RUTH'!M:M, MATCH(S98, 'NORTE - RUTH'!K:K, 0), )</f>
        <v>Nivel 1</v>
      </c>
      <c r="N98" s="241">
        <f t="array" ref="N98">INDEX('NORTE - RUTH'!N:N, MATCH(S98, 'NORTE - RUTH'!K:K, 0), )</f>
        <v>0</v>
      </c>
      <c r="O98" s="241">
        <f t="array" ref="O98">INDEX('NORTE - RUTH'!O:O, MATCH(S98, 'NORTE - RUTH'!K:K, 0), )</f>
        <v>0</v>
      </c>
      <c r="P98" s="236">
        <v>-5.3244249999999997</v>
      </c>
      <c r="Q98" s="236">
        <v>-79.840658333333323</v>
      </c>
      <c r="R98" s="243" t="s">
        <v>1419</v>
      </c>
      <c r="S98" s="246" t="s">
        <v>1207</v>
      </c>
      <c r="U98" s="245"/>
    </row>
    <row r="99" spans="1:21" ht="17.25" customHeight="1">
      <c r="A99" s="236">
        <v>98</v>
      </c>
      <c r="B99" s="237" t="str">
        <f t="array" ref="B99">INDEX('NORTE - RUTH'!B:B, MATCH(S99, 'NORTE - RUTH'!K:K, 0), )</f>
        <v>San Miguel de Pallaques</v>
      </c>
      <c r="C99" s="156" t="str">
        <f t="array" ref="C99">INDEX('NORTE - RUTH'!C:C, MATCH(S99, 'NORTE - RUTH'!K:K, 0), )</f>
        <v>Cajamarca</v>
      </c>
      <c r="D99" s="156" t="str">
        <f t="array" ref="D99">INDEX('NORTE - RUTH'!D:D, MATCH(S99, 'NORTE - RUTH'!K:K, 0), )</f>
        <v>VHF</v>
      </c>
      <c r="E99" s="156">
        <f t="array" ref="E99">INDEX('NORTE - RUTH'!E:E, MATCH(S99, 'NORTE - RUTH'!K:K, 0), )</f>
        <v>10</v>
      </c>
      <c r="F99" s="156">
        <f t="array" ref="F99">INDEX('NORTE - RUTH'!F:F, MATCH(S99, 'NORTE - RUTH'!K:K, 0), )</f>
        <v>26</v>
      </c>
      <c r="G99" s="159" t="str">
        <f t="array" ref="G99">INDEX('NORTE - RUTH'!G:G, MATCH(S99, 'NORTE - RUTH'!K:K, 0), )</f>
        <v>A.A</v>
      </c>
      <c r="H99" s="238" t="str">
        <f t="array" ref="H99">INDEX('NORTE - RUTH'!H:H, MATCH(S99, 'NORTE - RUTH'!K:K, 0), )</f>
        <v>SAN MIGUEL DE PALLAQUES</v>
      </c>
      <c r="I99" s="239" t="str">
        <f t="array" ref="I99">INDEX('NORTE - RUTH'!I:I, MATCH(S99, 'NORTE - RUTH'!K:K, 0), )</f>
        <v>2/12/2025 - Sectoristas - Con fecha 01 de diciembre el hno Santos envia video del domicilio de un hermano que vive a 5km de la caseta, en este televisión se ve algo lluviosa la señal. Pero queda la evidencia de que el canal se encuentra operando, se solicito al hno Israel que haga la revision.</v>
      </c>
      <c r="J99" s="240" t="str">
        <f t="array" ref="J99">INDEX('NORTE - RUTH'!J:J, MATCH(S99, 'NORTE - RUTH'!K:K, 0), )</f>
        <v>31/01/2025 Desde hace una semana atras se acabo la recarga, no han podido volver arecargar pues estn juntando lo de canon, la seman entrante estaran juntando para poner recarga</v>
      </c>
      <c r="K99" s="241" t="str">
        <f t="array" ref="K99">INDEX('NORTE - RUTH'!K:K, MATCH(S99, 'NORTE - RUTH'!K:K, 0), )</f>
        <v>R - 98</v>
      </c>
      <c r="L99" s="242" t="str">
        <f t="array" ref="L99">INDEX('NORTE - RUTH'!L:L, MATCH(S99, 'NORTE - RUTH'!K:K, 0), )</f>
        <v>Sectoristas</v>
      </c>
      <c r="M99" s="242" t="str">
        <f t="array" ref="M99">INDEX('NORTE - RUTH'!M:M, MATCH(S99, 'NORTE - RUTH'!K:K, 0), )</f>
        <v>Nivel 1</v>
      </c>
      <c r="N99" s="241">
        <f t="array" ref="N99">INDEX('NORTE - RUTH'!N:N, MATCH(S99, 'NORTE - RUTH'!K:K, 0), )</f>
        <v>0</v>
      </c>
      <c r="O99" s="241">
        <f t="array" ref="O99">INDEX('NORTE - RUTH'!O:O, MATCH(S99, 'NORTE - RUTH'!K:K, 0), )</f>
        <v>0</v>
      </c>
      <c r="P99" s="236">
        <v>-6.9994083333333332</v>
      </c>
      <c r="Q99" s="236">
        <v>-78.823780555555558</v>
      </c>
      <c r="R99" s="243" t="s">
        <v>1420</v>
      </c>
      <c r="S99" s="246" t="s">
        <v>1421</v>
      </c>
      <c r="U99" s="245"/>
    </row>
    <row r="100" spans="1:21" ht="17.25" customHeight="1">
      <c r="A100" s="236">
        <v>99</v>
      </c>
      <c r="B100" s="237" t="str">
        <f t="array" ref="B100">INDEX('NORTE - RUTH'!B:B, MATCH(S100, 'NORTE - RUTH'!K:K, 0), )</f>
        <v>Santa</v>
      </c>
      <c r="C100" s="156" t="str">
        <f t="array" ref="C100">INDEX('NORTE - RUTH'!C:C, MATCH(S100, 'NORTE - RUTH'!K:K, 0), )</f>
        <v>Ancash</v>
      </c>
      <c r="D100" s="156" t="str">
        <f t="array" ref="D100">INDEX('NORTE - RUTH'!D:D, MATCH(S100, 'NORTE - RUTH'!K:K, 0), )</f>
        <v>FM</v>
      </c>
      <c r="E100" s="156">
        <f t="array" ref="E100">INDEX('NORTE - RUTH'!E:E, MATCH(S100, 'NORTE - RUTH'!K:K, 0), )</f>
        <v>95.1</v>
      </c>
      <c r="F100" s="156">
        <f t="array" ref="F100">INDEX('NORTE - RUTH'!F:F, MATCH(S100, 'NORTE - RUTH'!K:K, 0), )</f>
        <v>53</v>
      </c>
      <c r="G100" s="159" t="str">
        <f t="array" ref="G100">INDEX('NORTE - RUTH'!G:G, MATCH(S100, 'NORTE - RUTH'!K:K, 0), )</f>
        <v>A.A</v>
      </c>
      <c r="H100" s="238" t="str">
        <f t="array" ref="H100">INDEX('NORTE - RUTH'!H:H, MATCH(S100, 'NORTE - RUTH'!K:K, 0), )</f>
        <v>SANTA</v>
      </c>
      <c r="I100" s="239" t="str">
        <f t="array" ref="I100">INDEX('NORTE - RUTH'!I:I, MATCH(S100, 'NORTE - RUTH'!K:K, 0), )</f>
        <v>28/11/2025 - Sectoristas - Con fecha jueves 27 de noviembre el pastor envia video evidenciando la operatividad de la radio</v>
      </c>
      <c r="J100" s="240">
        <f t="array" ref="J100">INDEX('NORTE - RUTH'!J:J, MATCH(S100, 'NORTE - RUTH'!K:K, 0), )</f>
        <v>0</v>
      </c>
      <c r="K100" s="241" t="str">
        <f t="array" ref="K100">INDEX('NORTE - RUTH'!K:K, MATCH(S100, 'NORTE - RUTH'!K:K, 0), )</f>
        <v>R - 99</v>
      </c>
      <c r="L100" s="242" t="str">
        <f t="array" ref="L100">INDEX('NORTE - RUTH'!L:L, MATCH(S100, 'NORTE - RUTH'!K:K, 0), )</f>
        <v>Sectoristas</v>
      </c>
      <c r="M100" s="242" t="str">
        <f t="array" ref="M100">INDEX('NORTE - RUTH'!M:M, MATCH(S100, 'NORTE - RUTH'!K:K, 0), )</f>
        <v>Nivel 1</v>
      </c>
      <c r="N100" s="241">
        <f t="array" ref="N100">INDEX('NORTE - RUTH'!N:N, MATCH(S100, 'NORTE - RUTH'!K:K, 0), )</f>
        <v>0</v>
      </c>
      <c r="O100" s="241">
        <f t="array" ref="O100">INDEX('NORTE - RUTH'!O:O, MATCH(S100, 'NORTE - RUTH'!K:K, 0), )</f>
        <v>0</v>
      </c>
      <c r="P100" s="236">
        <v>-8.9894527777777764</v>
      </c>
      <c r="Q100" s="236">
        <v>-78.614683333333332</v>
      </c>
      <c r="R100" s="243" t="s">
        <v>1422</v>
      </c>
      <c r="S100" s="246" t="s">
        <v>1423</v>
      </c>
      <c r="U100" s="245"/>
    </row>
    <row r="101" spans="1:21" ht="17.25" customHeight="1">
      <c r="A101" s="236">
        <v>100</v>
      </c>
      <c r="B101" s="237" t="str">
        <f t="array" ref="B101">INDEX('NORTE - RUTH'!B:B, MATCH(S101, 'NORTE - RUTH'!K:K, 0), )</f>
        <v>Santa Cruz</v>
      </c>
      <c r="C101" s="156" t="str">
        <f t="array" ref="C101">INDEX('NORTE - RUTH'!C:C, MATCH(S101, 'NORTE - RUTH'!K:K, 0), )</f>
        <v>Cajamarca</v>
      </c>
      <c r="D101" s="156" t="str">
        <f t="array" ref="D101">INDEX('NORTE - RUTH'!D:D, MATCH(S101, 'NORTE - RUTH'!K:K, 0), )</f>
        <v>FM</v>
      </c>
      <c r="E101" s="156">
        <f t="array" ref="E101">INDEX('NORTE - RUTH'!E:E, MATCH(S101, 'NORTE - RUTH'!K:K, 0), )</f>
        <v>95.3</v>
      </c>
      <c r="F101" s="156">
        <f t="array" ref="F101">INDEX('NORTE - RUTH'!F:F, MATCH(S101, 'NORTE - RUTH'!K:K, 0), )</f>
        <v>69</v>
      </c>
      <c r="G101" s="159" t="str">
        <f t="array" ref="G101">INDEX('NORTE - RUTH'!G:G, MATCH(S101, 'NORTE - RUTH'!K:K, 0), )</f>
        <v>A.A</v>
      </c>
      <c r="H101" s="238" t="str">
        <f t="array" ref="H101">INDEX('NORTE - RUTH'!H:H, MATCH(S101, 'NORTE - RUTH'!K:K, 0), )</f>
        <v>SANTA CRUZ</v>
      </c>
      <c r="I101" s="239" t="str">
        <f t="array" ref="I101">INDEX('NORTE - RUTH'!I:I, MATCH(S101, 'NORTE - RUTH'!K:K, 0), )</f>
        <v>28/11/2025 - Sectoristas - Con fecha jueves 27 de noviembre el pastor local envia video donde se evidencia la operatividad de la radio</v>
      </c>
      <c r="J101" s="240">
        <f t="array" ref="J101">INDEX('NORTE - RUTH'!J:J, MATCH(S101, 'NORTE - RUTH'!K:K, 0), )</f>
        <v>0</v>
      </c>
      <c r="K101" s="241" t="str">
        <f t="array" ref="K101">INDEX('NORTE - RUTH'!K:K, MATCH(S101, 'NORTE - RUTH'!K:K, 0), )</f>
        <v>R - 100</v>
      </c>
      <c r="L101" s="242" t="str">
        <f t="array" ref="L101">INDEX('NORTE - RUTH'!L:L, MATCH(S101, 'NORTE - RUTH'!K:K, 0), )</f>
        <v>Sectoristas</v>
      </c>
      <c r="M101" s="242" t="str">
        <f t="array" ref="M101">INDEX('NORTE - RUTH'!M:M, MATCH(S101, 'NORTE - RUTH'!K:K, 0), )</f>
        <v>Nivel 1</v>
      </c>
      <c r="N101" s="241">
        <f t="array" ref="N101">INDEX('NORTE - RUTH'!N:N, MATCH(S101, 'NORTE - RUTH'!K:K, 0), )</f>
        <v>0</v>
      </c>
      <c r="O101" s="241">
        <f t="array" ref="O101">INDEX('NORTE - RUTH'!O:O, MATCH(S101, 'NORTE - RUTH'!K:K, 0), )</f>
        <v>0</v>
      </c>
      <c r="P101" s="236">
        <v>-6.6362333333333332</v>
      </c>
      <c r="Q101" s="236">
        <v>-78.95738333333334</v>
      </c>
      <c r="R101" s="243" t="s">
        <v>1424</v>
      </c>
      <c r="S101" s="246" t="s">
        <v>1425</v>
      </c>
      <c r="U101" s="245"/>
    </row>
    <row r="102" spans="1:21" ht="17.25" customHeight="1">
      <c r="A102" s="236">
        <v>101</v>
      </c>
      <c r="B102" s="237" t="str">
        <f t="array" ref="B102">INDEX('NORTE - RUTH'!B:B, MATCH(S102, 'NORTE - RUTH'!K:K, 0), )</f>
        <v>Santiago de Chuco</v>
      </c>
      <c r="C102" s="156" t="str">
        <f t="array" ref="C102">INDEX('NORTE - RUTH'!C:C, MATCH(S102, 'NORTE - RUTH'!K:K, 0), )</f>
        <v>La Libertad</v>
      </c>
      <c r="D102" s="156" t="str">
        <f t="array" ref="D102">INDEX('NORTE - RUTH'!D:D, MATCH(S102, 'NORTE - RUTH'!K:K, 0), )</f>
        <v>VHF</v>
      </c>
      <c r="E102" s="156">
        <f t="array" ref="E102">INDEX('NORTE - RUTH'!E:E, MATCH(S102, 'NORTE - RUTH'!K:K, 0), )</f>
        <v>9</v>
      </c>
      <c r="F102" s="156">
        <f t="array" ref="F102">INDEX('NORTE - RUTH'!F:F, MATCH(S102, 'NORTE - RUTH'!K:K, 0), )</f>
        <v>82</v>
      </c>
      <c r="G102" s="159" t="str">
        <f t="array" ref="G102">INDEX('NORTE - RUTH'!G:G, MATCH(S102, 'NORTE - RUTH'!K:K, 0), )</f>
        <v>A.A</v>
      </c>
      <c r="H102" s="238" t="str">
        <f t="array" ref="H102">INDEX('NORTE - RUTH'!H:H, MATCH(S102, 'NORTE - RUTH'!K:K, 0), )</f>
        <v>SANTIAGO DE CHUCO</v>
      </c>
      <c r="I102" s="239" t="str">
        <f t="array" ref="I102">INDEX('NORTE - RUTH'!I:I, MATCH(S102, 'NORTE - RUTH'!K:K, 0), )</f>
        <v>28/11/2025 - Sectoristas - El dia de hoy el pastor señala que el canal esta opeartivo pero falta que envie video</v>
      </c>
      <c r="J102" s="247">
        <f t="array" ref="J102">INDEX('NORTE - RUTH'!J:J, MATCH(S102, 'NORTE - RUTH'!K:K, 0), )</f>
        <v>0</v>
      </c>
      <c r="K102" s="241" t="str">
        <f t="array" ref="K102">INDEX('NORTE - RUTH'!K:K, MATCH(S102, 'NORTE - RUTH'!K:K, 0), )</f>
        <v>R - 101</v>
      </c>
      <c r="L102" s="242" t="str">
        <f t="array" ref="L102">INDEX('NORTE - RUTH'!L:L, MATCH(S102, 'NORTE - RUTH'!K:K, 0), )</f>
        <v>Sectoristas</v>
      </c>
      <c r="M102" s="242" t="str">
        <f t="array" ref="M102">INDEX('NORTE - RUTH'!M:M, MATCH(S102, 'NORTE - RUTH'!K:K, 0), )</f>
        <v>Nivel 1</v>
      </c>
      <c r="N102" s="241">
        <f t="array" ref="N102">INDEX('NORTE - RUTH'!N:N, MATCH(S102, 'NORTE - RUTH'!K:K, 0), )</f>
        <v>0</v>
      </c>
      <c r="O102" s="241">
        <f t="array" ref="O102">INDEX('NORTE - RUTH'!O:O, MATCH(S102, 'NORTE - RUTH'!K:K, 0), )</f>
        <v>0</v>
      </c>
      <c r="P102" s="236">
        <v>-8.1643333333333334</v>
      </c>
      <c r="Q102" s="236">
        <v>-78.191833333333335</v>
      </c>
      <c r="R102" s="243" t="s">
        <v>1426</v>
      </c>
      <c r="S102" s="246" t="s">
        <v>1427</v>
      </c>
      <c r="U102" s="245"/>
    </row>
    <row r="103" spans="1:21" ht="17.25" customHeight="1">
      <c r="A103" s="236">
        <v>102</v>
      </c>
      <c r="B103" s="237" t="str">
        <f t="array" ref="B103">INDEX('NORTE - RUTH'!B:B, MATCH(S103, 'NORTE - RUTH'!K:K, 0), )</f>
        <v>Sechura</v>
      </c>
      <c r="C103" s="156" t="str">
        <f t="array" ref="C103">INDEX('NORTE - RUTH'!C:C, MATCH(S103, 'NORTE - RUTH'!K:K, 0), )</f>
        <v>Piura</v>
      </c>
      <c r="D103" s="156" t="str">
        <f t="array" ref="D103">INDEX('NORTE - RUTH'!D:D, MATCH(S103, 'NORTE - RUTH'!K:K, 0), )</f>
        <v>FM</v>
      </c>
      <c r="E103" s="156">
        <f t="array" ref="E103">INDEX('NORTE - RUTH'!E:E, MATCH(S103, 'NORTE - RUTH'!K:K, 0), )</f>
        <v>91.7</v>
      </c>
      <c r="F103" s="156">
        <f t="array" ref="F103">INDEX('NORTE - RUTH'!F:F, MATCH(S103, 'NORTE - RUTH'!K:K, 0), )</f>
        <v>106</v>
      </c>
      <c r="G103" s="159" t="str">
        <f t="array" ref="G103">INDEX('NORTE - RUTH'!G:G, MATCH(S103, 'NORTE - RUTH'!K:K, 0), )</f>
        <v>A.A</v>
      </c>
      <c r="H103" s="238" t="str">
        <f t="array" ref="H103">INDEX('NORTE - RUTH'!H:H, MATCH(S103, 'NORTE - RUTH'!K:K, 0), )</f>
        <v>SECHURA</v>
      </c>
      <c r="I103" s="239" t="str">
        <f t="array" ref="I103">INDEX('NORTE - RUTH'!I:I, MATCH(S103, 'NORTE - RUTH'!K:K, 0), )</f>
        <v>28/11/2025 - Sectoristas - Con fecha jueves 27 de noviembre el pastor envia video evidenciando que la radio esta operativa</v>
      </c>
      <c r="J103" s="240">
        <f t="array" ref="J103">INDEX('NORTE - RUTH'!J:J, MATCH(S103, 'NORTE - RUTH'!K:K, 0), )</f>
        <v>0</v>
      </c>
      <c r="K103" s="241" t="str">
        <f t="array" ref="K103">INDEX('NORTE - RUTH'!K:K, MATCH(S103, 'NORTE - RUTH'!K:K, 0), )</f>
        <v>R - 102</v>
      </c>
      <c r="L103" s="242" t="str">
        <f t="array" ref="L103">INDEX('NORTE - RUTH'!L:L, MATCH(S103, 'NORTE - RUTH'!K:K, 0), )</f>
        <v>Sectoristas</v>
      </c>
      <c r="M103" s="242" t="str">
        <f t="array" ref="M103">INDEX('NORTE - RUTH'!M:M, MATCH(S103, 'NORTE - RUTH'!K:K, 0), )</f>
        <v>Nivel 1</v>
      </c>
      <c r="N103" s="241">
        <f t="array" ref="N103">INDEX('NORTE - RUTH'!N:N, MATCH(S103, 'NORTE - RUTH'!K:K, 0), )</f>
        <v>0</v>
      </c>
      <c r="O103" s="241">
        <f t="array" ref="O103">INDEX('NORTE - RUTH'!O:O, MATCH(S103, 'NORTE - RUTH'!K:K, 0), )</f>
        <v>0</v>
      </c>
      <c r="P103" s="236">
        <v>-5.5709999999999997</v>
      </c>
      <c r="Q103" s="236">
        <v>-80.81883333333333</v>
      </c>
      <c r="R103" s="243" t="s">
        <v>1428</v>
      </c>
      <c r="S103" s="246" t="s">
        <v>1429</v>
      </c>
      <c r="U103" s="245"/>
    </row>
    <row r="104" spans="1:21" ht="17.25" customHeight="1">
      <c r="A104" s="236">
        <v>103</v>
      </c>
      <c r="B104" s="237" t="str">
        <f t="array" ref="B104">INDEX('NORTE - RUTH'!B:B, MATCH(S104, 'NORTE - RUTH'!K:K, 0), )</f>
        <v>Sechura</v>
      </c>
      <c r="C104" s="156" t="str">
        <f t="array" ref="C104">INDEX('NORTE - RUTH'!C:C, MATCH(S104, 'NORTE - RUTH'!K:K, 0), )</f>
        <v>Piura</v>
      </c>
      <c r="D104" s="156" t="str">
        <f t="array" ref="D104">INDEX('NORTE - RUTH'!D:D, MATCH(S104, 'NORTE - RUTH'!K:K, 0), )</f>
        <v>VHF</v>
      </c>
      <c r="E104" s="156">
        <f t="array" ref="E104">INDEX('NORTE - RUTH'!E:E, MATCH(S104, 'NORTE - RUTH'!K:K, 0), )</f>
        <v>8</v>
      </c>
      <c r="F104" s="156">
        <f t="array" ref="F104">INDEX('NORTE - RUTH'!F:F, MATCH(S104, 'NORTE - RUTH'!K:K, 0), )</f>
        <v>106</v>
      </c>
      <c r="G104" s="159" t="str">
        <f t="array" ref="G104">INDEX('NORTE - RUTH'!G:G, MATCH(S104, 'NORTE - RUTH'!K:K, 0), )</f>
        <v>A.A</v>
      </c>
      <c r="H104" s="238" t="str">
        <f t="array" ref="H104">INDEX('NORTE - RUTH'!H:H, MATCH(S104, 'NORTE - RUTH'!K:K, 0), )</f>
        <v>SECHURA</v>
      </c>
      <c r="I104" s="239" t="str">
        <f t="array" ref="I104">INDEX('NORTE - RUTH'!I:I, MATCH(S104, 'NORTE - RUTH'!K:K, 0), )</f>
        <v>28/11/2025 - Sectoristas - Con fecha jueves 27 de noviembre el pastor envia video evidenciando la operatividad del canal, se realizo consulta pues en la pantalla sale canal 22.2</v>
      </c>
      <c r="J104" s="240">
        <f t="array" ref="J104">INDEX('NORTE - RUTH'!J:J, MATCH(S104, 'NORTE - RUTH'!K:K, 0), )</f>
        <v>0</v>
      </c>
      <c r="K104" s="241" t="str">
        <f t="array" ref="K104">INDEX('NORTE - RUTH'!K:K, MATCH(S104, 'NORTE - RUTH'!K:K, 0), )</f>
        <v>R - 103</v>
      </c>
      <c r="L104" s="242" t="str">
        <f t="array" ref="L104">INDEX('NORTE - RUTH'!L:L, MATCH(S104, 'NORTE - RUTH'!K:K, 0), )</f>
        <v>Sectoristas</v>
      </c>
      <c r="M104" s="242" t="str">
        <f t="array" ref="M104">INDEX('NORTE - RUTH'!M:M, MATCH(S104, 'NORTE - RUTH'!K:K, 0), )</f>
        <v>Nivel 1</v>
      </c>
      <c r="N104" s="241">
        <f t="array" ref="N104">INDEX('NORTE - RUTH'!N:N, MATCH(S104, 'NORTE - RUTH'!K:K, 0), )</f>
        <v>0</v>
      </c>
      <c r="O104" s="241">
        <f t="array" ref="O104">INDEX('NORTE - RUTH'!O:O, MATCH(S104, 'NORTE - RUTH'!K:K, 0), )</f>
        <v>0</v>
      </c>
      <c r="P104" s="236">
        <v>-5.5717222222222222</v>
      </c>
      <c r="Q104" s="236">
        <v>-80.817972222222224</v>
      </c>
      <c r="R104" s="243" t="s">
        <v>1430</v>
      </c>
      <c r="S104" s="246" t="s">
        <v>1431</v>
      </c>
      <c r="U104" s="245"/>
    </row>
    <row r="105" spans="1:21" ht="17.25" customHeight="1">
      <c r="A105" s="236">
        <v>104</v>
      </c>
      <c r="B105" s="237" t="str">
        <f t="array" ref="B105">INDEX('NORTE - RUTH'!B:B, MATCH(S105, 'NORTE - RUTH'!K:K, 0), )</f>
        <v>Sihuas</v>
      </c>
      <c r="C105" s="156" t="str">
        <f t="array" ref="C105">INDEX('NORTE - RUTH'!C:C, MATCH(S105, 'NORTE - RUTH'!K:K, 0), )</f>
        <v>Ancash</v>
      </c>
      <c r="D105" s="156" t="str">
        <f t="array" ref="D105">INDEX('NORTE - RUTH'!D:D, MATCH(S105, 'NORTE - RUTH'!K:K, 0), )</f>
        <v>FM</v>
      </c>
      <c r="E105" s="156">
        <f t="array" ref="E105">INDEX('NORTE - RUTH'!E:E, MATCH(S105, 'NORTE - RUTH'!K:K, 0), )</f>
        <v>98.1</v>
      </c>
      <c r="F105" s="156">
        <f t="array" ref="F105">INDEX('NORTE - RUTH'!F:F, MATCH(S105, 'NORTE - RUTH'!K:K, 0), )</f>
        <v>81</v>
      </c>
      <c r="G105" s="159" t="str">
        <f t="array" ref="G105">INDEX('NORTE - RUTH'!G:G, MATCH(S105, 'NORTE - RUTH'!K:K, 0), )</f>
        <v>A.A</v>
      </c>
      <c r="H105" s="238" t="str">
        <f t="array" ref="H105">INDEX('NORTE - RUTH'!H:H, MATCH(S105, 'NORTE - RUTH'!K:K, 0), )</f>
        <v>SIHUAS</v>
      </c>
      <c r="I105" s="239" t="str">
        <f t="array" ref="I105">INDEX('NORTE - RUTH'!I:I, MATCH(S105, 'NORTE - RUTH'!K:K, 0), )</f>
        <v>28/11/2025 - Sectoristas - Con fecha miércoles 26 de noviembre el pastor envía video evidenciando la operatividad de la radio</v>
      </c>
      <c r="J105" s="240">
        <f t="array" ref="J105">INDEX('NORTE - RUTH'!J:J, MATCH(S105, 'NORTE - RUTH'!K:K, 0), )</f>
        <v>0</v>
      </c>
      <c r="K105" s="241" t="str">
        <f t="array" ref="K105">INDEX('NORTE - RUTH'!K:K, MATCH(S105, 'NORTE - RUTH'!K:K, 0), )</f>
        <v>R - 104</v>
      </c>
      <c r="L105" s="242" t="str">
        <f t="array" ref="L105">INDEX('NORTE - RUTH'!L:L, MATCH(S105, 'NORTE - RUTH'!K:K, 0), )</f>
        <v>Sectoristas</v>
      </c>
      <c r="M105" s="242" t="str">
        <f t="array" ref="M105">INDEX('NORTE - RUTH'!M:M, MATCH(S105, 'NORTE - RUTH'!K:K, 0), )</f>
        <v>Nivel 1</v>
      </c>
      <c r="N105" s="241">
        <f t="array" ref="N105">INDEX('NORTE - RUTH'!N:N, MATCH(S105, 'NORTE - RUTH'!K:K, 0), )</f>
        <v>0</v>
      </c>
      <c r="O105" s="241">
        <f t="array" ref="O105">INDEX('NORTE - RUTH'!O:O, MATCH(S105, 'NORTE - RUTH'!K:K, 0), )</f>
        <v>0</v>
      </c>
      <c r="P105" s="236">
        <v>-8.5316111111111113</v>
      </c>
      <c r="Q105" s="236">
        <v>-77.664975000000013</v>
      </c>
      <c r="R105" s="243" t="s">
        <v>1432</v>
      </c>
      <c r="S105" s="246" t="s">
        <v>1433</v>
      </c>
      <c r="U105" s="245"/>
    </row>
    <row r="106" spans="1:21" ht="17.25" customHeight="1">
      <c r="A106" s="236">
        <v>105</v>
      </c>
      <c r="B106" s="237" t="str">
        <f t="array" ref="B106">INDEX('NORTE - RUTH'!B:B, MATCH(S106, 'NORTE - RUTH'!K:K, 0), )</f>
        <v>Sihuas</v>
      </c>
      <c r="C106" s="156" t="str">
        <f t="array" ref="C106">INDEX('NORTE - RUTH'!C:C, MATCH(S106, 'NORTE - RUTH'!K:K, 0), )</f>
        <v>Ancash</v>
      </c>
      <c r="D106" s="156" t="str">
        <f t="array" ref="D106">INDEX('NORTE - RUTH'!D:D, MATCH(S106, 'NORTE - RUTH'!K:K, 0), )</f>
        <v>VHF</v>
      </c>
      <c r="E106" s="156">
        <f t="array" ref="E106">INDEX('NORTE - RUTH'!E:E, MATCH(S106, 'NORTE - RUTH'!K:K, 0), )</f>
        <v>9</v>
      </c>
      <c r="F106" s="156">
        <f t="array" ref="F106">INDEX('NORTE - RUTH'!F:F, MATCH(S106, 'NORTE - RUTH'!K:K, 0), )</f>
        <v>81</v>
      </c>
      <c r="G106" s="159" t="str">
        <f t="array" ref="G106">INDEX('NORTE - RUTH'!G:G, MATCH(S106, 'NORTE - RUTH'!K:K, 0), )</f>
        <v>N.I</v>
      </c>
      <c r="H106" s="238" t="str">
        <f t="array" ref="H106">INDEX('NORTE - RUTH'!H:H, MATCH(S106, 'NORTE - RUTH'!K:K, 0), )</f>
        <v>SIHUAS</v>
      </c>
      <c r="I106" s="239" t="str">
        <f t="array" ref="I106">INDEX('NORTE - RUTH'!I:I, MATCH(S106, 'NORTE - RUTH'!K:K, 0), )</f>
        <v>1/10/2025 - Sectoristas - El pastor y el presbitero señalan que no se puede instalar la estacion por tema de economía</v>
      </c>
      <c r="J106" s="240">
        <f t="array" ref="J106">INDEX('NORTE - RUTH'!J:J, MATCH(S106, 'NORTE - RUTH'!K:K, 0), )</f>
        <v>0</v>
      </c>
      <c r="K106" s="241" t="str">
        <f t="array" ref="K106">INDEX('NORTE - RUTH'!K:K, MATCH(S106, 'NORTE - RUTH'!K:K, 0), )</f>
        <v>R - 105</v>
      </c>
      <c r="L106" s="242">
        <f t="array" ref="L106">INDEX('NORTE - RUTH'!L:L, MATCH(S106, 'NORTE - RUTH'!K:K, 0), )</f>
        <v>0</v>
      </c>
      <c r="M106" s="242">
        <f t="array" ref="M106">INDEX('NORTE - RUTH'!M:M, MATCH(S106, 'NORTE - RUTH'!K:K, 0), )</f>
        <v>0</v>
      </c>
      <c r="N106" s="241">
        <f t="array" ref="N106">INDEX('NORTE - RUTH'!N:N, MATCH(S106, 'NORTE - RUTH'!K:K, 0), )</f>
        <v>0</v>
      </c>
      <c r="O106" s="241">
        <f t="array" ref="O106">INDEX('NORTE - RUTH'!O:O, MATCH(S106, 'NORTE - RUTH'!K:K, 0), )</f>
        <v>0</v>
      </c>
      <c r="P106" s="236">
        <v>-8.5589722222222235</v>
      </c>
      <c r="Q106" s="236">
        <v>-77.628916666666655</v>
      </c>
      <c r="R106" s="243" t="s">
        <v>1434</v>
      </c>
      <c r="S106" s="246" t="s">
        <v>1435</v>
      </c>
      <c r="U106" s="245"/>
    </row>
    <row r="107" spans="1:21" ht="17.25" customHeight="1">
      <c r="A107" s="236">
        <v>106</v>
      </c>
      <c r="B107" s="237" t="str">
        <f t="array" ref="B107">INDEX('NORTE - RUTH'!B:B, MATCH(S107, 'NORTE - RUTH'!K:K, 0), )</f>
        <v>Sondorillo</v>
      </c>
      <c r="C107" s="156" t="str">
        <f t="array" ref="C107">INDEX('NORTE - RUTH'!C:C, MATCH(S107, 'NORTE - RUTH'!K:K, 0), )</f>
        <v>Piura</v>
      </c>
      <c r="D107" s="156" t="str">
        <f t="array" ref="D107">INDEX('NORTE - RUTH'!D:D, MATCH(S107, 'NORTE - RUTH'!K:K, 0), )</f>
        <v>FM</v>
      </c>
      <c r="E107" s="156">
        <f t="array" ref="E107">INDEX('NORTE - RUTH'!E:E, MATCH(S107, 'NORTE - RUTH'!K:K, 0), )</f>
        <v>90.1</v>
      </c>
      <c r="F107" s="156">
        <f t="array" ref="F107">INDEX('NORTE - RUTH'!F:F, MATCH(S107, 'NORTE - RUTH'!K:K, 0), )</f>
        <v>142</v>
      </c>
      <c r="G107" s="159" t="str">
        <f t="array" ref="G107">INDEX('NORTE - RUTH'!G:G, MATCH(S107, 'NORTE - RUTH'!K:K, 0), )</f>
        <v>A.A</v>
      </c>
      <c r="H107" s="238" t="str">
        <f t="array" ref="H107">INDEX('NORTE - RUTH'!H:H, MATCH(S107, 'NORTE - RUTH'!K:K, 0), )</f>
        <v>SONDORILLO</v>
      </c>
      <c r="I107" s="239" t="str">
        <f t="array" ref="I107">INDEX('NORTE - RUTH'!I:I, MATCH(S107, 'NORTE - RUTH'!K:K, 0), )</f>
        <v>12/11/2025 - Sectoristas - La estación se puso operativa el día de hoy 12 de noviembre con apoyo del hno Manuel Alvarado, el deco se encontraba sin volumen.</v>
      </c>
      <c r="J107" s="240">
        <f t="array" ref="J107">INDEX('NORTE - RUTH'!J:J, MATCH(S107, 'NORTE - RUTH'!K:K, 0), )</f>
        <v>0</v>
      </c>
      <c r="K107" s="241" t="str">
        <f t="array" ref="K107">INDEX('NORTE - RUTH'!K:K, MATCH(S107, 'NORTE - RUTH'!K:K, 0), )</f>
        <v>R - 106</v>
      </c>
      <c r="L107" s="242">
        <f t="array" ref="L107">INDEX('NORTE - RUTH'!L:L, MATCH(S107, 'NORTE - RUTH'!K:K, 0), )</f>
        <v>0</v>
      </c>
      <c r="M107" s="242">
        <f t="array" ref="M107">INDEX('NORTE - RUTH'!M:M, MATCH(S107, 'NORTE - RUTH'!K:K, 0), )</f>
        <v>0</v>
      </c>
      <c r="N107" s="241">
        <f t="array" ref="N107">INDEX('NORTE - RUTH'!N:N, MATCH(S107, 'NORTE - RUTH'!K:K, 0), )</f>
        <v>0</v>
      </c>
      <c r="O107" s="241">
        <f t="array" ref="O107">INDEX('NORTE - RUTH'!O:O, MATCH(S107, 'NORTE - RUTH'!K:K, 0), )</f>
        <v>0</v>
      </c>
      <c r="P107" s="236">
        <v>-5.3383333333333329</v>
      </c>
      <c r="Q107" s="236">
        <v>-79.491388888888892</v>
      </c>
      <c r="R107" s="243" t="s">
        <v>1436</v>
      </c>
      <c r="S107" s="246" t="s">
        <v>1437</v>
      </c>
      <c r="U107" s="245"/>
    </row>
    <row r="108" spans="1:21" ht="17.25" customHeight="1">
      <c r="A108" s="236">
        <v>107</v>
      </c>
      <c r="B108" s="237" t="str">
        <f t="array" ref="B108">INDEX('NORTE - RUTH'!B:B, MATCH(S108, 'NORTE - RUTH'!K:K, 0), )</f>
        <v>Succha</v>
      </c>
      <c r="C108" s="156" t="str">
        <f t="array" ref="C108">INDEX('NORTE - RUTH'!C:C, MATCH(S108, 'NORTE - RUTH'!K:K, 0), )</f>
        <v>Ancash</v>
      </c>
      <c r="D108" s="156" t="str">
        <f t="array" ref="D108">INDEX('NORTE - RUTH'!D:D, MATCH(S108, 'NORTE - RUTH'!K:K, 0), )</f>
        <v>FM</v>
      </c>
      <c r="E108" s="156">
        <f t="array" ref="E108">INDEX('NORTE - RUTH'!E:E, MATCH(S108, 'NORTE - RUTH'!K:K, 0), )</f>
        <v>98.5</v>
      </c>
      <c r="F108" s="156">
        <f t="array" ref="F108">INDEX('NORTE - RUTH'!F:F, MATCH(S108, 'NORTE - RUTH'!K:K, 0), )</f>
        <v>95</v>
      </c>
      <c r="G108" s="159" t="str">
        <f t="array" ref="G108">INDEX('NORTE - RUTH'!G:G, MATCH(S108, 'NORTE - RUTH'!K:K, 0), )</f>
        <v>A.A</v>
      </c>
      <c r="H108" s="238" t="str">
        <f t="array" ref="H108">INDEX('NORTE - RUTH'!H:H, MATCH(S108, 'NORTE - RUTH'!K:K, 0), )</f>
        <v>SUCCHA</v>
      </c>
      <c r="I108" s="239" t="str">
        <f t="array" ref="I108">INDEX('NORTE - RUTH'!I:I, MATCH(S108, 'NORTE - RUTH'!K:K, 0), )</f>
        <v>1/12/2025 - Sectoristas - Con fecha sabado 29 de noviembre el pastor envia evidencia de videos y fotos donde se puede comprobar la operatividad de la radio</v>
      </c>
      <c r="J108" s="247">
        <f t="array" ref="J108">INDEX('NORTE - RUTH'!J:J, MATCH(S108, 'NORTE - RUTH'!K:K, 0), )</f>
        <v>0</v>
      </c>
      <c r="K108" s="241" t="str">
        <f t="array" ref="K108">INDEX('NORTE - RUTH'!K:K, MATCH(S108, 'NORTE - RUTH'!K:K, 0), )</f>
        <v>R - 107</v>
      </c>
      <c r="L108" s="242" t="str">
        <f t="array" ref="L108">INDEX('NORTE - RUTH'!L:L, MATCH(S108, 'NORTE - RUTH'!K:K, 0), )</f>
        <v>Sectoristas</v>
      </c>
      <c r="M108" s="242" t="str">
        <f t="array" ref="M108">INDEX('NORTE - RUTH'!M:M, MATCH(S108, 'NORTE - RUTH'!K:K, 0), )</f>
        <v>Nivel 1</v>
      </c>
      <c r="N108" s="241">
        <f t="array" ref="N108">INDEX('NORTE - RUTH'!N:N, MATCH(S108, 'NORTE - RUTH'!K:K, 0), )</f>
        <v>0</v>
      </c>
      <c r="O108" s="241">
        <f t="array" ref="O108">INDEX('NORTE - RUTH'!O:O, MATCH(S108, 'NORTE - RUTH'!K:K, 0), )</f>
        <v>0</v>
      </c>
      <c r="P108" s="236">
        <v>-9.8251666666666662</v>
      </c>
      <c r="Q108" s="236">
        <v>-77.649166666666673</v>
      </c>
      <c r="R108" s="243" t="s">
        <v>1438</v>
      </c>
      <c r="S108" s="246" t="s">
        <v>1439</v>
      </c>
      <c r="U108" s="245"/>
    </row>
    <row r="109" spans="1:21" ht="17.25" customHeight="1">
      <c r="A109" s="236">
        <v>108</v>
      </c>
      <c r="B109" s="237" t="str">
        <f t="array" ref="B109">INDEX('NORTE - RUTH'!B:B, MATCH(S109, 'NORTE - RUTH'!K:K, 0), )</f>
        <v>Sullana</v>
      </c>
      <c r="C109" s="156" t="str">
        <f t="array" ref="C109">INDEX('NORTE - RUTH'!C:C, MATCH(S109, 'NORTE - RUTH'!K:K, 0), )</f>
        <v>Piura</v>
      </c>
      <c r="D109" s="156" t="str">
        <f t="array" ref="D109">INDEX('NORTE - RUTH'!D:D, MATCH(S109, 'NORTE - RUTH'!K:K, 0), )</f>
        <v>FM</v>
      </c>
      <c r="E109" s="156">
        <f t="array" ref="E109">INDEX('NORTE - RUTH'!E:E, MATCH(S109, 'NORTE - RUTH'!K:K, 0), )</f>
        <v>100.7</v>
      </c>
      <c r="F109" s="156">
        <f t="array" ref="F109">INDEX('NORTE - RUTH'!F:F, MATCH(S109, 'NORTE - RUTH'!K:K, 0), )</f>
        <v>90</v>
      </c>
      <c r="G109" s="159" t="str">
        <f t="array" ref="G109">INDEX('NORTE - RUTH'!G:G, MATCH(S109, 'NORTE - RUTH'!K:K, 0), )</f>
        <v>A.A</v>
      </c>
      <c r="H109" s="238" t="str">
        <f t="array" ref="H109">INDEX('NORTE - RUTH'!H:H, MATCH(S109, 'NORTE - RUTH'!K:K, 0), )</f>
        <v>SULLANA</v>
      </c>
      <c r="I109" s="239" t="str">
        <f t="array" ref="I109">INDEX('NORTE - RUTH'!I:I, MATCH(S109, 'NORTE - RUTH'!K:K, 0), )</f>
        <v>28/11/2025 - Sectoristas - Con fecha martes 25 de noviembre el pastor envío evidencia mediante video señalando que la radio esta con señal al aire.</v>
      </c>
      <c r="J109" s="240">
        <f t="array" ref="J109">INDEX('NORTE - RUTH'!J:J, MATCH(S109, 'NORTE - RUTH'!K:K, 0), )</f>
        <v>0</v>
      </c>
      <c r="K109" s="241" t="str">
        <f t="array" ref="K109">INDEX('NORTE - RUTH'!K:K, MATCH(S109, 'NORTE - RUTH'!K:K, 0), )</f>
        <v>R - 108</v>
      </c>
      <c r="L109" s="242" t="str">
        <f t="array" ref="L109">INDEX('NORTE - RUTH'!L:L, MATCH(S109, 'NORTE - RUTH'!K:K, 0), )</f>
        <v>Sectoristas</v>
      </c>
      <c r="M109" s="242" t="str">
        <f t="array" ref="M109">INDEX('NORTE - RUTH'!M:M, MATCH(S109, 'NORTE - RUTH'!K:K, 0), )</f>
        <v>Nivel 1</v>
      </c>
      <c r="N109" s="241">
        <f t="array" ref="N109">INDEX('NORTE - RUTH'!N:N, MATCH(S109, 'NORTE - RUTH'!K:K, 0), )</f>
        <v>0</v>
      </c>
      <c r="O109" s="241">
        <f t="array" ref="O109">INDEX('NORTE - RUTH'!O:O, MATCH(S109, 'NORTE - RUTH'!K:K, 0), )</f>
        <v>0</v>
      </c>
      <c r="P109" s="236">
        <v>-4.8978055555555553</v>
      </c>
      <c r="Q109" s="236">
        <v>-80.697833333333335</v>
      </c>
      <c r="R109" s="243" t="s">
        <v>1440</v>
      </c>
      <c r="S109" s="246" t="s">
        <v>1441</v>
      </c>
      <c r="U109" s="245"/>
    </row>
    <row r="110" spans="1:21" ht="17.25" customHeight="1">
      <c r="A110" s="236">
        <v>109</v>
      </c>
      <c r="B110" s="237" t="str">
        <f t="array" ref="B110">INDEX('NORTE - RUTH'!B:B, MATCH(S110, 'NORTE - RUTH'!K:K, 0), )</f>
        <v>Tabalosos</v>
      </c>
      <c r="C110" s="156" t="str">
        <f t="array" ref="C110">INDEX('NORTE - RUTH'!C:C, MATCH(S110, 'NORTE - RUTH'!K:K, 0), )</f>
        <v>San Martin</v>
      </c>
      <c r="D110" s="156" t="str">
        <f t="array" ref="D110">INDEX('NORTE - RUTH'!D:D, MATCH(S110, 'NORTE - RUTH'!K:K, 0), )</f>
        <v>FM</v>
      </c>
      <c r="E110" s="156">
        <f t="array" ref="E110">INDEX('NORTE - RUTH'!E:E, MATCH(S110, 'NORTE - RUTH'!K:K, 0), )</f>
        <v>93.9</v>
      </c>
      <c r="F110" s="156">
        <f t="array" ref="F110">INDEX('NORTE - RUTH'!F:F, MATCH(S110, 'NORTE - RUTH'!K:K, 0), )</f>
        <v>35</v>
      </c>
      <c r="G110" s="159" t="str">
        <f t="array" ref="G110">INDEX('NORTE - RUTH'!G:G, MATCH(S110, 'NORTE - RUTH'!K:K, 0), )</f>
        <v>A.A</v>
      </c>
      <c r="H110" s="238" t="str">
        <f t="array" ref="H110">INDEX('NORTE - RUTH'!H:H, MATCH(S110, 'NORTE - RUTH'!K:K, 0), )</f>
        <v>TABALOSOS</v>
      </c>
      <c r="I110" s="239" t="str">
        <f t="array" ref="I110">INDEX('NORTE - RUTH'!I:I, MATCH(S110, 'NORTE - RUTH'!K:K, 0), )</f>
        <v>25/11/2025 - Sectoristas - Con fecha 06 de noviembre el pastor Alex envia video para verificar la señal de la radio</v>
      </c>
      <c r="J110" s="240">
        <f t="array" ref="J110">INDEX('NORTE - RUTH'!J:J, MATCH(S110, 'NORTE - RUTH'!K:K, 0), )</f>
        <v>0</v>
      </c>
      <c r="K110" s="241" t="str">
        <f t="array" ref="K110">INDEX('NORTE - RUTH'!K:K, MATCH(S110, 'NORTE - RUTH'!K:K, 0), )</f>
        <v>R - 109</v>
      </c>
      <c r="L110" s="242" t="str">
        <f t="array" ref="L110">INDEX('NORTE - RUTH'!L:L, MATCH(S110, 'NORTE - RUTH'!K:K, 0), )</f>
        <v>Sectoristas</v>
      </c>
      <c r="M110" s="242" t="str">
        <f t="array" ref="M110">INDEX('NORTE - RUTH'!M:M, MATCH(S110, 'NORTE - RUTH'!K:K, 0), )</f>
        <v>Nivel 1</v>
      </c>
      <c r="N110" s="241">
        <f t="array" ref="N110">INDEX('NORTE - RUTH'!N:N, MATCH(S110, 'NORTE - RUTH'!K:K, 0), )</f>
        <v>0</v>
      </c>
      <c r="O110" s="241">
        <f t="array" ref="O110">INDEX('NORTE - RUTH'!O:O, MATCH(S110, 'NORTE - RUTH'!K:K, 0), )</f>
        <v>0</v>
      </c>
      <c r="P110" s="236">
        <v>-6.3883611111111112</v>
      </c>
      <c r="Q110" s="236">
        <v>-76.641833333333338</v>
      </c>
      <c r="R110" s="243" t="s">
        <v>1442</v>
      </c>
      <c r="S110" s="246" t="s">
        <v>1443</v>
      </c>
      <c r="U110" s="245"/>
    </row>
    <row r="111" spans="1:21" ht="17.25" customHeight="1">
      <c r="A111" s="236">
        <v>110</v>
      </c>
      <c r="B111" s="237" t="str">
        <f t="array" ref="B111">INDEX('NORTE - RUTH'!B:B, MATCH(S111, 'NORTE - RUTH'!K:K, 0), )</f>
        <v>Talara - Pariñas</v>
      </c>
      <c r="C111" s="156" t="str">
        <f t="array" ref="C111">INDEX('NORTE - RUTH'!C:C, MATCH(S111, 'NORTE - RUTH'!K:K, 0), )</f>
        <v>Piura</v>
      </c>
      <c r="D111" s="156" t="str">
        <f t="array" ref="D111">INDEX('NORTE - RUTH'!D:D, MATCH(S111, 'NORTE - RUTH'!K:K, 0), )</f>
        <v>FM</v>
      </c>
      <c r="E111" s="156">
        <f t="array" ref="E111">INDEX('NORTE - RUTH'!E:E, MATCH(S111, 'NORTE - RUTH'!K:K, 0), )</f>
        <v>103.1</v>
      </c>
      <c r="F111" s="156">
        <f t="array" ref="F111">INDEX('NORTE - RUTH'!F:F, MATCH(S111, 'NORTE - RUTH'!K:K, 0), )</f>
        <v>97</v>
      </c>
      <c r="G111" s="159" t="str">
        <f t="array" ref="G111">INDEX('NORTE - RUTH'!G:G, MATCH(S111, 'NORTE - RUTH'!K:K, 0), )</f>
        <v>F.A</v>
      </c>
      <c r="H111" s="238" t="str">
        <f t="array" ref="H111">INDEX('NORTE - RUTH'!H:H, MATCH(S111, 'NORTE - RUTH'!K:K, 0), )</f>
        <v>TALARA</v>
      </c>
      <c r="I111" s="239" t="str">
        <f t="array" ref="I111">INDEX('NORTE - RUTH'!I:I, MATCH(S111, 'NORTE - RUTH'!K:K, 0), )</f>
        <v>25/11/2025 - Sectoristas - Se actualizó información brindada por el pastor local Alexis por el grupo de whatsapp señalando que la radio la apagaron desde el 23 de octubre con el fin de realizar la demolicion del templo pues se esta derrumbando. Asimismo, el dia de ayer 24 de noviembre el pastor señala que ya realizaron el desmontaje de la torre, la cual tiene deteriorado algunos cuerpos.</v>
      </c>
      <c r="J111" s="240">
        <f t="array" ref="J111">INDEX('NORTE - RUTH'!J:J, MATCH(S111, 'NORTE - RUTH'!K:K, 0), )</f>
        <v>0</v>
      </c>
      <c r="K111" s="241" t="str">
        <f t="array" ref="K111">INDEX('NORTE - RUTH'!K:K, MATCH(S111, 'NORTE - RUTH'!K:K, 0), )</f>
        <v>R - 110</v>
      </c>
      <c r="L111" s="242" t="str">
        <f t="array" ref="L111">INDEX('NORTE - RUTH'!L:L, MATCH(S111, 'NORTE - RUTH'!K:K, 0), )</f>
        <v>Sectoristas</v>
      </c>
      <c r="M111" s="242" t="str">
        <f t="array" ref="M111">INDEX('NORTE - RUTH'!M:M, MATCH(S111, 'NORTE - RUTH'!K:K, 0), )</f>
        <v>Nivel 1</v>
      </c>
      <c r="N111" s="241">
        <f t="array" ref="N111">INDEX('NORTE - RUTH'!N:N, MATCH(S111, 'NORTE - RUTH'!K:K, 0), )</f>
        <v>0</v>
      </c>
      <c r="O111" s="241">
        <f t="array" ref="O111">INDEX('NORTE - RUTH'!O:O, MATCH(S111, 'NORTE - RUTH'!K:K, 0), )</f>
        <v>0</v>
      </c>
      <c r="P111" s="236">
        <v>-4.5923611111111109</v>
      </c>
      <c r="Q111" s="236">
        <v>-81.254861111111111</v>
      </c>
      <c r="R111" s="243" t="s">
        <v>1444</v>
      </c>
      <c r="S111" s="246" t="s">
        <v>1209</v>
      </c>
      <c r="U111" s="245"/>
    </row>
    <row r="112" spans="1:21" ht="17.25" customHeight="1">
      <c r="A112" s="236">
        <v>111</v>
      </c>
      <c r="B112" s="237" t="str">
        <f t="array" ref="B112">INDEX('NORTE - RUTH'!B:B, MATCH(S112, 'NORTE - RUTH'!K:K, 0), )</f>
        <v>Tarapoto</v>
      </c>
      <c r="C112" s="156" t="str">
        <f t="array" ref="C112">INDEX('NORTE - RUTH'!C:C, MATCH(S112, 'NORTE - RUTH'!K:K, 0), )</f>
        <v>San Martin</v>
      </c>
      <c r="D112" s="156" t="str">
        <f t="array" ref="D112">INDEX('NORTE - RUTH'!D:D, MATCH(S112, 'NORTE - RUTH'!K:K, 0), )</f>
        <v>FM</v>
      </c>
      <c r="E112" s="156">
        <f t="array" ref="E112">INDEX('NORTE - RUTH'!E:E, MATCH(S112, 'NORTE - RUTH'!K:K, 0), )</f>
        <v>91.1</v>
      </c>
      <c r="F112" s="156">
        <f t="array" ref="F112">INDEX('NORTE - RUTH'!F:F, MATCH(S112, 'NORTE - RUTH'!K:K, 0), )</f>
        <v>35</v>
      </c>
      <c r="G112" s="159" t="str">
        <f t="array" ref="G112">INDEX('NORTE - RUTH'!G:G, MATCH(S112, 'NORTE - RUTH'!K:K, 0), )</f>
        <v>A.A</v>
      </c>
      <c r="H112" s="238" t="str">
        <f t="array" ref="H112">INDEX('NORTE - RUTH'!H:H, MATCH(S112, 'NORTE - RUTH'!K:K, 0), )</f>
        <v>TARAPOTO</v>
      </c>
      <c r="I112" s="239" t="str">
        <f t="array" ref="I112">INDEX('NORTE - RUTH'!I:I, MATCH(S112, 'NORTE - RUTH'!K:K, 0), )</f>
        <v>4/12/2025 - Sectoristas - Con fecha 01 de diciembre el pastor Roly envía videos donde se evidencia la operatividad de la radio y el canal</v>
      </c>
      <c r="J112" s="240">
        <f t="array" ref="J112">INDEX('NORTE - RUTH'!J:J, MATCH(S112, 'NORTE - RUTH'!K:K, 0), )</f>
        <v>0</v>
      </c>
      <c r="K112" s="241" t="str">
        <f t="array" ref="K112">INDEX('NORTE - RUTH'!K:K, MATCH(S112, 'NORTE - RUTH'!K:K, 0), )</f>
        <v>R - 111</v>
      </c>
      <c r="L112" s="242" t="str">
        <f t="array" ref="L112">INDEX('NORTE - RUTH'!L:L, MATCH(S112, 'NORTE - RUTH'!K:K, 0), )</f>
        <v>Sectoristas</v>
      </c>
      <c r="M112" s="242" t="str">
        <f t="array" ref="M112">INDEX('NORTE - RUTH'!M:M, MATCH(S112, 'NORTE - RUTH'!K:K, 0), )</f>
        <v>Nivel 1</v>
      </c>
      <c r="N112" s="241">
        <f t="array" ref="N112">INDEX('NORTE - RUTH'!N:N, MATCH(S112, 'NORTE - RUTH'!K:K, 0), )</f>
        <v>0</v>
      </c>
      <c r="O112" s="241">
        <f t="array" ref="O112">INDEX('NORTE - RUTH'!O:O, MATCH(S112, 'NORTE - RUTH'!K:K, 0), )</f>
        <v>0</v>
      </c>
      <c r="P112" s="236">
        <v>-6.4586111111111109</v>
      </c>
      <c r="Q112" s="236">
        <v>-76.358474999999999</v>
      </c>
      <c r="R112" s="243" t="s">
        <v>1445</v>
      </c>
      <c r="S112" s="246" t="s">
        <v>1446</v>
      </c>
      <c r="U112" s="245"/>
    </row>
    <row r="113" spans="1:21" ht="17.25" customHeight="1">
      <c r="A113" s="236">
        <v>112</v>
      </c>
      <c r="B113" s="237" t="str">
        <f t="array" ref="B113">INDEX('NORTE - RUTH'!B:B, MATCH(S113, 'NORTE - RUTH'!K:K, 0), )</f>
        <v xml:space="preserve">Tarapoto </v>
      </c>
      <c r="C113" s="156" t="str">
        <f t="array" ref="C113">INDEX('NORTE - RUTH'!C:C, MATCH(S113, 'NORTE - RUTH'!K:K, 0), )</f>
        <v>San Martin</v>
      </c>
      <c r="D113" s="156" t="str">
        <f t="array" ref="D113">INDEX('NORTE - RUTH'!D:D, MATCH(S113, 'NORTE - RUTH'!K:K, 0), )</f>
        <v>UHF</v>
      </c>
      <c r="E113" s="156">
        <f t="array" ref="E113">INDEX('NORTE - RUTH'!E:E, MATCH(S113, 'NORTE - RUTH'!K:K, 0), )</f>
        <v>15</v>
      </c>
      <c r="F113" s="156">
        <f t="array" ref="F113">INDEX('NORTE - RUTH'!F:F, MATCH(S113, 'NORTE - RUTH'!K:K, 0), )</f>
        <v>35</v>
      </c>
      <c r="G113" s="159" t="str">
        <f t="array" ref="G113">INDEX('NORTE - RUTH'!G:G, MATCH(S113, 'NORTE - RUTH'!K:K, 0), )</f>
        <v>A.A</v>
      </c>
      <c r="H113" s="238" t="str">
        <f t="array" ref="H113">INDEX('NORTE - RUTH'!H:H, MATCH(S113, 'NORTE - RUTH'!K:K, 0), )</f>
        <v>TARAPOTO</v>
      </c>
      <c r="I113" s="239" t="str">
        <f t="array" ref="I113">INDEX('NORTE - RUTH'!I:I, MATCH(S113, 'NORTE - RUTH'!K:K, 0), )</f>
        <v>4/12/2025 - Sectoristas - Con fecha 01 de diciembre el pastor Roly envía videos donde se evidencia la operatividad de la radio y el canal</v>
      </c>
      <c r="J113" s="240">
        <f t="array" ref="J113">INDEX('NORTE - RUTH'!J:J, MATCH(S113, 'NORTE - RUTH'!K:K, 0), )</f>
        <v>0</v>
      </c>
      <c r="K113" s="241" t="str">
        <f t="array" ref="K113">INDEX('NORTE - RUTH'!K:K, MATCH(S113, 'NORTE - RUTH'!K:K, 0), )</f>
        <v>R - 112</v>
      </c>
      <c r="L113" s="242" t="str">
        <f t="array" ref="L113">INDEX('NORTE - RUTH'!L:L, MATCH(S113, 'NORTE - RUTH'!K:K, 0), )</f>
        <v>Sectoristas</v>
      </c>
      <c r="M113" s="242" t="str">
        <f t="array" ref="M113">INDEX('NORTE - RUTH'!M:M, MATCH(S113, 'NORTE - RUTH'!K:K, 0), )</f>
        <v>Nivel 1</v>
      </c>
      <c r="N113" s="241">
        <f t="array" ref="N113">INDEX('NORTE - RUTH'!N:N, MATCH(S113, 'NORTE - RUTH'!K:K, 0), )</f>
        <v>0</v>
      </c>
      <c r="O113" s="241">
        <f t="array" ref="O113">INDEX('NORTE - RUTH'!O:O, MATCH(S113, 'NORTE - RUTH'!K:K, 0), )</f>
        <v>0</v>
      </c>
      <c r="P113" s="236">
        <v>-6.4586111111111109</v>
      </c>
      <c r="Q113" s="236">
        <v>-76.358474999999999</v>
      </c>
      <c r="R113" s="243" t="s">
        <v>1445</v>
      </c>
      <c r="S113" s="246" t="s">
        <v>1447</v>
      </c>
      <c r="U113" s="245"/>
    </row>
    <row r="114" spans="1:21" ht="17.25" customHeight="1">
      <c r="A114" s="236">
        <v>113</v>
      </c>
      <c r="B114" s="237" t="str">
        <f t="array" ref="B114">INDEX('NORTE - RUTH'!B:B, MATCH(S114, 'NORTE - RUTH'!K:K, 0), )</f>
        <v>Taurija</v>
      </c>
      <c r="C114" s="156" t="str">
        <f t="array" ref="C114">INDEX('NORTE - RUTH'!C:C, MATCH(S114, 'NORTE - RUTH'!K:K, 0), )</f>
        <v>La Libertad</v>
      </c>
      <c r="D114" s="156" t="str">
        <f t="array" ref="D114">INDEX('NORTE - RUTH'!D:D, MATCH(S114, 'NORTE - RUTH'!K:K, 0), )</f>
        <v>FM</v>
      </c>
      <c r="E114" s="156" t="str">
        <f t="array" ref="E114">INDEX('NORTE - RUTH'!E:E, MATCH(S114, 'NORTE - RUTH'!K:K, 0), )</f>
        <v>96.9</v>
      </c>
      <c r="F114" s="156">
        <f t="array" ref="F114">INDEX('NORTE - RUTH'!F:F, MATCH(S114, 'NORTE - RUTH'!K:K, 0), )</f>
        <v>102</v>
      </c>
      <c r="G114" s="159" t="str">
        <f t="array" ref="G114">INDEX('NORTE - RUTH'!G:G, MATCH(S114, 'NORTE - RUTH'!K:K, 0), )</f>
        <v>A.A</v>
      </c>
      <c r="H114" s="238" t="str">
        <f t="array" ref="H114">INDEX('NORTE - RUTH'!H:H, MATCH(S114, 'NORTE - RUTH'!K:K, 0), )</f>
        <v>TAURIJA</v>
      </c>
      <c r="I114" s="239" t="str">
        <f t="array" ref="I114">INDEX('NORTE - RUTH'!I:I, MATCH(S114, 'NORTE - RUTH'!K:K, 0), )</f>
        <v>28/11/2025 - Sectoristas - Con fecha jueves 27 de noviembre el pastor señala que la radio esta operativa pero falta enviar video pues señalo que no se encontraba en la localidad.</v>
      </c>
      <c r="J114" s="240">
        <f t="array" ref="J114">INDEX('NORTE - RUTH'!J:J, MATCH(S114, 'NORTE - RUTH'!K:K, 0), )</f>
        <v>0</v>
      </c>
      <c r="K114" s="241" t="str">
        <f t="array" ref="K114">INDEX('NORTE - RUTH'!K:K, MATCH(S114, 'NORTE - RUTH'!K:K, 0), )</f>
        <v>R - 113</v>
      </c>
      <c r="L114" s="242" t="str">
        <f t="array" ref="L114">INDEX('NORTE - RUTH'!L:L, MATCH(S114, 'NORTE - RUTH'!K:K, 0), )</f>
        <v>Sectoristas</v>
      </c>
      <c r="M114" s="242" t="str">
        <f t="array" ref="M114">INDEX('NORTE - RUTH'!M:M, MATCH(S114, 'NORTE - RUTH'!K:K, 0), )</f>
        <v>Nivel 1</v>
      </c>
      <c r="N114" s="241">
        <f t="array" ref="N114">INDEX('NORTE - RUTH'!N:N, MATCH(S114, 'NORTE - RUTH'!K:K, 0), )</f>
        <v>0</v>
      </c>
      <c r="O114" s="241">
        <f t="array" ref="O114">INDEX('NORTE - RUTH'!O:O, MATCH(S114, 'NORTE - RUTH'!K:K, 0), )</f>
        <v>0</v>
      </c>
      <c r="P114" s="236">
        <v>-8.3065500000000014</v>
      </c>
      <c r="Q114" s="236">
        <v>-77.42261666666667</v>
      </c>
      <c r="R114" s="243" t="s">
        <v>1448</v>
      </c>
      <c r="S114" s="246" t="s">
        <v>1449</v>
      </c>
      <c r="U114" s="245"/>
    </row>
    <row r="115" spans="1:21" ht="17.25" customHeight="1">
      <c r="A115" s="236">
        <v>114</v>
      </c>
      <c r="B115" s="237" t="str">
        <f t="array" ref="B115">INDEX('NORTE - RUTH'!B:B, MATCH(S115, 'NORTE - RUTH'!K:K, 0), )</f>
        <v>Tayabamba</v>
      </c>
      <c r="C115" s="156" t="str">
        <f t="array" ref="C115">INDEX('NORTE - RUTH'!C:C, MATCH(S115, 'NORTE - RUTH'!K:K, 0), )</f>
        <v>La Libertad</v>
      </c>
      <c r="D115" s="156" t="str">
        <f t="array" ref="D115">INDEX('NORTE - RUTH'!D:D, MATCH(S115, 'NORTE - RUTH'!K:K, 0), )</f>
        <v>FM</v>
      </c>
      <c r="E115" s="156">
        <f t="array" ref="E115">INDEX('NORTE - RUTH'!E:E, MATCH(S115, 'NORTE - RUTH'!K:K, 0), )</f>
        <v>98.1</v>
      </c>
      <c r="F115" s="156">
        <f t="array" ref="F115">INDEX('NORTE - RUTH'!F:F, MATCH(S115, 'NORTE - RUTH'!K:K, 0), )</f>
        <v>102</v>
      </c>
      <c r="G115" s="159" t="str">
        <f t="array" ref="G115">INDEX('NORTE - RUTH'!G:G, MATCH(S115, 'NORTE - RUTH'!K:K, 0), )</f>
        <v>A.A</v>
      </c>
      <c r="H115" s="238" t="str">
        <f t="array" ref="H115">INDEX('NORTE - RUTH'!H:H, MATCH(S115, 'NORTE - RUTH'!K:K, 0), )</f>
        <v>TAYABAMBA</v>
      </c>
      <c r="I115" s="239" t="str">
        <f t="array" ref="I115">INDEX('NORTE - RUTH'!I:I, MATCH(S115, 'NORTE - RUTH'!K:K, 0), )</f>
        <v>3/12/2025 - Sectoristas - Con fecha lunes 01 de diciembre se consulto al pastor sobre la operatividad de la radio. El pastor señala que no estaba en Tayabamba y cuando llegara enviaria el video solicitado. Con fecha de hoy 03 de diciembre el pastor envio video confirmando la operatividad de la radio.</v>
      </c>
      <c r="J115" s="240">
        <f t="array" ref="J115">INDEX('NORTE - RUTH'!J:J, MATCH(S115, 'NORTE - RUTH'!K:K, 0), )</f>
        <v>0</v>
      </c>
      <c r="K115" s="241" t="str">
        <f t="array" ref="K115">INDEX('NORTE - RUTH'!K:K, MATCH(S115, 'NORTE - RUTH'!K:K, 0), )</f>
        <v>R - 114</v>
      </c>
      <c r="L115" s="242" t="str">
        <f t="array" ref="L115">INDEX('NORTE - RUTH'!L:L, MATCH(S115, 'NORTE - RUTH'!K:K, 0), )</f>
        <v>Sectoristas</v>
      </c>
      <c r="M115" s="242" t="str">
        <f t="array" ref="M115">INDEX('NORTE - RUTH'!M:M, MATCH(S115, 'NORTE - RUTH'!K:K, 0), )</f>
        <v>Nivel 1</v>
      </c>
      <c r="N115" s="241">
        <f t="array" ref="N115">INDEX('NORTE - RUTH'!N:N, MATCH(S115, 'NORTE - RUTH'!K:K, 0), )</f>
        <v>0</v>
      </c>
      <c r="O115" s="241">
        <f t="array" ref="O115">INDEX('NORTE - RUTH'!O:O, MATCH(S115, 'NORTE - RUTH'!K:K, 0), )</f>
        <v>0</v>
      </c>
      <c r="P115" s="236">
        <v>-8.2513333333333332</v>
      </c>
      <c r="Q115" s="236">
        <v>-77.324233333333325</v>
      </c>
      <c r="R115" s="243" t="s">
        <v>1450</v>
      </c>
      <c r="S115" s="246" t="s">
        <v>1451</v>
      </c>
      <c r="U115" s="245"/>
    </row>
    <row r="116" spans="1:21" ht="17.25" customHeight="1">
      <c r="A116" s="236">
        <v>115</v>
      </c>
      <c r="B116" s="237" t="str">
        <f t="array" ref="B116">INDEX('NORTE - RUTH'!B:B, MATCH(S116, 'NORTE - RUTH'!K:K, 0), )</f>
        <v>Tembladera</v>
      </c>
      <c r="C116" s="156" t="str">
        <f t="array" ref="C116">INDEX('NORTE - RUTH'!C:C, MATCH(S116, 'NORTE - RUTH'!K:K, 0), )</f>
        <v>Cajamarca</v>
      </c>
      <c r="D116" s="156" t="str">
        <f t="array" ref="D116">INDEX('NORTE - RUTH'!D:D, MATCH(S116, 'NORTE - RUTH'!K:K, 0), )</f>
        <v>FM</v>
      </c>
      <c r="E116" s="156" t="str">
        <f t="array" ref="E116">INDEX('NORTE - RUTH'!E:E, MATCH(S116, 'NORTE - RUTH'!K:K, 0), )</f>
        <v>99.7</v>
      </c>
      <c r="F116" s="156">
        <f t="array" ref="F116">INDEX('NORTE - RUTH'!F:F, MATCH(S116, 'NORTE - RUTH'!K:K, 0), )</f>
        <v>26</v>
      </c>
      <c r="G116" s="159" t="str">
        <f t="array" ref="G116">INDEX('NORTE - RUTH'!G:G, MATCH(S116, 'NORTE - RUTH'!K:K, 0), )</f>
        <v>A.A</v>
      </c>
      <c r="H116" s="238" t="str">
        <f t="array" ref="H116">INDEX('NORTE - RUTH'!H:H, MATCH(S116, 'NORTE - RUTH'!K:K, 0), )</f>
        <v>TEMBLADERA</v>
      </c>
      <c r="I116" s="239" t="str">
        <f t="array" ref="I116">INDEX('NORTE - RUTH'!I:I, MATCH(S116, 'NORTE - RUTH'!K:K, 0), )</f>
        <v>28/11/2025 - Sectoristas - Con fecha jueves 27 de noviembre el pastor envio video evidenciando la operatividad de la radio</v>
      </c>
      <c r="J116" s="240">
        <f t="array" ref="J116">INDEX('NORTE - RUTH'!J:J, MATCH(S116, 'NORTE - RUTH'!K:K, 0), )</f>
        <v>0</v>
      </c>
      <c r="K116" s="241" t="str">
        <f t="array" ref="K116">INDEX('NORTE - RUTH'!K:K, MATCH(S116, 'NORTE - RUTH'!K:K, 0), )</f>
        <v>R - 115</v>
      </c>
      <c r="L116" s="242" t="str">
        <f t="array" ref="L116">INDEX('NORTE - RUTH'!L:L, MATCH(S116, 'NORTE - RUTH'!K:K, 0), )</f>
        <v>Sectoristas</v>
      </c>
      <c r="M116" s="242" t="str">
        <f t="array" ref="M116">INDEX('NORTE - RUTH'!M:M, MATCH(S116, 'NORTE - RUTH'!K:K, 0), )</f>
        <v>Nivel 1</v>
      </c>
      <c r="N116" s="241">
        <f t="array" ref="N116">INDEX('NORTE - RUTH'!N:N, MATCH(S116, 'NORTE - RUTH'!K:K, 0), )</f>
        <v>0</v>
      </c>
      <c r="O116" s="241">
        <f t="array" ref="O116">INDEX('NORTE - RUTH'!O:O, MATCH(S116, 'NORTE - RUTH'!K:K, 0), )</f>
        <v>0</v>
      </c>
      <c r="P116" s="236">
        <v>-7.2531166666666671</v>
      </c>
      <c r="Q116" s="236">
        <v>-79.132316666666654</v>
      </c>
      <c r="R116" s="243" t="s">
        <v>1452</v>
      </c>
      <c r="S116" s="246" t="s">
        <v>1453</v>
      </c>
      <c r="U116" s="245"/>
    </row>
    <row r="117" spans="1:21" ht="17.25" customHeight="1">
      <c r="A117" s="236">
        <v>116</v>
      </c>
      <c r="B117" s="237" t="str">
        <f t="array" ref="B117">INDEX('NORTE - RUTH'!B:B, MATCH(S117, 'NORTE - RUTH'!K:K, 0), )</f>
        <v>Ticapampa</v>
      </c>
      <c r="C117" s="156" t="str">
        <f t="array" ref="C117">INDEX('NORTE - RUTH'!C:C, MATCH(S117, 'NORTE - RUTH'!K:K, 0), )</f>
        <v>Ancash</v>
      </c>
      <c r="D117" s="156" t="str">
        <f t="array" ref="D117">INDEX('NORTE - RUTH'!D:D, MATCH(S117, 'NORTE - RUTH'!K:K, 0), )</f>
        <v>VHF</v>
      </c>
      <c r="E117" s="156">
        <f t="array" ref="E117">INDEX('NORTE - RUTH'!E:E, MATCH(S117, 'NORTE - RUTH'!K:K, 0), )</f>
        <v>9</v>
      </c>
      <c r="F117" s="156">
        <f t="array" ref="F117">INDEX('NORTE - RUTH'!F:F, MATCH(S117, 'NORTE - RUTH'!K:K, 0), )</f>
        <v>12</v>
      </c>
      <c r="G117" s="159" t="str">
        <f t="array" ref="G117">INDEX('NORTE - RUTH'!G:G, MATCH(S117, 'NORTE - RUTH'!K:K, 0), )</f>
        <v>A.A</v>
      </c>
      <c r="H117" s="238" t="str">
        <f t="array" ref="H117">INDEX('NORTE - RUTH'!H:H, MATCH(S117, 'NORTE - RUTH'!K:K, 0), )</f>
        <v>TICAPAMPA</v>
      </c>
      <c r="I117" s="239" t="str">
        <f t="array" ref="I117">INDEX('NORTE - RUTH'!I:I, MATCH(S117, 'NORTE - RUTH'!K:K, 0), )</f>
        <v>28/11/2025 - Sectoristas - Con fecha 27 de noviembre se coordino con el pastor Dino y Jeronimo respecto a la operatividad del canal pues lo tenían apagado por dos meses por el costo alto de la energía eléctrica, el pastor consulto si puede usar timer para ahorrar se le indico que pasara a consulta, y en conversacion el dia de hoy viernes 28 el pastor Jeronimo comento que ya prendieron el canal.</v>
      </c>
      <c r="J117" s="240">
        <f t="array" ref="J117">INDEX('NORTE - RUTH'!J:J, MATCH(S117, 'NORTE - RUTH'!K:K, 0), )</f>
        <v>0</v>
      </c>
      <c r="K117" s="241" t="str">
        <f t="array" ref="K117">INDEX('NORTE - RUTH'!K:K, MATCH(S117, 'NORTE - RUTH'!K:K, 0), )</f>
        <v>R - 116</v>
      </c>
      <c r="L117" s="242" t="str">
        <f t="array" ref="L117">INDEX('NORTE - RUTH'!L:L, MATCH(S117, 'NORTE - RUTH'!K:K, 0), )</f>
        <v>Sectoristas</v>
      </c>
      <c r="M117" s="242" t="str">
        <f t="array" ref="M117">INDEX('NORTE - RUTH'!M:M, MATCH(S117, 'NORTE - RUTH'!K:K, 0), )</f>
        <v>Nivel 1</v>
      </c>
      <c r="N117" s="241">
        <f t="array" ref="N117">INDEX('NORTE - RUTH'!N:N, MATCH(S117, 'NORTE - RUTH'!K:K, 0), )</f>
        <v>0</v>
      </c>
      <c r="O117" s="241">
        <f t="array" ref="O117">INDEX('NORTE - RUTH'!O:O, MATCH(S117, 'NORTE - RUTH'!K:K, 0), )</f>
        <v>0</v>
      </c>
      <c r="P117" s="236">
        <v>-9.7580555555555559</v>
      </c>
      <c r="Q117" s="236">
        <v>-77.430555555555557</v>
      </c>
      <c r="R117" s="243" t="s">
        <v>1454</v>
      </c>
      <c r="S117" s="246" t="s">
        <v>1455</v>
      </c>
      <c r="U117" s="245"/>
    </row>
    <row r="118" spans="1:21" ht="17.25" customHeight="1">
      <c r="A118" s="236">
        <v>117</v>
      </c>
      <c r="B118" s="237" t="str">
        <f t="array" ref="B118">INDEX('NORTE - RUTH'!B:B, MATCH(S118, 'NORTE - RUTH'!K:K, 0), )</f>
        <v xml:space="preserve">Ticapampa </v>
      </c>
      <c r="C118" s="156" t="str">
        <f t="array" ref="C118">INDEX('NORTE - RUTH'!C:C, MATCH(S118, 'NORTE - RUTH'!K:K, 0), )</f>
        <v>Ancash</v>
      </c>
      <c r="D118" s="156" t="str">
        <f t="array" ref="D118">INDEX('NORTE - RUTH'!D:D, MATCH(S118, 'NORTE - RUTH'!K:K, 0), )</f>
        <v>FM</v>
      </c>
      <c r="E118" s="156">
        <f t="array" ref="E118">INDEX('NORTE - RUTH'!E:E, MATCH(S118, 'NORTE - RUTH'!K:K, 0), )</f>
        <v>106.9</v>
      </c>
      <c r="F118" s="156">
        <f t="array" ref="F118">INDEX('NORTE - RUTH'!F:F, MATCH(S118, 'NORTE - RUTH'!K:K, 0), )</f>
        <v>12</v>
      </c>
      <c r="G118" s="159" t="str">
        <f t="array" ref="G118">INDEX('NORTE - RUTH'!G:G, MATCH(S118, 'NORTE - RUTH'!K:K, 0), )</f>
        <v>A.A</v>
      </c>
      <c r="H118" s="238" t="str">
        <f t="array" ref="H118">INDEX('NORTE - RUTH'!H:H, MATCH(S118, 'NORTE - RUTH'!K:K, 0), )</f>
        <v>TICAPAMPA</v>
      </c>
      <c r="I118" s="239" t="str">
        <f t="array" ref="I118">INDEX('NORTE - RUTH'!I:I, MATCH(S118, 'NORTE - RUTH'!K:K, 0), )</f>
        <v>28/11/2025 - Sectoristas - Con fecha de ayer jueves 27 de noviembre el pastor local señala que la radio se encuentra operativa evidenciando con un video</v>
      </c>
      <c r="J118" s="240">
        <f t="array" ref="J118">INDEX('NORTE - RUTH'!J:J, MATCH(S118, 'NORTE - RUTH'!K:K, 0), )</f>
        <v>0</v>
      </c>
      <c r="K118" s="241" t="str">
        <f t="array" ref="K118">INDEX('NORTE - RUTH'!K:K, MATCH(S118, 'NORTE - RUTH'!K:K, 0), )</f>
        <v>R - 117</v>
      </c>
      <c r="L118" s="242" t="str">
        <f t="array" ref="L118">INDEX('NORTE - RUTH'!L:L, MATCH(S118, 'NORTE - RUTH'!K:K, 0), )</f>
        <v>Sectoristas</v>
      </c>
      <c r="M118" s="242" t="str">
        <f t="array" ref="M118">INDEX('NORTE - RUTH'!M:M, MATCH(S118, 'NORTE - RUTH'!K:K, 0), )</f>
        <v>Nivel 1</v>
      </c>
      <c r="N118" s="241">
        <f t="array" ref="N118">INDEX('NORTE - RUTH'!N:N, MATCH(S118, 'NORTE - RUTH'!K:K, 0), )</f>
        <v>0</v>
      </c>
      <c r="O118" s="241">
        <f t="array" ref="O118">INDEX('NORTE - RUTH'!O:O, MATCH(S118, 'NORTE - RUTH'!K:K, 0), )</f>
        <v>0</v>
      </c>
      <c r="P118" s="236">
        <v>-9.7609722222222217</v>
      </c>
      <c r="Q118" s="236">
        <v>-77.435722222222225</v>
      </c>
      <c r="R118" s="243" t="s">
        <v>1456</v>
      </c>
      <c r="S118" s="246" t="s">
        <v>1457</v>
      </c>
      <c r="U118" s="245"/>
    </row>
    <row r="119" spans="1:21" ht="17.25" customHeight="1">
      <c r="A119" s="236">
        <v>118</v>
      </c>
      <c r="B119" s="237" t="str">
        <f t="array" ref="B119">INDEX('NORTE - RUTH'!B:B, MATCH(S119, 'NORTE - RUTH'!K:K, 0), )</f>
        <v>Tocache</v>
      </c>
      <c r="C119" s="156" t="str">
        <f t="array" ref="C119">INDEX('NORTE - RUTH'!C:C, MATCH(S119, 'NORTE - RUTH'!K:K, 0), )</f>
        <v>San Martin</v>
      </c>
      <c r="D119" s="156" t="str">
        <f t="array" ref="D119">INDEX('NORTE - RUTH'!D:D, MATCH(S119, 'NORTE - RUTH'!K:K, 0), )</f>
        <v>FM</v>
      </c>
      <c r="E119" s="156">
        <f t="array" ref="E119">INDEX('NORTE - RUTH'!E:E, MATCH(S119, 'NORTE - RUTH'!K:K, 0), )</f>
        <v>95.7</v>
      </c>
      <c r="F119" s="156">
        <f t="array" ref="F119">INDEX('NORTE - RUTH'!F:F, MATCH(S119, 'NORTE - RUTH'!K:K, 0), )</f>
        <v>73</v>
      </c>
      <c r="G119" s="159" t="str">
        <f t="array" ref="G119">INDEX('NORTE - RUTH'!G:G, MATCH(S119, 'NORTE - RUTH'!K:K, 0), )</f>
        <v>A.A</v>
      </c>
      <c r="H119" s="238" t="str">
        <f t="array" ref="H119">INDEX('NORTE - RUTH'!H:H, MATCH(S119, 'NORTE - RUTH'!K:K, 0), )</f>
        <v>TOCACHE</v>
      </c>
      <c r="I119" s="239" t="str">
        <f t="array" ref="I119">INDEX('NORTE - RUTH'!I:I, MATCH(S119, 'NORTE - RUTH'!K:K, 0), )</f>
        <v>3/12/2025 - Sectoristas - Con fecha de ayer 02 de diciembre el pastor señala que el transmisor no funciona, señalando se envíe el transmisor por el que realizó pago para restructuración.</v>
      </c>
      <c r="J119" s="240">
        <f t="array" ref="J119">INDEX('NORTE - RUTH'!J:J, MATCH(S119, 'NORTE - RUTH'!K:K, 0), )</f>
        <v>0</v>
      </c>
      <c r="K119" s="241" t="str">
        <f t="array" ref="K119">INDEX('NORTE - RUTH'!K:K, MATCH(S119, 'NORTE - RUTH'!K:K, 0), )</f>
        <v>R - 118</v>
      </c>
      <c r="L119" s="242" t="str">
        <f t="array" ref="L119">INDEX('NORTE - RUTH'!L:L, MATCH(S119, 'NORTE - RUTH'!K:K, 0), )</f>
        <v>Sectoristas</v>
      </c>
      <c r="M119" s="242" t="str">
        <f t="array" ref="M119">INDEX('NORTE - RUTH'!M:M, MATCH(S119, 'NORTE - RUTH'!K:K, 0), )</f>
        <v>Nivel 1</v>
      </c>
      <c r="N119" s="241">
        <f t="array" ref="N119">INDEX('NORTE - RUTH'!N:N, MATCH(S119, 'NORTE - RUTH'!K:K, 0), )</f>
        <v>0</v>
      </c>
      <c r="O119" s="241">
        <f t="array" ref="O119">INDEX('NORTE - RUTH'!O:O, MATCH(S119, 'NORTE - RUTH'!K:K, 0), )</f>
        <v>0</v>
      </c>
      <c r="P119" s="236">
        <v>-8.1855555555555561</v>
      </c>
      <c r="Q119" s="236">
        <v>-76.504444444444445</v>
      </c>
      <c r="R119" s="243" t="s">
        <v>1458</v>
      </c>
      <c r="S119" s="246" t="s">
        <v>1459</v>
      </c>
      <c r="U119" s="245"/>
    </row>
    <row r="120" spans="1:21" ht="17.25" customHeight="1">
      <c r="A120" s="236">
        <v>119</v>
      </c>
      <c r="B120" s="237" t="str">
        <f t="array" ref="B120">INDEX('NORTE - RUTH'!B:B, MATCH(S120, 'NORTE - RUTH'!K:K, 0), )</f>
        <v>Trujillo</v>
      </c>
      <c r="C120" s="156" t="str">
        <f t="array" ref="C120">INDEX('NORTE - RUTH'!C:C, MATCH(S120, 'NORTE - RUTH'!K:K, 0), )</f>
        <v>La Libertad</v>
      </c>
      <c r="D120" s="156" t="str">
        <f t="array" ref="D120">INDEX('NORTE - RUTH'!D:D, MATCH(S120, 'NORTE - RUTH'!K:K, 0), )</f>
        <v>UHF</v>
      </c>
      <c r="E120" s="156">
        <f t="array" ref="E120">INDEX('NORTE - RUTH'!E:E, MATCH(S120, 'NORTE - RUTH'!K:K, 0), )</f>
        <v>33</v>
      </c>
      <c r="F120" s="156">
        <f t="array" ref="F120">INDEX('NORTE - RUTH'!F:F, MATCH(S120, 'NORTE - RUTH'!K:K, 0), )</f>
        <v>10</v>
      </c>
      <c r="G120" s="159" t="str">
        <f t="array" ref="G120">INDEX('NORTE - RUTH'!G:G, MATCH(S120, 'NORTE - RUTH'!K:K, 0), )</f>
        <v>A.A</v>
      </c>
      <c r="H120" s="238" t="str">
        <f t="array" ref="H120">INDEX('NORTE - RUTH'!H:H, MATCH(S120, 'NORTE - RUTH'!K:K, 0), )</f>
        <v>TRUJILLO</v>
      </c>
      <c r="I120" s="239" t="str">
        <f t="array" ref="I120">INDEX('NORTE - RUTH'!I:I, MATCH(S120, 'NORTE - RUTH'!K:K, 0), )</f>
        <v>28/11/2025 - Sectoristas - La radio y el canal se encuentran operativos</v>
      </c>
      <c r="J120" s="240">
        <f t="array" ref="J120">INDEX('NORTE - RUTH'!J:J, MATCH(S120, 'NORTE - RUTH'!K:K, 0), )</f>
        <v>0</v>
      </c>
      <c r="K120" s="241" t="str">
        <f t="array" ref="K120">INDEX('NORTE - RUTH'!K:K, MATCH(S120, 'NORTE - RUTH'!K:K, 0), )</f>
        <v>R - 119</v>
      </c>
      <c r="L120" s="242" t="str">
        <f t="array" ref="L120">INDEX('NORTE - RUTH'!L:L, MATCH(S120, 'NORTE - RUTH'!K:K, 0), )</f>
        <v>Sectoristas</v>
      </c>
      <c r="M120" s="242" t="str">
        <f t="array" ref="M120">INDEX('NORTE - RUTH'!M:M, MATCH(S120, 'NORTE - RUTH'!K:K, 0), )</f>
        <v>Nivel 1</v>
      </c>
      <c r="N120" s="241">
        <f t="array" ref="N120">INDEX('NORTE - RUTH'!N:N, MATCH(S120, 'NORTE - RUTH'!K:K, 0), )</f>
        <v>0</v>
      </c>
      <c r="O120" s="241">
        <f t="array" ref="O120">INDEX('NORTE - RUTH'!O:O, MATCH(S120, 'NORTE - RUTH'!K:K, 0), )</f>
        <v>0</v>
      </c>
      <c r="P120" s="236">
        <v>-8.1072083333333325</v>
      </c>
      <c r="Q120" s="236">
        <v>-79.016908333333333</v>
      </c>
      <c r="R120" s="243" t="s">
        <v>1460</v>
      </c>
      <c r="S120" s="246" t="s">
        <v>1461</v>
      </c>
      <c r="U120" s="245"/>
    </row>
    <row r="121" spans="1:21" ht="17.25" customHeight="1">
      <c r="A121" s="236">
        <v>120</v>
      </c>
      <c r="B121" s="237" t="str">
        <f t="array" ref="B121">INDEX('NORTE - RUTH'!B:B, MATCH(S121, 'NORTE - RUTH'!K:K, 0), )</f>
        <v>Trujillo</v>
      </c>
      <c r="C121" s="156" t="str">
        <f t="array" ref="C121">INDEX('NORTE - RUTH'!C:C, MATCH(S121, 'NORTE - RUTH'!K:K, 0), )</f>
        <v>La Libertad</v>
      </c>
      <c r="D121" s="156" t="str">
        <f t="array" ref="D121">INDEX('NORTE - RUTH'!D:D, MATCH(S121, 'NORTE - RUTH'!K:K, 0), )</f>
        <v>FM</v>
      </c>
      <c r="E121" s="156" t="str">
        <f t="array" ref="E121">INDEX('NORTE - RUTH'!E:E, MATCH(S121, 'NORTE - RUTH'!K:K, 0), )</f>
        <v>96.1</v>
      </c>
      <c r="F121" s="156">
        <f t="array" ref="F121">INDEX('NORTE - RUTH'!F:F, MATCH(S121, 'NORTE - RUTH'!K:K, 0), )</f>
        <v>10</v>
      </c>
      <c r="G121" s="159" t="str">
        <f t="array" ref="G121">INDEX('NORTE - RUTH'!G:G, MATCH(S121, 'NORTE - RUTH'!K:K, 0), )</f>
        <v>A.A</v>
      </c>
      <c r="H121" s="238" t="str">
        <f t="array" ref="H121">INDEX('NORTE - RUTH'!H:H, MATCH(S121, 'NORTE - RUTH'!K:K, 0), )</f>
        <v>TRUJILLO</v>
      </c>
      <c r="I121" s="239" t="str">
        <f t="array" ref="I121">INDEX('NORTE - RUTH'!I:I, MATCH(S121, 'NORTE - RUTH'!K:K, 0), )</f>
        <v>28/11/2025 - Sectoristas - La radio y el canal se encuentran operativos</v>
      </c>
      <c r="J121" s="247">
        <f t="array" ref="J121">INDEX('NORTE - RUTH'!J:J, MATCH(S121, 'NORTE - RUTH'!K:K, 0), )</f>
        <v>0</v>
      </c>
      <c r="K121" s="241" t="str">
        <f t="array" ref="K121">INDEX('NORTE - RUTH'!K:K, MATCH(S121, 'NORTE - RUTH'!K:K, 0), )</f>
        <v>R - 120</v>
      </c>
      <c r="L121" s="242" t="str">
        <f t="array" ref="L121">INDEX('NORTE - RUTH'!L:L, MATCH(S121, 'NORTE - RUTH'!K:K, 0), )</f>
        <v>Sectoristas</v>
      </c>
      <c r="M121" s="242" t="str">
        <f t="array" ref="M121">INDEX('NORTE - RUTH'!M:M, MATCH(S121, 'NORTE - RUTH'!K:K, 0), )</f>
        <v>Nivel 1</v>
      </c>
      <c r="N121" s="241">
        <f t="array" ref="N121">INDEX('NORTE - RUTH'!N:N, MATCH(S121, 'NORTE - RUTH'!K:K, 0), )</f>
        <v>0</v>
      </c>
      <c r="O121" s="241">
        <f t="array" ref="O121">INDEX('NORTE - RUTH'!O:O, MATCH(S121, 'NORTE - RUTH'!K:K, 0), )</f>
        <v>0</v>
      </c>
      <c r="P121" s="236">
        <v>-8.1072083333333325</v>
      </c>
      <c r="Q121" s="236">
        <v>-79.016908333333333</v>
      </c>
      <c r="R121" s="243" t="s">
        <v>1460</v>
      </c>
      <c r="S121" s="246" t="s">
        <v>1462</v>
      </c>
      <c r="U121" s="245"/>
    </row>
    <row r="122" spans="1:21" ht="17.25" customHeight="1">
      <c r="A122" s="236">
        <v>121</v>
      </c>
      <c r="B122" s="237" t="str">
        <f t="array" ref="B122">INDEX('NORTE - RUTH'!B:B, MATCH(S122, 'NORTE - RUTH'!K:K, 0), )</f>
        <v>Tumbes</v>
      </c>
      <c r="C122" s="156" t="str">
        <f t="array" ref="C122">INDEX('NORTE - RUTH'!C:C, MATCH(S122, 'NORTE - RUTH'!K:K, 0), )</f>
        <v>Tumbes</v>
      </c>
      <c r="D122" s="156" t="str">
        <f t="array" ref="D122">INDEX('NORTE - RUTH'!D:D, MATCH(S122, 'NORTE - RUTH'!K:K, 0), )</f>
        <v>UHF</v>
      </c>
      <c r="E122" s="156">
        <f t="array" ref="E122">INDEX('NORTE - RUTH'!E:E, MATCH(S122, 'NORTE - RUTH'!K:K, 0), )</f>
        <v>34</v>
      </c>
      <c r="F122" s="156">
        <f t="array" ref="F122">INDEX('NORTE - RUTH'!F:F, MATCH(S122, 'NORTE - RUTH'!K:K, 0), )</f>
        <v>61</v>
      </c>
      <c r="G122" s="159" t="str">
        <f t="array" ref="G122">INDEX('NORTE - RUTH'!G:G, MATCH(S122, 'NORTE - RUTH'!K:K, 0), )</f>
        <v>A.A</v>
      </c>
      <c r="H122" s="238" t="str">
        <f t="array" ref="H122">INDEX('NORTE - RUTH'!H:H, MATCH(S122, 'NORTE - RUTH'!K:K, 0), )</f>
        <v>TUMBES</v>
      </c>
      <c r="I122" s="239" t="str">
        <f t="array" ref="I122">INDEX('NORTE - RUTH'!I:I, MATCH(S122, 'NORTE - RUTH'!K:K, 0), )</f>
        <v>27/11/2025 - Sectoristas - Con fecha de hoy 27 de noviembre el pastor local envia video evidenciando la operatividad de la radio y el canal.</v>
      </c>
      <c r="J122" s="240">
        <f t="array" ref="J122">INDEX('NORTE - RUTH'!J:J, MATCH(S122, 'NORTE - RUTH'!K:K, 0), )</f>
        <v>0</v>
      </c>
      <c r="K122" s="241" t="str">
        <f t="array" ref="K122">INDEX('NORTE - RUTH'!K:K, MATCH(S122, 'NORTE - RUTH'!K:K, 0), )</f>
        <v>R - 121</v>
      </c>
      <c r="L122" s="242" t="str">
        <f t="array" ref="L122">INDEX('NORTE - RUTH'!L:L, MATCH(S122, 'NORTE - RUTH'!K:K, 0), )</f>
        <v>Sectoristas</v>
      </c>
      <c r="M122" s="242" t="str">
        <f t="array" ref="M122">INDEX('NORTE - RUTH'!M:M, MATCH(S122, 'NORTE - RUTH'!K:K, 0), )</f>
        <v>Nivel 1</v>
      </c>
      <c r="N122" s="241">
        <f t="array" ref="N122">INDEX('NORTE - RUTH'!N:N, MATCH(S122, 'NORTE - RUTH'!K:K, 0), )</f>
        <v>0</v>
      </c>
      <c r="O122" s="241">
        <f t="array" ref="O122">INDEX('NORTE - RUTH'!O:O, MATCH(S122, 'NORTE - RUTH'!K:K, 0), )</f>
        <v>0</v>
      </c>
      <c r="P122" s="236">
        <v>-3.5728805555555554</v>
      </c>
      <c r="Q122" s="236">
        <v>-80.415111111111116</v>
      </c>
      <c r="R122" s="243" t="s">
        <v>1463</v>
      </c>
      <c r="S122" s="246" t="s">
        <v>1464</v>
      </c>
      <c r="U122" s="245"/>
    </row>
    <row r="123" spans="1:21" ht="17.25" customHeight="1">
      <c r="A123" s="236">
        <v>122</v>
      </c>
      <c r="B123" s="237" t="str">
        <f t="array" ref="B123">INDEX('NORTE - RUTH'!B:B, MATCH(S123, 'NORTE - RUTH'!K:K, 0), )</f>
        <v>Tumbes</v>
      </c>
      <c r="C123" s="156" t="str">
        <f t="array" ref="C123">INDEX('NORTE - RUTH'!C:C, MATCH(S123, 'NORTE - RUTH'!K:K, 0), )</f>
        <v>Tumbes</v>
      </c>
      <c r="D123" s="156" t="str">
        <f t="array" ref="D123">INDEX('NORTE - RUTH'!D:D, MATCH(S123, 'NORTE - RUTH'!K:K, 0), )</f>
        <v>FM</v>
      </c>
      <c r="E123" s="156">
        <f t="array" ref="E123">INDEX('NORTE - RUTH'!E:E, MATCH(S123, 'NORTE - RUTH'!K:K, 0), )</f>
        <v>102.1</v>
      </c>
      <c r="F123" s="156">
        <f t="array" ref="F123">INDEX('NORTE - RUTH'!F:F, MATCH(S123, 'NORTE - RUTH'!K:K, 0), )</f>
        <v>61</v>
      </c>
      <c r="G123" s="159" t="str">
        <f t="array" ref="G123">INDEX('NORTE - RUTH'!G:G, MATCH(S123, 'NORTE - RUTH'!K:K, 0), )</f>
        <v>A.A</v>
      </c>
      <c r="H123" s="238" t="str">
        <f t="array" ref="H123">INDEX('NORTE - RUTH'!H:H, MATCH(S123, 'NORTE - RUTH'!K:K, 0), )</f>
        <v>TUMBES</v>
      </c>
      <c r="I123" s="239" t="str">
        <f t="array" ref="I123">INDEX('NORTE - RUTH'!I:I, MATCH(S123, 'NORTE - RUTH'!K:K, 0), )</f>
        <v>27/11/2025 - Sectoristas - Con fecha de hoy 27 de noviembre el pastor local envia video evidenciando la operatividad de la radio y el canal.</v>
      </c>
      <c r="J123" s="240">
        <f t="array" ref="J123">INDEX('NORTE - RUTH'!J:J, MATCH(S123, 'NORTE - RUTH'!K:K, 0), )</f>
        <v>0</v>
      </c>
      <c r="K123" s="241" t="str">
        <f t="array" ref="K123">INDEX('NORTE - RUTH'!K:K, MATCH(S123, 'NORTE - RUTH'!K:K, 0), )</f>
        <v>R - 122</v>
      </c>
      <c r="L123" s="242" t="str">
        <f t="array" ref="L123">INDEX('NORTE - RUTH'!L:L, MATCH(S123, 'NORTE - RUTH'!K:K, 0), )</f>
        <v>Sectoristas</v>
      </c>
      <c r="M123" s="242" t="str">
        <f t="array" ref="M123">INDEX('NORTE - RUTH'!M:M, MATCH(S123, 'NORTE - RUTH'!K:K, 0), )</f>
        <v>Nivel 1</v>
      </c>
      <c r="N123" s="241">
        <f t="array" ref="N123">INDEX('NORTE - RUTH'!N:N, MATCH(S123, 'NORTE - RUTH'!K:K, 0), )</f>
        <v>0</v>
      </c>
      <c r="O123" s="241">
        <f t="array" ref="O123">INDEX('NORTE - RUTH'!O:O, MATCH(S123, 'NORTE - RUTH'!K:K, 0), )</f>
        <v>0</v>
      </c>
      <c r="P123" s="236">
        <v>-3.5728805555555554</v>
      </c>
      <c r="Q123" s="236">
        <v>-80.415111111111116</v>
      </c>
      <c r="R123" s="243" t="s">
        <v>1463</v>
      </c>
      <c r="S123" s="246" t="s">
        <v>1465</v>
      </c>
      <c r="U123" s="245"/>
    </row>
    <row r="124" spans="1:21" ht="17.25" customHeight="1">
      <c r="A124" s="236">
        <v>123</v>
      </c>
      <c r="B124" s="237" t="str">
        <f t="array" ref="B124">INDEX('NORTE - RUTH'!B:B, MATCH(S124, 'NORTE - RUTH'!K:K, 0), )</f>
        <v>Usquil</v>
      </c>
      <c r="C124" s="156" t="str">
        <f t="array" ref="C124">INDEX('NORTE - RUTH'!C:C, MATCH(S124, 'NORTE - RUTH'!K:K, 0), )</f>
        <v>La Libertad</v>
      </c>
      <c r="D124" s="156" t="str">
        <f t="array" ref="D124">INDEX('NORTE - RUTH'!D:D, MATCH(S124, 'NORTE - RUTH'!K:K, 0), )</f>
        <v>FM</v>
      </c>
      <c r="E124" s="156">
        <f t="array" ref="E124">INDEX('NORTE - RUTH'!E:E, MATCH(S124, 'NORTE - RUTH'!K:K, 0), )</f>
        <v>98.1</v>
      </c>
      <c r="F124" s="156">
        <f t="array" ref="F124">INDEX('NORTE - RUTH'!F:F, MATCH(S124, 'NORTE - RUTH'!K:K, 0), )</f>
        <v>82</v>
      </c>
      <c r="G124" s="159" t="str">
        <f t="array" ref="G124">INDEX('NORTE - RUTH'!G:G, MATCH(S124, 'NORTE - RUTH'!K:K, 0), )</f>
        <v>A.A</v>
      </c>
      <c r="H124" s="238" t="str">
        <f t="array" ref="H124">INDEX('NORTE - RUTH'!H:H, MATCH(S124, 'NORTE - RUTH'!K:K, 0), )</f>
        <v>USQUIL</v>
      </c>
      <c r="I124" s="239" t="str">
        <f t="array" ref="I124">INDEX('NORTE - RUTH'!I:I, MATCH(S124, 'NORTE - RUTH'!K:K, 0), )</f>
        <v>28/11/2025 - Sectoristas - Con fecha 27 de noviembre el pastor local envía audio para evidenciar que la radio se encuentra operativa</v>
      </c>
      <c r="J124" s="240">
        <f t="array" ref="J124">INDEX('NORTE - RUTH'!J:J, MATCH(S124, 'NORTE - RUTH'!K:K, 0), )</f>
        <v>0</v>
      </c>
      <c r="K124" s="241" t="str">
        <f t="array" ref="K124">INDEX('NORTE - RUTH'!K:K, MATCH(S124, 'NORTE - RUTH'!K:K, 0), )</f>
        <v>R - 123</v>
      </c>
      <c r="L124" s="242" t="str">
        <f t="array" ref="L124">INDEX('NORTE - RUTH'!L:L, MATCH(S124, 'NORTE - RUTH'!K:K, 0), )</f>
        <v>Sectoristas</v>
      </c>
      <c r="M124" s="242" t="str">
        <f t="array" ref="M124">INDEX('NORTE - RUTH'!M:M, MATCH(S124, 'NORTE - RUTH'!K:K, 0), )</f>
        <v>Nivel 1</v>
      </c>
      <c r="N124" s="241">
        <f t="array" ref="N124">INDEX('NORTE - RUTH'!N:N, MATCH(S124, 'NORTE - RUTH'!K:K, 0), )</f>
        <v>0</v>
      </c>
      <c r="O124" s="241">
        <f t="array" ref="O124">INDEX('NORTE - RUTH'!O:O, MATCH(S124, 'NORTE - RUTH'!K:K, 0), )</f>
        <v>0</v>
      </c>
      <c r="P124" s="236">
        <v>-7.8135861111111113</v>
      </c>
      <c r="Q124" s="236">
        <v>-78.413602777777783</v>
      </c>
      <c r="R124" s="243" t="s">
        <v>1466</v>
      </c>
      <c r="S124" s="246" t="s">
        <v>1467</v>
      </c>
      <c r="U124" s="245"/>
    </row>
    <row r="125" spans="1:21" ht="17.25" customHeight="1">
      <c r="A125" s="236">
        <v>124</v>
      </c>
      <c r="B125" s="237" t="str">
        <f t="array" ref="B125">INDEX('NORTE - RUTH'!B:B, MATCH(S125, 'NORTE - RUTH'!K:K, 0), )</f>
        <v>Virú</v>
      </c>
      <c r="C125" s="156" t="str">
        <f t="array" ref="C125">INDEX('NORTE - RUTH'!C:C, MATCH(S125, 'NORTE - RUTH'!K:K, 0), )</f>
        <v>La Libertad</v>
      </c>
      <c r="D125" s="156" t="str">
        <f t="array" ref="D125">INDEX('NORTE - RUTH'!D:D, MATCH(S125, 'NORTE - RUTH'!K:K, 0), )</f>
        <v>FM</v>
      </c>
      <c r="E125" s="156">
        <f t="array" ref="E125">INDEX('NORTE - RUTH'!E:E, MATCH(S125, 'NORTE - RUTH'!K:K, 0), )</f>
        <v>99.5</v>
      </c>
      <c r="F125" s="156">
        <f t="array" ref="F125">INDEX('NORTE - RUTH'!F:F, MATCH(S125, 'NORTE - RUTH'!K:K, 0), )</f>
        <v>56</v>
      </c>
      <c r="G125" s="159" t="str">
        <f t="array" ref="G125">INDEX('NORTE - RUTH'!G:G, MATCH(S125, 'NORTE - RUTH'!K:K, 0), )</f>
        <v>A.A</v>
      </c>
      <c r="H125" s="238" t="str">
        <f t="array" ref="H125">INDEX('NORTE - RUTH'!H:H, MATCH(S125, 'NORTE - RUTH'!K:K, 0), )</f>
        <v>VIRU</v>
      </c>
      <c r="I125" s="239" t="str">
        <f t="array" ref="I125">INDEX('NORTE - RUTH'!I:I, MATCH(S125, 'NORTE - RUTH'!K:K, 0), )</f>
        <v>28/11/2025 - Sectoristas - Con fecha 27 de noviembre el pastor local, envía video evidenciando que la radio se encuentra con señal al aire.</v>
      </c>
      <c r="J125" s="240">
        <f t="array" ref="J125">INDEX('NORTE - RUTH'!J:J, MATCH(S125, 'NORTE - RUTH'!K:K, 0), )</f>
        <v>0</v>
      </c>
      <c r="K125" s="241" t="str">
        <f t="array" ref="K125">INDEX('NORTE - RUTH'!K:K, MATCH(S125, 'NORTE - RUTH'!K:K, 0), )</f>
        <v>R - 124</v>
      </c>
      <c r="L125" s="242" t="str">
        <f t="array" ref="L125">INDEX('NORTE - RUTH'!L:L, MATCH(S125, 'NORTE - RUTH'!K:K, 0), )</f>
        <v>Sectoristas</v>
      </c>
      <c r="M125" s="242" t="str">
        <f t="array" ref="M125">INDEX('NORTE - RUTH'!M:M, MATCH(S125, 'NORTE - RUTH'!K:K, 0), )</f>
        <v>Nivel 1</v>
      </c>
      <c r="N125" s="241">
        <f t="array" ref="N125">INDEX('NORTE - RUTH'!N:N, MATCH(S125, 'NORTE - RUTH'!K:K, 0), )</f>
        <v>0</v>
      </c>
      <c r="O125" s="241">
        <f t="array" ref="O125">INDEX('NORTE - RUTH'!O:O, MATCH(S125, 'NORTE - RUTH'!K:K, 0), )</f>
        <v>0</v>
      </c>
      <c r="P125" s="236">
        <v>-8.4175555555555555</v>
      </c>
      <c r="Q125" s="236">
        <v>-78.750749999999996</v>
      </c>
      <c r="R125" s="243" t="s">
        <v>1468</v>
      </c>
      <c r="S125" s="246" t="s">
        <v>1469</v>
      </c>
      <c r="U125" s="245"/>
    </row>
    <row r="126" spans="1:21" ht="17.25" customHeight="1">
      <c r="A126" s="236">
        <v>125</v>
      </c>
      <c r="B126" s="237" t="str">
        <f t="array" ref="B126">INDEX('NORTE - RUTH'!B:B, MATCH(S126, 'NORTE - RUTH'!K:K, 0), )</f>
        <v>Yungay</v>
      </c>
      <c r="C126" s="156" t="str">
        <f t="array" ref="C126">INDEX('NORTE - RUTH'!C:C, MATCH(S126, 'NORTE - RUTH'!K:K, 0), )</f>
        <v>Ancash</v>
      </c>
      <c r="D126" s="156" t="str">
        <f t="array" ref="D126">INDEX('NORTE - RUTH'!D:D, MATCH(S126, 'NORTE - RUTH'!K:K, 0), )</f>
        <v>FM</v>
      </c>
      <c r="E126" s="156">
        <f t="array" ref="E126">INDEX('NORTE - RUTH'!E:E, MATCH(S126, 'NORTE - RUTH'!K:K, 0), )</f>
        <v>107.7</v>
      </c>
      <c r="F126" s="156">
        <f t="array" ref="F126">INDEX('NORTE - RUTH'!F:F, MATCH(S126, 'NORTE - RUTH'!K:K, 0), )</f>
        <v>144</v>
      </c>
      <c r="G126" s="159" t="str">
        <f t="array" ref="G126">INDEX('NORTE - RUTH'!G:G, MATCH(S126, 'NORTE - RUTH'!K:K, 0), )</f>
        <v>A.A</v>
      </c>
      <c r="H126" s="238" t="str">
        <f t="array" ref="H126">INDEX('NORTE - RUTH'!H:H, MATCH(S126, 'NORTE - RUTH'!K:K, 0), )</f>
        <v>YUNGAY</v>
      </c>
      <c r="I126" s="239" t="str">
        <f t="array" ref="I126">INDEX('NORTE - RUTH'!I:I, MATCH(S126, 'NORTE - RUTH'!K:K, 0), )</f>
        <v>3/12/2025 - Sectoristas - Con fecha jueves 28 de noviembre se solicita información al pastor por la operatividad, sin respuesta, el dia de hoy 03 de diciembre se volvió a solicitar la informacion</v>
      </c>
      <c r="J126" s="240">
        <f t="array" ref="J126">INDEX('NORTE - RUTH'!J:J, MATCH(S126, 'NORTE - RUTH'!K:K, 0), )</f>
        <v>0</v>
      </c>
      <c r="K126" s="241" t="str">
        <f t="array" ref="K126">INDEX('NORTE - RUTH'!K:K, MATCH(S126, 'NORTE - RUTH'!K:K, 0), )</f>
        <v>R - 125</v>
      </c>
      <c r="L126" s="242" t="str">
        <f t="array" ref="L126">INDEX('NORTE - RUTH'!L:L, MATCH(S126, 'NORTE - RUTH'!K:K, 0), )</f>
        <v>Sectoristas</v>
      </c>
      <c r="M126" s="242" t="str">
        <f t="array" ref="M126">INDEX('NORTE - RUTH'!M:M, MATCH(S126, 'NORTE - RUTH'!K:K, 0), )</f>
        <v>Nivel 1</v>
      </c>
      <c r="N126" s="241">
        <f t="array" ref="N126">INDEX('NORTE - RUTH'!N:N, MATCH(S126, 'NORTE - RUTH'!K:K, 0), )</f>
        <v>0</v>
      </c>
      <c r="O126" s="241">
        <f t="array" ref="O126">INDEX('NORTE - RUTH'!O:O, MATCH(S126, 'NORTE - RUTH'!K:K, 0), )</f>
        <v>0</v>
      </c>
      <c r="P126" s="236">
        <v>-9.1305444444444444</v>
      </c>
      <c r="Q126" s="236">
        <v>-77.727461111111111</v>
      </c>
      <c r="R126" s="243" t="s">
        <v>1470</v>
      </c>
      <c r="S126" s="246" t="s">
        <v>1471</v>
      </c>
      <c r="U126" s="245"/>
    </row>
    <row r="127" spans="1:21" ht="17.25" customHeight="1">
      <c r="A127" s="236">
        <v>126</v>
      </c>
      <c r="B127" s="237" t="str">
        <f t="array" ref="B127">INDEX('NORTE - RUTH'!B:B, MATCH(S127, 'NORTE - RUTH'!K:K, 0), )</f>
        <v>Yungay</v>
      </c>
      <c r="C127" s="156" t="str">
        <f t="array" ref="C127">INDEX('NORTE - RUTH'!C:C, MATCH(S127, 'NORTE - RUTH'!K:K, 0), )</f>
        <v>Ancash</v>
      </c>
      <c r="D127" s="156" t="str">
        <f t="array" ref="D127">INDEX('NORTE - RUTH'!D:D, MATCH(S127, 'NORTE - RUTH'!K:K, 0), )</f>
        <v>VHF</v>
      </c>
      <c r="E127" s="156">
        <f t="array" ref="E127">INDEX('NORTE - RUTH'!E:E, MATCH(S127, 'NORTE - RUTH'!K:K, 0), )</f>
        <v>13</v>
      </c>
      <c r="F127" s="156">
        <f t="array" ref="F127">INDEX('NORTE - RUTH'!F:F, MATCH(S127, 'NORTE - RUTH'!K:K, 0), )</f>
        <v>144</v>
      </c>
      <c r="G127" s="159" t="str">
        <f t="array" ref="G127">INDEX('NORTE - RUTH'!G:G, MATCH(S127, 'NORTE - RUTH'!K:K, 0), )</f>
        <v>F.A</v>
      </c>
      <c r="H127" s="238" t="str">
        <f t="array" ref="H127">INDEX('NORTE - RUTH'!H:H, MATCH(S127, 'NORTE - RUTH'!K:K, 0), )</f>
        <v>YUNGAY</v>
      </c>
      <c r="I127" s="239" t="str">
        <f t="array" ref="I127">INDEX('NORTE - RUTH'!I:I, MATCH(S127, 'NORTE - RUTH'!K:K, 0), )</f>
        <v>28/11/2025 - Sectoristas - Al dia de hoy 28 de noviembre el hno Maguiña aun no brinda información sobre el transmisor</v>
      </c>
      <c r="J127" s="240">
        <f t="array" ref="J127">INDEX('NORTE - RUTH'!J:J, MATCH(S127, 'NORTE - RUTH'!K:K, 0), )</f>
        <v>0</v>
      </c>
      <c r="K127" s="241" t="str">
        <f t="array" ref="K127">INDEX('NORTE - RUTH'!K:K, MATCH(S127, 'NORTE - RUTH'!K:K, 0), )</f>
        <v>R - 126</v>
      </c>
      <c r="L127" s="242" t="str">
        <f t="array" ref="L127">INDEX('NORTE - RUTH'!L:L, MATCH(S127, 'NORTE - RUTH'!K:K, 0), )</f>
        <v>Otro</v>
      </c>
      <c r="M127" s="242" t="str">
        <f t="array" ref="M127">INDEX('NORTE - RUTH'!M:M, MATCH(S127, 'NORTE - RUTH'!K:K, 0), )</f>
        <v>Nivel 1</v>
      </c>
      <c r="N127" s="241">
        <f t="array" ref="N127">INDEX('NORTE - RUTH'!N:N, MATCH(S127, 'NORTE - RUTH'!K:K, 0), )</f>
        <v>0</v>
      </c>
      <c r="O127" s="241">
        <f t="array" ref="O127">INDEX('NORTE - RUTH'!O:O, MATCH(S127, 'NORTE - RUTH'!K:K, 0), )</f>
        <v>0</v>
      </c>
      <c r="P127" s="236">
        <v>-9.1305444444444444</v>
      </c>
      <c r="Q127" s="236">
        <v>-77.727461111111111</v>
      </c>
      <c r="R127" s="243" t="s">
        <v>1470</v>
      </c>
      <c r="S127" s="246" t="s">
        <v>1211</v>
      </c>
      <c r="U127" s="245"/>
    </row>
    <row r="128" spans="1:21" ht="17.25" customHeight="1">
      <c r="A128" s="236">
        <v>127</v>
      </c>
      <c r="B128" s="237" t="str">
        <f t="array" ref="B128">INDEX('NORTE - RUTH'!B:B, MATCH(S128, 'NORTE - RUTH'!K:K, 0), )</f>
        <v>Zaña</v>
      </c>
      <c r="C128" s="156" t="str">
        <f t="array" ref="C128">INDEX('NORTE - RUTH'!C:C, MATCH(S128, 'NORTE - RUTH'!K:K, 0), )</f>
        <v>Lambayeque</v>
      </c>
      <c r="D128" s="156" t="str">
        <f t="array" ref="D128">INDEX('NORTE - RUTH'!D:D, MATCH(S128, 'NORTE - RUTH'!K:K, 0), )</f>
        <v>FM</v>
      </c>
      <c r="E128" s="156">
        <f t="array" ref="E128">INDEX('NORTE - RUTH'!E:E, MATCH(S128, 'NORTE - RUTH'!K:K, 0), )</f>
        <v>107.3</v>
      </c>
      <c r="F128" s="156">
        <f t="array" ref="F128">INDEX('NORTE - RUTH'!F:F, MATCH(S128, 'NORTE - RUTH'!K:K, 0), )</f>
        <v>4</v>
      </c>
      <c r="G128" s="159" t="str">
        <f t="array" ref="G128">INDEX('NORTE - RUTH'!G:G, MATCH(S128, 'NORTE - RUTH'!K:K, 0), )</f>
        <v>A.A</v>
      </c>
      <c r="H128" s="238" t="str">
        <f t="array" ref="H128">INDEX('NORTE - RUTH'!H:H, MATCH(S128, 'NORTE - RUTH'!K:K, 0), )</f>
        <v>ZAÑA</v>
      </c>
      <c r="I128" s="239" t="str">
        <f t="array" ref="I128">INDEX('NORTE - RUTH'!I:I, MATCH(S128, 'NORTE - RUTH'!K:K, 0), )</f>
        <v>28/11/2025 - Sectoristas - Con fecha de ayer jueves 27 de noviembre el pastor envía audio evidenciando que la radio se encuentra operativa</v>
      </c>
      <c r="J128" s="240">
        <f t="array" ref="J128">INDEX('NORTE - RUTH'!J:J, MATCH(S128, 'NORTE - RUTH'!K:K, 0), )</f>
        <v>0</v>
      </c>
      <c r="K128" s="241" t="str">
        <f t="array" ref="K128">INDEX('NORTE - RUTH'!K:K, MATCH(S128, 'NORTE - RUTH'!K:K, 0), )</f>
        <v>R - 127</v>
      </c>
      <c r="L128" s="242" t="str">
        <f t="array" ref="L128">INDEX('NORTE - RUTH'!L:L, MATCH(S128, 'NORTE - RUTH'!K:K, 0), )</f>
        <v>Sectoristas</v>
      </c>
      <c r="M128" s="242" t="str">
        <f t="array" ref="M128">INDEX('NORTE - RUTH'!M:M, MATCH(S128, 'NORTE - RUTH'!K:K, 0), )</f>
        <v>Nivel 1</v>
      </c>
      <c r="N128" s="241">
        <f t="array" ref="N128">INDEX('NORTE - RUTH'!N:N, MATCH(S128, 'NORTE - RUTH'!K:K, 0), )</f>
        <v>0</v>
      </c>
      <c r="O128" s="241">
        <f t="array" ref="O128">INDEX('NORTE - RUTH'!O:O, MATCH(S128, 'NORTE - RUTH'!K:K, 0), )</f>
        <v>0</v>
      </c>
      <c r="P128" s="236">
        <v>-5.9055</v>
      </c>
      <c r="Q128" s="236">
        <v>-79.593055555555551</v>
      </c>
      <c r="R128" s="243" t="s">
        <v>1472</v>
      </c>
      <c r="S128" s="246" t="s">
        <v>1473</v>
      </c>
      <c r="U128" s="245"/>
    </row>
    <row r="129" spans="1:21" ht="17.25" customHeight="1">
      <c r="A129" s="236">
        <v>128</v>
      </c>
      <c r="B129" s="237" t="str">
        <f t="array" ref="B129">INDEX('NORTE - RUTH'!B:B, MATCH(S129, 'NORTE - RUTH'!K:K, 0), )</f>
        <v>Zarumilla</v>
      </c>
      <c r="C129" s="156" t="str">
        <f t="array" ref="C129">INDEX('NORTE - RUTH'!C:C, MATCH(S129, 'NORTE - RUTH'!K:K, 0), )</f>
        <v>Tumbes</v>
      </c>
      <c r="D129" s="156" t="str">
        <f t="array" ref="D129">INDEX('NORTE - RUTH'!D:D, MATCH(S129, 'NORTE - RUTH'!K:K, 0), )</f>
        <v>FM</v>
      </c>
      <c r="E129" s="156">
        <f t="array" ref="E129">INDEX('NORTE - RUTH'!E:E, MATCH(S129, 'NORTE - RUTH'!K:K, 0), )</f>
        <v>104.9</v>
      </c>
      <c r="F129" s="156">
        <f t="array" ref="F129">INDEX('NORTE - RUTH'!F:F, MATCH(S129, 'NORTE - RUTH'!K:K, 0), )</f>
        <v>61</v>
      </c>
      <c r="G129" s="159" t="str">
        <f t="array" ref="G129">INDEX('NORTE - RUTH'!G:G, MATCH(S129, 'NORTE - RUTH'!K:K, 0), )</f>
        <v>A.A</v>
      </c>
      <c r="H129" s="238" t="str">
        <f t="array" ref="H129">INDEX('NORTE - RUTH'!H:H, MATCH(S129, 'NORTE - RUTH'!K:K, 0), )</f>
        <v>ZARUMILLA</v>
      </c>
      <c r="I129" s="239" t="str">
        <f t="array" ref="I129">INDEX('NORTE - RUTH'!I:I, MATCH(S129, 'NORTE - RUTH'!K:K, 0), )</f>
        <v>9/10/2025 - Sectoristas - La estación volvió a estar operativa desde el día martes 07 de octubre, según lo comunicado por el técnico y el pastor local, la estación fue atendida por el técnico Lizandro, quien también realizo la reparación del transmisor.</v>
      </c>
      <c r="J129" s="240">
        <f t="array" ref="J129">INDEX('NORTE - RUTH'!J:J, MATCH(S129, 'NORTE - RUTH'!K:K, 0), )</f>
        <v>0</v>
      </c>
      <c r="K129" s="241" t="str">
        <f t="array" ref="K129">INDEX('NORTE - RUTH'!K:K, MATCH(S129, 'NORTE - RUTH'!K:K, 0), )</f>
        <v>R - 128</v>
      </c>
      <c r="L129" s="242">
        <f t="array" ref="L129">INDEX('NORTE - RUTH'!L:L, MATCH(S129, 'NORTE - RUTH'!K:K, 0), )</f>
        <v>0</v>
      </c>
      <c r="M129" s="242">
        <f t="array" ref="M129">INDEX('NORTE - RUTH'!M:M, MATCH(S129, 'NORTE - RUTH'!K:K, 0), )</f>
        <v>0</v>
      </c>
      <c r="N129" s="241">
        <f t="array" ref="N129">INDEX('NORTE - RUTH'!N:N, MATCH(S129, 'NORTE - RUTH'!K:K, 0), )</f>
        <v>0</v>
      </c>
      <c r="O129" s="241">
        <f t="array" ref="O129">INDEX('NORTE - RUTH'!O:O, MATCH(S129, 'NORTE - RUTH'!K:K, 0), )</f>
        <v>0</v>
      </c>
      <c r="P129" s="236">
        <v>-3.5002777777777778</v>
      </c>
      <c r="Q129" s="236">
        <v>-80.265766666666664</v>
      </c>
      <c r="R129" s="243" t="s">
        <v>1474</v>
      </c>
      <c r="S129" s="246" t="s">
        <v>1475</v>
      </c>
      <c r="U129" s="245"/>
    </row>
    <row r="130" spans="1:21" ht="17.25" customHeight="1">
      <c r="A130" s="236">
        <v>129</v>
      </c>
      <c r="B130" s="237" t="str">
        <f t="array" ref="B130">INDEX('NORTE - RUTH'!B:B, MATCH(S130, 'NORTE - RUTH'!K:K, 0), )</f>
        <v>Zorritos</v>
      </c>
      <c r="C130" s="156" t="str">
        <f t="array" ref="C130">INDEX('NORTE - RUTH'!C:C, MATCH(S130, 'NORTE - RUTH'!K:K, 0), )</f>
        <v>Tumbes</v>
      </c>
      <c r="D130" s="156" t="str">
        <f t="array" ref="D130">INDEX('NORTE - RUTH'!D:D, MATCH(S130, 'NORTE - RUTH'!K:K, 0), )</f>
        <v>FM</v>
      </c>
      <c r="E130" s="156">
        <f t="array" ref="E130">INDEX('NORTE - RUTH'!E:E, MATCH(S130, 'NORTE - RUTH'!K:K, 0), )</f>
        <v>103.3</v>
      </c>
      <c r="F130" s="156">
        <f t="array" ref="F130">INDEX('NORTE - RUTH'!F:F, MATCH(S130, 'NORTE - RUTH'!K:K, 0), )</f>
        <v>61</v>
      </c>
      <c r="G130" s="159" t="str">
        <f t="array" ref="G130">INDEX('NORTE - RUTH'!G:G, MATCH(S130, 'NORTE - RUTH'!K:K, 0), )</f>
        <v>A.A</v>
      </c>
      <c r="H130" s="238" t="str">
        <f t="array" ref="H130">INDEX('NORTE - RUTH'!H:H, MATCH(S130, 'NORTE - RUTH'!K:K, 0), )</f>
        <v>ZORRITOS</v>
      </c>
      <c r="I130" s="239" t="str">
        <f t="array" ref="I130">INDEX('NORTE - RUTH'!I:I, MATCH(S130, 'NORTE - RUTH'!K:K, 0), )</f>
        <v>28/11/2025 - Sectoristas - Con fecha de ayer 27 de noviembre el pastor local envia video donde se puede evidenciar que la radio se encuentra operativa, revisar si el audio que sale es de tv o radio.</v>
      </c>
      <c r="J130" s="240">
        <f t="array" ref="J130">INDEX('NORTE - RUTH'!J:J, MATCH(S130, 'NORTE - RUTH'!K:K, 0), )</f>
        <v>0</v>
      </c>
      <c r="K130" s="241" t="str">
        <f t="array" ref="K130">INDEX('NORTE - RUTH'!K:K, MATCH(S130, 'NORTE - RUTH'!K:K, 0), )</f>
        <v>R - 129</v>
      </c>
      <c r="L130" s="242" t="str">
        <f t="array" ref="L130">INDEX('NORTE - RUTH'!L:L, MATCH(S130, 'NORTE - RUTH'!K:K, 0), )</f>
        <v>Sectoristas</v>
      </c>
      <c r="M130" s="242" t="str">
        <f t="array" ref="M130">INDEX('NORTE - RUTH'!M:M, MATCH(S130, 'NORTE - RUTH'!K:K, 0), )</f>
        <v>Nivel 1</v>
      </c>
      <c r="N130" s="241">
        <f t="array" ref="N130">INDEX('NORTE - RUTH'!N:N, MATCH(S130, 'NORTE - RUTH'!K:K, 0), )</f>
        <v>0</v>
      </c>
      <c r="O130" s="241">
        <f t="array" ref="O130">INDEX('NORTE - RUTH'!O:O, MATCH(S130, 'NORTE - RUTH'!K:K, 0), )</f>
        <v>0</v>
      </c>
      <c r="P130" s="236">
        <v>-3.6872527777777782</v>
      </c>
      <c r="Q130" s="236">
        <v>-80.679444444444442</v>
      </c>
      <c r="R130" s="243" t="s">
        <v>1476</v>
      </c>
      <c r="S130" s="246" t="s">
        <v>1477</v>
      </c>
      <c r="U130" s="245"/>
    </row>
    <row r="131" spans="1:21" ht="17.25" customHeight="1">
      <c r="A131" s="236">
        <v>130</v>
      </c>
      <c r="B131" s="249" t="str">
        <f t="array" ref="B131">INDEX('CENTRO - CESAR'!B:B, MATCH(S131, 'CENTRO - CESAR'!K:K, 0), )</f>
        <v>Acobamba</v>
      </c>
      <c r="C131" s="156" t="str">
        <f t="array" ref="C131">INDEX('CENTRO - CESAR'!C:C, MATCH(S131, 'CENTRO - CESAR'!K:K, 0), )</f>
        <v>Huancavelica</v>
      </c>
      <c r="D131" s="156" t="str">
        <f t="array" ref="D131">INDEX('CENTRO - CESAR'!D:D, MATCH(S131, 'CENTRO - CESAR'!K:K, 0), )</f>
        <v>FM</v>
      </c>
      <c r="E131" s="156">
        <f t="array" ref="E131">INDEX('CENTRO - CESAR'!E:E, MATCH(S131, 'CENTRO - CESAR'!K:K, 0), )</f>
        <v>101.9</v>
      </c>
      <c r="F131" s="156">
        <f t="array" ref="F131">INDEX('CENTRO - CESAR'!F:F, MATCH(S131, 'CENTRO - CESAR'!K:K, 0), )</f>
        <v>63</v>
      </c>
      <c r="G131" s="159" t="str">
        <f t="array" ref="G131">INDEX('CENTRO - CESAR'!G:G, MATCH(S131, 'CENTRO - CESAR'!K:K, 0), )</f>
        <v>A.A</v>
      </c>
      <c r="H131" s="238" t="str">
        <f t="array" ref="H131">INDEX('CENTRO - CESAR'!H:H, MATCH(S131, 'CENTRO - CESAR'!K:K, 0), )</f>
        <v>ACOBAMBA</v>
      </c>
      <c r="I131" s="239" t="str">
        <f t="array" ref="I131">INDEX('CENTRO - CESAR'!I:I, MATCH(S131, 'CENTRO - CESAR'!K:K, 0), )</f>
        <v>29/10/2025 - Sectoristas - Operativo de acuerdo a lo informado por el presbítero</v>
      </c>
      <c r="J131" s="240" t="str">
        <f t="array" ref="J131">INDEX('CENTRO - CESAR'!J:J, MATCH(S131, 'CENTRO - CESAR'!K:K, 0), )</f>
        <v>987 703 995</v>
      </c>
      <c r="K131" s="156" t="str">
        <f t="array" ref="K131">INDEX('CENTRO - CESAR'!K:K, MATCH(S131, 'CENTRO - CESAR'!K:K, 0), )</f>
        <v>C - 1</v>
      </c>
      <c r="L131" s="250">
        <f t="array" ref="L131">INDEX('CENTRO - CESAR'!L:L, MATCH(S131, 'CENTRO - CESAR'!K:K, 0), )</f>
        <v>0</v>
      </c>
      <c r="M131" s="251">
        <f t="array" ref="M131">INDEX('CENTRO - CESAR'!M:M, MATCH(S131, 'CENTRO - CESAR'!K:K, 0), )</f>
        <v>0</v>
      </c>
      <c r="N131" s="252">
        <f t="array" ref="N131">INDEX('CENTRO - CESAR'!N:N, MATCH(S131, 'CENTRO - CESAR'!K:K, 0), )</f>
        <v>0</v>
      </c>
      <c r="O131" s="253">
        <f t="array" ref="O131">INDEX('CENTRO - CESAR'!O:O, MATCH(S131, 'CENTRO - CESAR'!K:K, 0), )</f>
        <v>0</v>
      </c>
      <c r="P131" s="236">
        <v>-12.847555555555557</v>
      </c>
      <c r="Q131" s="236">
        <v>-74.580194444444444</v>
      </c>
      <c r="R131" s="243" t="s">
        <v>1478</v>
      </c>
      <c r="S131" s="246" t="s">
        <v>1479</v>
      </c>
      <c r="U131" s="245"/>
    </row>
    <row r="132" spans="1:21" ht="17.25" customHeight="1">
      <c r="A132" s="236">
        <v>131</v>
      </c>
      <c r="B132" s="249" t="str">
        <f t="array" ref="B132">INDEX('CENTRO - CESAR'!B:B, MATCH(S132, 'CENTRO - CESAR'!K:K, 0), )</f>
        <v>Acobamba</v>
      </c>
      <c r="C132" s="156" t="str">
        <f t="array" ref="C132">INDEX('CENTRO - CESAR'!C:C, MATCH(S132, 'CENTRO - CESAR'!K:K, 0), )</f>
        <v>Junin</v>
      </c>
      <c r="D132" s="156" t="str">
        <f t="array" ref="D132">INDEX('CENTRO - CESAR'!D:D, MATCH(S132, 'CENTRO - CESAR'!K:K, 0), )</f>
        <v>FM</v>
      </c>
      <c r="E132" s="156">
        <f t="array" ref="E132">INDEX('CENTRO - CESAR'!E:E, MATCH(S132, 'CENTRO - CESAR'!K:K, 0), )</f>
        <v>98.9</v>
      </c>
      <c r="F132" s="156">
        <f t="array" ref="F132">INDEX('CENTRO - CESAR'!F:F, MATCH(S132, 'CENTRO - CESAR'!K:K, 0), )</f>
        <v>76</v>
      </c>
      <c r="G132" s="159" t="str">
        <f t="array" ref="G132">INDEX('CENTRO - CESAR'!G:G, MATCH(S132, 'CENTRO - CESAR'!K:K, 0), )</f>
        <v>A.A</v>
      </c>
      <c r="H132" s="238" t="str">
        <f t="array" ref="H132">INDEX('CENTRO - CESAR'!H:H, MATCH(S132, 'CENTRO - CESAR'!K:K, 0), )</f>
        <v>ACOBAMBA</v>
      </c>
      <c r="I132" s="239" t="str">
        <f t="array" ref="I132">INDEX('CENTRO - CESAR'!I:I, MATCH(S132, 'CENTRO - CESAR'!K:K, 0), )</f>
        <v>30/10/2025 - Sectoristas - Operativo de acuerdo a lo informado por el pastor de la zona</v>
      </c>
      <c r="J132" s="240" t="str">
        <f t="array" ref="J132">INDEX('CENTRO - CESAR'!J:J, MATCH(S132, 'CENTRO - CESAR'!K:K, 0), )</f>
        <v>918 804 044</v>
      </c>
      <c r="K132" s="156" t="str">
        <f t="array" ref="K132">INDEX('CENTRO - CESAR'!K:K, MATCH(S132, 'CENTRO - CESAR'!K:K, 0), )</f>
        <v>C - 2</v>
      </c>
      <c r="L132" s="250">
        <f t="array" ref="L132">INDEX('CENTRO - CESAR'!L:L, MATCH(S132, 'CENTRO - CESAR'!K:K, 0), )</f>
        <v>0</v>
      </c>
      <c r="M132" s="251">
        <f t="array" ref="M132">INDEX('CENTRO - CESAR'!M:M, MATCH(S132, 'CENTRO - CESAR'!K:K, 0), )</f>
        <v>0</v>
      </c>
      <c r="N132" s="252">
        <f t="array" ref="N132">INDEX('CENTRO - CESAR'!N:N, MATCH(S132, 'CENTRO - CESAR'!K:K, 0), )</f>
        <v>0</v>
      </c>
      <c r="O132" s="253">
        <f t="array" ref="O132">INDEX('CENTRO - CESAR'!O:O, MATCH(S132, 'CENTRO - CESAR'!K:K, 0), )</f>
        <v>0</v>
      </c>
      <c r="P132" s="236">
        <v>-11.351602777777778</v>
      </c>
      <c r="Q132" s="236">
        <v>-75.662977777777783</v>
      </c>
      <c r="R132" s="243" t="s">
        <v>1480</v>
      </c>
      <c r="S132" s="246" t="s">
        <v>1481</v>
      </c>
      <c r="U132" s="245"/>
    </row>
    <row r="133" spans="1:21" ht="17.25" customHeight="1">
      <c r="A133" s="236">
        <v>132</v>
      </c>
      <c r="B133" s="249" t="str">
        <f t="array" ref="B133">INDEX('CENTRO - CESAR'!B:B, MATCH(S133, 'CENTRO - CESAR'!K:K, 0), )</f>
        <v>Aguaytia -Padre Abad</v>
      </c>
      <c r="C133" s="156" t="str">
        <f t="array" ref="C133">INDEX('CENTRO - CESAR'!C:C, MATCH(S133, 'CENTRO - CESAR'!K:K, 0), )</f>
        <v>Ucayali</v>
      </c>
      <c r="D133" s="156" t="str">
        <f t="array" ref="D133">INDEX('CENTRO - CESAR'!D:D, MATCH(S133, 'CENTRO - CESAR'!K:K, 0), )</f>
        <v>FM</v>
      </c>
      <c r="E133" s="156">
        <f t="array" ref="E133">INDEX('CENTRO - CESAR'!E:E, MATCH(S133, 'CENTRO - CESAR'!K:K, 0), )</f>
        <v>102.1</v>
      </c>
      <c r="F133" s="156">
        <f t="array" ref="F133">INDEX('CENTRO - CESAR'!F:F, MATCH(S133, 'CENTRO - CESAR'!K:K, 0), )</f>
        <v>72</v>
      </c>
      <c r="G133" s="159" t="str">
        <f t="array" ref="G133">INDEX('CENTRO - CESAR'!G:G, MATCH(S133, 'CENTRO - CESAR'!K:K, 0), )</f>
        <v>A.A</v>
      </c>
      <c r="H133" s="238" t="str">
        <f t="array" ref="H133">INDEX('CENTRO - CESAR'!H:H, MATCH(S133, 'CENTRO - CESAR'!K:K, 0), )</f>
        <v>AGUAYTIA</v>
      </c>
      <c r="I133" s="239" t="str">
        <f t="array" ref="I133">INDEX('CENTRO - CESAR'!I:I, MATCH(S133, 'CENTRO - CESAR'!K:K, 0), )</f>
        <v>17/11/2025 - Ingeniería - Con el apoyo del ps. Nolasco, se visitó la estación realizando mantenimiento al tx y sistema satelital. La estación está nuevamente al aire.</v>
      </c>
      <c r="J133" s="240">
        <f t="array" ref="J133">INDEX('CENTRO - CESAR'!J:J, MATCH(S133, 'CENTRO - CESAR'!K:K, 0), )</f>
        <v>0</v>
      </c>
      <c r="K133" s="156" t="str">
        <f t="array" ref="K133">INDEX('CENTRO - CESAR'!K:K, MATCH(S133, 'CENTRO - CESAR'!K:K, 0), )</f>
        <v>C - 3</v>
      </c>
      <c r="L133" s="250">
        <f t="array" ref="L133">INDEX('CENTRO - CESAR'!L:L, MATCH(S133, 'CENTRO - CESAR'!K:K, 0), )</f>
        <v>0</v>
      </c>
      <c r="M133" s="251">
        <f t="array" ref="M133">INDEX('CENTRO - CESAR'!M:M, MATCH(S133, 'CENTRO - CESAR'!K:K, 0), )</f>
        <v>0</v>
      </c>
      <c r="N133" s="252">
        <f t="array" ref="N133">INDEX('CENTRO - CESAR'!N:N, MATCH(S133, 'CENTRO - CESAR'!K:K, 0), )</f>
        <v>0</v>
      </c>
      <c r="O133" s="253">
        <f t="array" ref="O133">INDEX('CENTRO - CESAR'!O:O, MATCH(S133, 'CENTRO - CESAR'!K:K, 0), )</f>
        <v>0</v>
      </c>
      <c r="P133" s="236">
        <v>-9.0348055555555558</v>
      </c>
      <c r="Q133" s="236">
        <v>-75.516638888888892</v>
      </c>
      <c r="R133" s="243" t="s">
        <v>1482</v>
      </c>
      <c r="S133" s="246" t="s">
        <v>1483</v>
      </c>
      <c r="U133" s="245"/>
    </row>
    <row r="134" spans="1:21" ht="17.25" customHeight="1">
      <c r="A134" s="236">
        <v>133</v>
      </c>
      <c r="B134" s="249" t="str">
        <f t="array" ref="B134">INDEX('CENTRO - CESAR'!B:B, MATCH(S134, 'CENTRO - CESAR'!K:K, 0), )</f>
        <v>Ambo</v>
      </c>
      <c r="C134" s="156" t="str">
        <f t="array" ref="C134">INDEX('CENTRO - CESAR'!C:C, MATCH(S134, 'CENTRO - CESAR'!K:K, 0), )</f>
        <v>Huanuco</v>
      </c>
      <c r="D134" s="156" t="str">
        <f t="array" ref="D134">INDEX('CENTRO - CESAR'!D:D, MATCH(S134, 'CENTRO - CESAR'!K:K, 0), )</f>
        <v>FM</v>
      </c>
      <c r="E134" s="156">
        <f t="array" ref="E134">INDEX('CENTRO - CESAR'!E:E, MATCH(S134, 'CENTRO - CESAR'!K:K, 0), )</f>
        <v>102.1</v>
      </c>
      <c r="F134" s="156">
        <f t="array" ref="F134">INDEX('CENTRO - CESAR'!F:F, MATCH(S134, 'CENTRO - CESAR'!K:K, 0), )</f>
        <v>87</v>
      </c>
      <c r="G134" s="159" t="str">
        <f t="array" ref="G134">INDEX('CENTRO - CESAR'!G:G, MATCH(S134, 'CENTRO - CESAR'!K:K, 0), )</f>
        <v>A.A</v>
      </c>
      <c r="H134" s="238" t="str">
        <f t="array" ref="H134">INDEX('CENTRO - CESAR'!H:H, MATCH(S134, 'CENTRO - CESAR'!K:K, 0), )</f>
        <v>AMBO</v>
      </c>
      <c r="I134" s="239" t="str">
        <f t="array" ref="I134">INDEX('CENTRO - CESAR'!I:I, MATCH(S134, 'CENTRO - CESAR'!K:K, 0), )</f>
        <v>30/10/2025 - Sectoristas - Operativo de acuerdo a lo informado por el pastor Nolasco Ponciano, de la zona opera las 24 horas del día</v>
      </c>
      <c r="J134" s="240">
        <f t="array" ref="J134">INDEX('CENTRO - CESAR'!J:J, MATCH(S134, 'CENTRO - CESAR'!K:K, 0), )</f>
        <v>0</v>
      </c>
      <c r="K134" s="156" t="str">
        <f t="array" ref="K134">INDEX('CENTRO - CESAR'!K:K, MATCH(S134, 'CENTRO - CESAR'!K:K, 0), )</f>
        <v>C - 4</v>
      </c>
      <c r="L134" s="250">
        <f t="array" ref="L134">INDEX('CENTRO - CESAR'!L:L, MATCH(S134, 'CENTRO - CESAR'!K:K, 0), )</f>
        <v>0</v>
      </c>
      <c r="M134" s="251">
        <f t="array" ref="M134">INDEX('CENTRO - CESAR'!M:M, MATCH(S134, 'CENTRO - CESAR'!K:K, 0), )</f>
        <v>0</v>
      </c>
      <c r="N134" s="252">
        <f t="array" ref="N134">INDEX('CENTRO - CESAR'!N:N, MATCH(S134, 'CENTRO - CESAR'!K:K, 0), )</f>
        <v>0</v>
      </c>
      <c r="O134" s="253">
        <f t="array" ref="O134">INDEX('CENTRO - CESAR'!O:O, MATCH(S134, 'CENTRO - CESAR'!K:K, 0), )</f>
        <v>0</v>
      </c>
      <c r="P134" s="236">
        <v>-10.129166666666666</v>
      </c>
      <c r="Q134" s="236">
        <v>-76.197613888888895</v>
      </c>
      <c r="R134" s="243" t="s">
        <v>1484</v>
      </c>
      <c r="S134" s="246" t="s">
        <v>1485</v>
      </c>
      <c r="U134" s="245"/>
    </row>
    <row r="135" spans="1:21" ht="17.25" customHeight="1">
      <c r="A135" s="236">
        <v>134</v>
      </c>
      <c r="B135" s="249" t="str">
        <f t="array" ref="B135">INDEX('CENTRO - CESAR'!B:B, MATCH(S135, 'CENTRO - CESAR'!K:K, 0), )</f>
        <v>Andajes</v>
      </c>
      <c r="C135" s="156" t="str">
        <f t="array" ref="C135">INDEX('CENTRO - CESAR'!C:C, MATCH(S135, 'CENTRO - CESAR'!K:K, 0), )</f>
        <v>Lima</v>
      </c>
      <c r="D135" s="156" t="str">
        <f t="array" ref="D135">INDEX('CENTRO - CESAR'!D:D, MATCH(S135, 'CENTRO - CESAR'!K:K, 0), )</f>
        <v>FM</v>
      </c>
      <c r="E135" s="156">
        <f t="array" ref="E135">INDEX('CENTRO - CESAR'!E:E, MATCH(S135, 'CENTRO - CESAR'!K:K, 0), )</f>
        <v>103.1</v>
      </c>
      <c r="F135" s="156">
        <f t="array" ref="F135">INDEX('CENTRO - CESAR'!F:F, MATCH(S135, 'CENTRO - CESAR'!K:K, 0), )</f>
        <v>147</v>
      </c>
      <c r="G135" s="159" t="str">
        <f t="array" ref="G135">INDEX('CENTRO - CESAR'!G:G, MATCH(S135, 'CENTRO - CESAR'!K:K, 0), )</f>
        <v>A.A</v>
      </c>
      <c r="H135" s="238" t="str">
        <f t="array" ref="H135">INDEX('CENTRO - CESAR'!H:H, MATCH(S135, 'CENTRO - CESAR'!K:K, 0), )</f>
        <v>ANDAJES</v>
      </c>
      <c r="I135" s="239" t="str">
        <f t="array" ref="I135">INDEX('CENTRO - CESAR'!I:I, MATCH(S135, 'CENTRO - CESAR'!K:K, 0), )</f>
        <v>12/11/2025 - Sectoristas - El día de hoy miércoles 12 de noviembre el hno Israel quien estuvo en la localidad en la atención técnica junto al hno Lizandro confirma que dejo la estación operativa</v>
      </c>
      <c r="J135" s="240">
        <f t="array" ref="J135">INDEX('CENTRO - CESAR'!J:J, MATCH(S135, 'CENTRO - CESAR'!K:K, 0), )</f>
        <v>0</v>
      </c>
      <c r="K135" s="156" t="str">
        <f t="array" ref="K135">INDEX('CENTRO - CESAR'!K:K, MATCH(S135, 'CENTRO - CESAR'!K:K, 0), )</f>
        <v>C - 5</v>
      </c>
      <c r="L135" s="250">
        <f t="array" ref="L135">INDEX('CENTRO - CESAR'!L:L, MATCH(S135, 'CENTRO - CESAR'!K:K, 0), )</f>
        <v>0</v>
      </c>
      <c r="M135" s="251">
        <f t="array" ref="M135">INDEX('CENTRO - CESAR'!M:M, MATCH(S135, 'CENTRO - CESAR'!K:K, 0), )</f>
        <v>0</v>
      </c>
      <c r="N135" s="252">
        <f t="array" ref="N135">INDEX('CENTRO - CESAR'!N:N, MATCH(S135, 'CENTRO - CESAR'!K:K, 0), )</f>
        <v>0</v>
      </c>
      <c r="O135" s="253">
        <f t="array" ref="O135">INDEX('CENTRO - CESAR'!O:O, MATCH(S135, 'CENTRO - CESAR'!K:K, 0), )</f>
        <v>0</v>
      </c>
      <c r="P135" s="236">
        <v>-10.790749999999999</v>
      </c>
      <c r="Q135" s="236">
        <v>-76.91402777777779</v>
      </c>
      <c r="R135" s="243" t="s">
        <v>1486</v>
      </c>
      <c r="S135" s="246" t="s">
        <v>1487</v>
      </c>
      <c r="U135" s="245"/>
    </row>
    <row r="136" spans="1:21" ht="17.25" customHeight="1">
      <c r="A136" s="236">
        <v>135</v>
      </c>
      <c r="B136" s="249" t="str">
        <f t="array" ref="B136">INDEX('CENTRO - CESAR'!B:B, MATCH(S136, 'CENTRO - CESAR'!K:K, 0), )</f>
        <v>Andamarca</v>
      </c>
      <c r="C136" s="156" t="str">
        <f t="array" ref="C136">INDEX('CENTRO - CESAR'!C:C, MATCH(S136, 'CENTRO - CESAR'!K:K, 0), )</f>
        <v>Junín</v>
      </c>
      <c r="D136" s="156" t="str">
        <f t="array" ref="D136">INDEX('CENTRO - CESAR'!D:D, MATCH(S136, 'CENTRO - CESAR'!K:K, 0), )</f>
        <v>FM</v>
      </c>
      <c r="E136" s="156">
        <f t="array" ref="E136">INDEX('CENTRO - CESAR'!E:E, MATCH(S136, 'CENTRO - CESAR'!K:K, 0), )</f>
        <v>91.7</v>
      </c>
      <c r="F136" s="156">
        <f t="array" ref="F136">INDEX('CENTRO - CESAR'!F:F, MATCH(S136, 'CENTRO - CESAR'!K:K, 0), )</f>
        <v>0</v>
      </c>
      <c r="G136" s="159" t="str">
        <f t="array" ref="G136">INDEX('CENTRO - CESAR'!G:G, MATCH(S136, 'CENTRO - CESAR'!K:K, 0), )</f>
        <v>N.I</v>
      </c>
      <c r="H136" s="238" t="str">
        <f t="array" ref="H136">INDEX('CENTRO - CESAR'!H:H, MATCH(S136, 'CENTRO - CESAR'!K:K, 0), )</f>
        <v>ANDAMARCA</v>
      </c>
      <c r="I136" s="239">
        <f t="array" ref="I136">INDEX('CENTRO - CESAR'!I:I, MATCH(S136, 'CENTRO - CESAR'!K:K, 0), )</f>
        <v>0</v>
      </c>
      <c r="J136" s="240">
        <f t="array" ref="J136">INDEX('CENTRO - CESAR'!J:J, MATCH(S136, 'CENTRO - CESAR'!K:K, 0), )</f>
        <v>0</v>
      </c>
      <c r="K136" s="156" t="str">
        <f t="array" ref="K136">INDEX('CENTRO - CESAR'!K:K, MATCH(S136, 'CENTRO - CESAR'!K:K, 0), )</f>
        <v>C - 6</v>
      </c>
      <c r="L136" s="250">
        <f t="array" ref="L136">INDEX('CENTRO - CESAR'!L:L, MATCH(S136, 'CENTRO - CESAR'!K:K, 0), )</f>
        <v>0</v>
      </c>
      <c r="M136" s="251">
        <f t="array" ref="M136">INDEX('CENTRO - CESAR'!M:M, MATCH(S136, 'CENTRO - CESAR'!K:K, 0), )</f>
        <v>0</v>
      </c>
      <c r="N136" s="252">
        <f t="array" ref="N136">INDEX('CENTRO - CESAR'!N:N, MATCH(S136, 'CENTRO - CESAR'!K:K, 0), )</f>
        <v>0</v>
      </c>
      <c r="O136" s="253">
        <f t="array" ref="O136">INDEX('CENTRO - CESAR'!O:O, MATCH(S136, 'CENTRO - CESAR'!K:K, 0), )</f>
        <v>0</v>
      </c>
      <c r="R136" s="248"/>
      <c r="S136" s="246" t="s">
        <v>1488</v>
      </c>
      <c r="U136" s="245"/>
    </row>
    <row r="137" spans="1:21" ht="17.25" customHeight="1">
      <c r="A137" s="236">
        <v>136</v>
      </c>
      <c r="B137" s="249" t="str">
        <f t="array" ref="B137">INDEX('CENTRO - CESAR'!B:B, MATCH(S137, 'CENTRO - CESAR'!K:K, 0), )</f>
        <v>Arancay</v>
      </c>
      <c r="C137" s="156" t="str">
        <f t="array" ref="C137">INDEX('CENTRO - CESAR'!C:C, MATCH(S137, 'CENTRO - CESAR'!K:K, 0), )</f>
        <v>Huanuco</v>
      </c>
      <c r="D137" s="156" t="str">
        <f t="array" ref="D137">INDEX('CENTRO - CESAR'!D:D, MATCH(S137, 'CENTRO - CESAR'!K:K, 0), )</f>
        <v>FM</v>
      </c>
      <c r="E137" s="156">
        <f t="array" ref="E137">INDEX('CENTRO - CESAR'!E:E, MATCH(S137, 'CENTRO - CESAR'!K:K, 0), )</f>
        <v>96.9</v>
      </c>
      <c r="F137" s="156">
        <f t="array" ref="F137">INDEX('CENTRO - CESAR'!F:F, MATCH(S137, 'CENTRO - CESAR'!K:K, 0), )</f>
        <v>70</v>
      </c>
      <c r="G137" s="159" t="str">
        <f t="array" ref="G137">INDEX('CENTRO - CESAR'!G:G, MATCH(S137, 'CENTRO - CESAR'!K:K, 0), )</f>
        <v>N.I</v>
      </c>
      <c r="H137" s="238" t="str">
        <f t="array" ref="H137">INDEX('CENTRO - CESAR'!H:H, MATCH(S137, 'CENTRO - CESAR'!K:K, 0), )</f>
        <v>ARANCAY</v>
      </c>
      <c r="I137" s="239">
        <f t="array" ref="I137">INDEX('CENTRO - CESAR'!I:I, MATCH(S137, 'CENTRO - CESAR'!K:K, 0), )</f>
        <v>0</v>
      </c>
      <c r="J137" s="240">
        <f t="array" ref="J137">INDEX('CENTRO - CESAR'!J:J, MATCH(S137, 'CENTRO - CESAR'!K:K, 0), )</f>
        <v>0</v>
      </c>
      <c r="K137" s="156" t="str">
        <f t="array" ref="K137">INDEX('CENTRO - CESAR'!K:K, MATCH(S137, 'CENTRO - CESAR'!K:K, 0), )</f>
        <v>C - 7</v>
      </c>
      <c r="L137" s="250">
        <f t="array" ref="L137">INDEX('CENTRO - CESAR'!L:L, MATCH(S137, 'CENTRO - CESAR'!K:K, 0), )</f>
        <v>0</v>
      </c>
      <c r="M137" s="251">
        <f t="array" ref="M137">INDEX('CENTRO - CESAR'!M:M, MATCH(S137, 'CENTRO - CESAR'!K:K, 0), )</f>
        <v>0</v>
      </c>
      <c r="N137" s="252">
        <f t="array" ref="N137">INDEX('CENTRO - CESAR'!N:N, MATCH(S137, 'CENTRO - CESAR'!K:K, 0), )</f>
        <v>0</v>
      </c>
      <c r="O137" s="253">
        <f t="array" ref="O137">INDEX('CENTRO - CESAR'!O:O, MATCH(S137, 'CENTRO - CESAR'!K:K, 0), )</f>
        <v>0</v>
      </c>
      <c r="R137" s="248"/>
      <c r="S137" s="246" t="s">
        <v>1489</v>
      </c>
      <c r="U137" s="245"/>
    </row>
    <row r="138" spans="1:21" ht="17.25" customHeight="1">
      <c r="A138" s="236">
        <v>137</v>
      </c>
      <c r="B138" s="249" t="str">
        <f t="array" ref="B138">INDEX('CENTRO - CESAR'!B:B, MATCH(S138, 'CENTRO - CESAR'!K:K, 0), )</f>
        <v>Atalaya - Raymondi</v>
      </c>
      <c r="C138" s="156" t="str">
        <f t="array" ref="C138">INDEX('CENTRO - CESAR'!C:C, MATCH(S138, 'CENTRO - CESAR'!K:K, 0), )</f>
        <v>Ucayali</v>
      </c>
      <c r="D138" s="156" t="str">
        <f t="array" ref="D138">INDEX('CENTRO - CESAR'!D:D, MATCH(S138, 'CENTRO - CESAR'!K:K, 0), )</f>
        <v>FM</v>
      </c>
      <c r="E138" s="156">
        <f t="array" ref="E138">INDEX('CENTRO - CESAR'!E:E, MATCH(S138, 'CENTRO - CESAR'!K:K, 0), )</f>
        <v>96.1</v>
      </c>
      <c r="F138" s="156">
        <f t="array" ref="F138">INDEX('CENTRO - CESAR'!F:F, MATCH(S138, 'CENTRO - CESAR'!K:K, 0), )</f>
        <v>155</v>
      </c>
      <c r="G138" s="159" t="str">
        <f t="array" ref="G138">INDEX('CENTRO - CESAR'!G:G, MATCH(S138, 'CENTRO - CESAR'!K:K, 0), )</f>
        <v>A.A</v>
      </c>
      <c r="H138" s="238" t="str">
        <f t="array" ref="H138">INDEX('CENTRO - CESAR'!H:H, MATCH(S138, 'CENTRO - CESAR'!K:K, 0), )</f>
        <v>ATALAYA</v>
      </c>
      <c r="I138" s="239" t="str">
        <f t="array" ref="I138">INDEX('CENTRO - CESAR'!I:I, MATCH(S138, 'CENTRO - CESAR'!K:K, 0), )</f>
        <v>21/10/2025 - Sectoristas - Operativo de acuerdo a lo informado por el pastor de la zona</v>
      </c>
      <c r="J138" s="240">
        <f t="array" ref="J138">INDEX('CENTRO - CESAR'!J:J, MATCH(S138, 'CENTRO - CESAR'!K:K, 0), )</f>
        <v>0</v>
      </c>
      <c r="K138" s="156" t="str">
        <f t="array" ref="K138">INDEX('CENTRO - CESAR'!K:K, MATCH(S138, 'CENTRO - CESAR'!K:K, 0), )</f>
        <v>C - 8</v>
      </c>
      <c r="L138" s="250">
        <f t="array" ref="L138">INDEX('CENTRO - CESAR'!L:L, MATCH(S138, 'CENTRO - CESAR'!K:K, 0), )</f>
        <v>0</v>
      </c>
      <c r="M138" s="251">
        <f t="array" ref="M138">INDEX('CENTRO - CESAR'!M:M, MATCH(S138, 'CENTRO - CESAR'!K:K, 0), )</f>
        <v>0</v>
      </c>
      <c r="N138" s="252">
        <f t="array" ref="N138">INDEX('CENTRO - CESAR'!N:N, MATCH(S138, 'CENTRO - CESAR'!K:K, 0), )</f>
        <v>0</v>
      </c>
      <c r="O138" s="253">
        <f t="array" ref="O138">INDEX('CENTRO - CESAR'!O:O, MATCH(S138, 'CENTRO - CESAR'!K:K, 0), )</f>
        <v>0</v>
      </c>
      <c r="P138" s="236">
        <v>-10.739805555555554</v>
      </c>
      <c r="Q138" s="236">
        <v>-73.758861111111116</v>
      </c>
      <c r="R138" s="243" t="s">
        <v>1490</v>
      </c>
      <c r="S138" s="246" t="s">
        <v>1491</v>
      </c>
      <c r="U138" s="245"/>
    </row>
    <row r="139" spans="1:21" ht="17.25" customHeight="1">
      <c r="A139" s="236">
        <v>138</v>
      </c>
      <c r="B139" s="249" t="str">
        <f t="array" ref="B139">INDEX('CENTRO - CESAR'!B:B, MATCH(S139, 'CENTRO - CESAR'!K:K, 0), )</f>
        <v>Aucara</v>
      </c>
      <c r="C139" s="156" t="str">
        <f t="array" ref="C139">INDEX('CENTRO - CESAR'!C:C, MATCH(S139, 'CENTRO - CESAR'!K:K, 0), )</f>
        <v>Ayacucho</v>
      </c>
      <c r="D139" s="156" t="str">
        <f t="array" ref="D139">INDEX('CENTRO - CESAR'!D:D, MATCH(S139, 'CENTRO - CESAR'!K:K, 0), )</f>
        <v>FM</v>
      </c>
      <c r="E139" s="156">
        <f t="array" ref="E139">INDEX('CENTRO - CESAR'!E:E, MATCH(S139, 'CENTRO - CESAR'!K:K, 0), )</f>
        <v>101.7</v>
      </c>
      <c r="F139" s="156">
        <f t="array" ref="F139">INDEX('CENTRO - CESAR'!F:F, MATCH(S139, 'CENTRO - CESAR'!K:K, 0), )</f>
        <v>99</v>
      </c>
      <c r="G139" s="159" t="str">
        <f t="array" ref="G139">INDEX('CENTRO - CESAR'!G:G, MATCH(S139, 'CENTRO - CESAR'!K:K, 0), )</f>
        <v>A.A</v>
      </c>
      <c r="H139" s="238" t="str">
        <f t="array" ref="H139">INDEX('CENTRO - CESAR'!H:H, MATCH(S139, 'CENTRO - CESAR'!K:K, 0), )</f>
        <v>AUCARA</v>
      </c>
      <c r="I139" s="239" t="str">
        <f t="array" ref="I139">INDEX('CENTRO - CESAR'!I:I, MATCH(S139, 'CENTRO - CESAR'!K:K, 0), )</f>
        <v>30/10/2025 - Sectoristas - Operativo de acuerdo a lo informado por el pasto de la zona (04 am a 11 am - 05 pm a 10 pm)</v>
      </c>
      <c r="J139" s="240">
        <f t="array" ref="J139">INDEX('CENTRO - CESAR'!J:J, MATCH(S139, 'CENTRO - CESAR'!K:K, 0), )</f>
        <v>0</v>
      </c>
      <c r="K139" s="156" t="str">
        <f t="array" ref="K139">INDEX('CENTRO - CESAR'!K:K, MATCH(S139, 'CENTRO - CESAR'!K:K, 0), )</f>
        <v>C - 9</v>
      </c>
      <c r="L139" s="250">
        <f t="array" ref="L139">INDEX('CENTRO - CESAR'!L:L, MATCH(S139, 'CENTRO - CESAR'!K:K, 0), )</f>
        <v>0</v>
      </c>
      <c r="M139" s="251">
        <f t="array" ref="M139">INDEX('CENTRO - CESAR'!M:M, MATCH(S139, 'CENTRO - CESAR'!K:K, 0), )</f>
        <v>0</v>
      </c>
      <c r="N139" s="252">
        <f t="array" ref="N139">INDEX('CENTRO - CESAR'!N:N, MATCH(S139, 'CENTRO - CESAR'!K:K, 0), )</f>
        <v>0</v>
      </c>
      <c r="O139" s="253">
        <f t="array" ref="O139">INDEX('CENTRO - CESAR'!O:O, MATCH(S139, 'CENTRO - CESAR'!K:K, 0), )</f>
        <v>0</v>
      </c>
      <c r="P139" s="236">
        <v>-14.27975</v>
      </c>
      <c r="Q139" s="236">
        <v>-73.975222222222229</v>
      </c>
      <c r="R139" s="243" t="s">
        <v>1492</v>
      </c>
      <c r="S139" s="246" t="s">
        <v>1493</v>
      </c>
      <c r="U139" s="245"/>
    </row>
    <row r="140" spans="1:21" ht="17.25" customHeight="1">
      <c r="A140" s="236">
        <v>139</v>
      </c>
      <c r="B140" s="249" t="str">
        <f t="array" ref="B140">INDEX('CENTRO - CESAR'!B:B, MATCH(S140, 'CENTRO - CESAR'!K:K, 0), )</f>
        <v>Aucayacu - Jose Crespo y Castillo</v>
      </c>
      <c r="C140" s="156" t="str">
        <f t="array" ref="C140">INDEX('CENTRO - CESAR'!C:C, MATCH(S140, 'CENTRO - CESAR'!K:K, 0), )</f>
        <v>Huanuco</v>
      </c>
      <c r="D140" s="156" t="str">
        <f t="array" ref="D140">INDEX('CENTRO - CESAR'!D:D, MATCH(S140, 'CENTRO - CESAR'!K:K, 0), )</f>
        <v>FM</v>
      </c>
      <c r="E140" s="156">
        <f t="array" ref="E140">INDEX('CENTRO - CESAR'!E:E, MATCH(S140, 'CENTRO - CESAR'!K:K, 0), )</f>
        <v>97.7</v>
      </c>
      <c r="F140" s="156">
        <f t="array" ref="F140">INDEX('CENTRO - CESAR'!F:F, MATCH(S140, 'CENTRO - CESAR'!K:K, 0), )</f>
        <v>112</v>
      </c>
      <c r="G140" s="159" t="str">
        <f t="array" ref="G140">INDEX('CENTRO - CESAR'!G:G, MATCH(S140, 'CENTRO - CESAR'!K:K, 0), )</f>
        <v>A.A</v>
      </c>
      <c r="H140" s="238" t="str">
        <f t="array" ref="H140">INDEX('CENTRO - CESAR'!H:H, MATCH(S140, 'CENTRO - CESAR'!K:K, 0), )</f>
        <v>AUCAYACU</v>
      </c>
      <c r="I140" s="239" t="str">
        <f t="array" ref="I140">INDEX('CENTRO - CESAR'!I:I, MATCH(S140, 'CENTRO - CESAR'!K:K, 0), )</f>
        <v>31/10/2025 - Sectoristas - Operativo de acuerdo a lo informado por el pastor Nolasco Ponciano, de la zona opera las 24 horas del día</v>
      </c>
      <c r="J140" s="240">
        <f t="array" ref="J140">INDEX('CENTRO - CESAR'!J:J, MATCH(S140, 'CENTRO - CESAR'!K:K, 0), )</f>
        <v>0</v>
      </c>
      <c r="K140" s="156" t="str">
        <f t="array" ref="K140">INDEX('CENTRO - CESAR'!K:K, MATCH(S140, 'CENTRO - CESAR'!K:K, 0), )</f>
        <v>C - 10</v>
      </c>
      <c r="L140" s="250">
        <f t="array" ref="L140">INDEX('CENTRO - CESAR'!L:L, MATCH(S140, 'CENTRO - CESAR'!K:K, 0), )</f>
        <v>0</v>
      </c>
      <c r="M140" s="251">
        <f t="array" ref="M140">INDEX('CENTRO - CESAR'!M:M, MATCH(S140, 'CENTRO - CESAR'!K:K, 0), )</f>
        <v>0</v>
      </c>
      <c r="N140" s="252">
        <f t="array" ref="N140">INDEX('CENTRO - CESAR'!N:N, MATCH(S140, 'CENTRO - CESAR'!K:K, 0), )</f>
        <v>0</v>
      </c>
      <c r="O140" s="253">
        <f t="array" ref="O140">INDEX('CENTRO - CESAR'!O:O, MATCH(S140, 'CENTRO - CESAR'!K:K, 0), )</f>
        <v>0</v>
      </c>
      <c r="P140" s="236">
        <v>-8.930361111111111</v>
      </c>
      <c r="Q140" s="236">
        <v>-76.118722222222218</v>
      </c>
      <c r="R140" s="243" t="s">
        <v>1494</v>
      </c>
      <c r="S140" s="246" t="s">
        <v>1495</v>
      </c>
      <c r="U140" s="245"/>
    </row>
    <row r="141" spans="1:21" ht="17.25" customHeight="1">
      <c r="A141" s="236">
        <v>140</v>
      </c>
      <c r="B141" s="249" t="str">
        <f t="array" ref="B141">INDEX('CENTRO - CESAR'!B:B, MATCH(S141, 'CENTRO - CESAR'!K:K, 0), )</f>
        <v>Aucayacu - Jose Crespo y Castillo</v>
      </c>
      <c r="C141" s="156" t="str">
        <f t="array" ref="C141">INDEX('CENTRO - CESAR'!C:C, MATCH(S141, 'CENTRO - CESAR'!K:K, 0), )</f>
        <v>Huanuco</v>
      </c>
      <c r="D141" s="156" t="str">
        <f t="array" ref="D141">INDEX('CENTRO - CESAR'!D:D, MATCH(S141, 'CENTRO - CESAR'!K:K, 0), )</f>
        <v>VHF</v>
      </c>
      <c r="E141" s="156">
        <f t="array" ref="E141">INDEX('CENTRO - CESAR'!E:E, MATCH(S141, 'CENTRO - CESAR'!K:K, 0), )</f>
        <v>13</v>
      </c>
      <c r="F141" s="156">
        <f t="array" ref="F141">INDEX('CENTRO - CESAR'!F:F, MATCH(S141, 'CENTRO - CESAR'!K:K, 0), )</f>
        <v>112</v>
      </c>
      <c r="G141" s="159" t="str">
        <f t="array" ref="G141">INDEX('CENTRO - CESAR'!G:G, MATCH(S141, 'CENTRO - CESAR'!K:K, 0), )</f>
        <v>A.A</v>
      </c>
      <c r="H141" s="238" t="str">
        <f t="array" ref="H141">INDEX('CENTRO - CESAR'!H:H, MATCH(S141, 'CENTRO - CESAR'!K:K, 0), )</f>
        <v>AUCAYACU</v>
      </c>
      <c r="I141" s="239" t="str">
        <f t="array" ref="I141">INDEX('CENTRO - CESAR'!I:I, MATCH(S141, 'CENTRO - CESAR'!K:K, 0), )</f>
        <v>31/10/2025 - Sectoristas - Operativo de acuerdo a lo informado por el pastor Nolasco Ponciano, de la zona opera las 24 horas del día</v>
      </c>
      <c r="J141" s="240">
        <f t="array" ref="J141">INDEX('CENTRO - CESAR'!J:J, MATCH(S141, 'CENTRO - CESAR'!K:K, 0), )</f>
        <v>0</v>
      </c>
      <c r="K141" s="156" t="str">
        <f t="array" ref="K141">INDEX('CENTRO - CESAR'!K:K, MATCH(S141, 'CENTRO - CESAR'!K:K, 0), )</f>
        <v>C - 11</v>
      </c>
      <c r="L141" s="250">
        <f t="array" ref="L141">INDEX('CENTRO - CESAR'!L:L, MATCH(S141, 'CENTRO - CESAR'!K:K, 0), )</f>
        <v>0</v>
      </c>
      <c r="M141" s="251">
        <f t="array" ref="M141">INDEX('CENTRO - CESAR'!M:M, MATCH(S141, 'CENTRO - CESAR'!K:K, 0), )</f>
        <v>0</v>
      </c>
      <c r="N141" s="252">
        <f t="array" ref="N141">INDEX('CENTRO - CESAR'!N:N, MATCH(S141, 'CENTRO - CESAR'!K:K, 0), )</f>
        <v>0</v>
      </c>
      <c r="O141" s="253">
        <f t="array" ref="O141">INDEX('CENTRO - CESAR'!O:O, MATCH(S141, 'CENTRO - CESAR'!K:K, 0), )</f>
        <v>0</v>
      </c>
      <c r="P141" s="236">
        <v>-8.9303055555555542</v>
      </c>
      <c r="Q141" s="236">
        <v>-76.118555555555545</v>
      </c>
      <c r="R141" s="243" t="s">
        <v>1496</v>
      </c>
      <c r="S141" s="246" t="s">
        <v>1497</v>
      </c>
      <c r="U141" s="245"/>
    </row>
    <row r="142" spans="1:21" ht="17.25" customHeight="1">
      <c r="A142" s="236">
        <v>141</v>
      </c>
      <c r="B142" s="249" t="str">
        <f t="array" ref="B142">INDEX('CENTRO - CESAR'!B:B, MATCH(S142, 'CENTRO - CESAR'!K:K, 0), )</f>
        <v>Ayacucho</v>
      </c>
      <c r="C142" s="156" t="str">
        <f t="array" ref="C142">INDEX('CENTRO - CESAR'!C:C, MATCH(S142, 'CENTRO - CESAR'!K:K, 0), )</f>
        <v>Ayacucho</v>
      </c>
      <c r="D142" s="156" t="str">
        <f t="array" ref="D142">INDEX('CENTRO - CESAR'!D:D, MATCH(S142, 'CENTRO - CESAR'!K:K, 0), )</f>
        <v>UHF</v>
      </c>
      <c r="E142" s="156">
        <f t="array" ref="E142">INDEX('CENTRO - CESAR'!E:E, MATCH(S142, 'CENTRO - CESAR'!K:K, 0), )</f>
        <v>39</v>
      </c>
      <c r="F142" s="156">
        <f t="array" ref="F142">INDEX('CENTRO - CESAR'!F:F, MATCH(S142, 'CENTRO - CESAR'!K:K, 0), )</f>
        <v>13</v>
      </c>
      <c r="G142" s="159" t="str">
        <f t="array" ref="G142">INDEX('CENTRO - CESAR'!G:G, MATCH(S142, 'CENTRO - CESAR'!K:K, 0), )</f>
        <v>A.A</v>
      </c>
      <c r="H142" s="238" t="str">
        <f t="array" ref="H142">INDEX('CENTRO - CESAR'!H:H, MATCH(S142, 'CENTRO - CESAR'!K:K, 0), )</f>
        <v>AYACUCHO</v>
      </c>
      <c r="I142" s="239" t="str">
        <f t="array" ref="I142">INDEX('CENTRO - CESAR'!I:I, MATCH(S142, 'CENTRO - CESAR'!K:K, 0), )</f>
        <v>2/12/2025 - Sectoristas - Operativo de acuerdo a lo informado por el área técnica y las coordinaciones en el WhatsApp</v>
      </c>
      <c r="J142" s="240">
        <f t="array" ref="J142">INDEX('CENTRO - CESAR'!J:J, MATCH(S142, 'CENTRO - CESAR'!K:K, 0), )</f>
        <v>0</v>
      </c>
      <c r="K142" s="156" t="str">
        <f t="array" ref="K142">INDEX('CENTRO - CESAR'!K:K, MATCH(S142, 'CENTRO - CESAR'!K:K, 0), )</f>
        <v>C - 12</v>
      </c>
      <c r="L142" s="250" t="str">
        <f t="array" ref="L142">INDEX('CENTRO - CESAR'!L:L, MATCH(S142, 'CENTRO - CESAR'!K:K, 0), )</f>
        <v>Sectoristas</v>
      </c>
      <c r="M142" s="251" t="str">
        <f t="array" ref="M142">INDEX('CENTRO - CESAR'!M:M, MATCH(S142, 'CENTRO - CESAR'!K:K, 0), )</f>
        <v>Nivel 1</v>
      </c>
      <c r="N142" s="252">
        <f t="array" ref="N142">INDEX('CENTRO - CESAR'!N:N, MATCH(S142, 'CENTRO - CESAR'!K:K, 0), )</f>
        <v>0</v>
      </c>
      <c r="O142" s="253">
        <f t="array" ref="O142">INDEX('CENTRO - CESAR'!O:O, MATCH(S142, 'CENTRO - CESAR'!K:K, 0), )</f>
        <v>0</v>
      </c>
      <c r="P142" s="236">
        <v>-13.158444444444445</v>
      </c>
      <c r="Q142" s="236">
        <v>-74.24422222222222</v>
      </c>
      <c r="R142" s="243" t="s">
        <v>1498</v>
      </c>
      <c r="S142" s="246" t="s">
        <v>1499</v>
      </c>
      <c r="U142" s="245"/>
    </row>
    <row r="143" spans="1:21" ht="17.25" customHeight="1">
      <c r="A143" s="236">
        <v>142</v>
      </c>
      <c r="B143" s="249" t="str">
        <f t="array" ref="B143">INDEX('CENTRO - CESAR'!B:B, MATCH(S143, 'CENTRO - CESAR'!K:K, 0), )</f>
        <v>Ayacucho</v>
      </c>
      <c r="C143" s="156" t="str">
        <f t="array" ref="C143">INDEX('CENTRO - CESAR'!C:C, MATCH(S143, 'CENTRO - CESAR'!K:K, 0), )</f>
        <v>Ayacucho</v>
      </c>
      <c r="D143" s="156" t="str">
        <f t="array" ref="D143">INDEX('CENTRO - CESAR'!D:D, MATCH(S143, 'CENTRO - CESAR'!K:K, 0), )</f>
        <v>FM</v>
      </c>
      <c r="E143" s="156">
        <f t="array" ref="E143">INDEX('CENTRO - CESAR'!E:E, MATCH(S143, 'CENTRO - CESAR'!K:K, 0), )</f>
        <v>93.9</v>
      </c>
      <c r="F143" s="156">
        <f t="array" ref="F143">INDEX('CENTRO - CESAR'!F:F, MATCH(S143, 'CENTRO - CESAR'!K:K, 0), )</f>
        <v>13</v>
      </c>
      <c r="G143" s="159" t="str">
        <f t="array" ref="G143">INDEX('CENTRO - CESAR'!G:G, MATCH(S143, 'CENTRO - CESAR'!K:K, 0), )</f>
        <v>A.A</v>
      </c>
      <c r="H143" s="238" t="str">
        <f t="array" ref="H143">INDEX('CENTRO - CESAR'!H:H, MATCH(S143, 'CENTRO - CESAR'!K:K, 0), )</f>
        <v>AYACUCHO</v>
      </c>
      <c r="I143" s="239" t="str">
        <f t="array" ref="I143">INDEX('CENTRO - CESAR'!I:I, MATCH(S143, 'CENTRO - CESAR'!K:K, 0), )</f>
        <v>2/12/2025 - Sectoristas - Operativo de acuerdo a lo informado por el área técnica y las coordinaciones en el WhatsApp</v>
      </c>
      <c r="J143" s="240" t="str">
        <f t="array" ref="J143">INDEX('CENTRO - CESAR'!J:J, MATCH(S143, 'CENTRO - CESAR'!K:K, 0), )</f>
        <v xml:space="preserve"> </v>
      </c>
      <c r="K143" s="156" t="str">
        <f t="array" ref="K143">INDEX('CENTRO - CESAR'!K:K, MATCH(S143, 'CENTRO - CESAR'!K:K, 0), )</f>
        <v>C - 13</v>
      </c>
      <c r="L143" s="250" t="str">
        <f t="array" ref="L143">INDEX('CENTRO - CESAR'!L:L, MATCH(S143, 'CENTRO - CESAR'!K:K, 0), )</f>
        <v>Sectoristas</v>
      </c>
      <c r="M143" s="251" t="str">
        <f t="array" ref="M143">INDEX('CENTRO - CESAR'!M:M, MATCH(S143, 'CENTRO - CESAR'!K:K, 0), )</f>
        <v>Nivel 1</v>
      </c>
      <c r="N143" s="252">
        <f t="array" ref="N143">INDEX('CENTRO - CESAR'!N:N, MATCH(S143, 'CENTRO - CESAR'!K:K, 0), )</f>
        <v>0</v>
      </c>
      <c r="O143" s="253">
        <f t="array" ref="O143">INDEX('CENTRO - CESAR'!O:O, MATCH(S143, 'CENTRO - CESAR'!K:K, 0), )</f>
        <v>0</v>
      </c>
      <c r="P143" s="236">
        <v>-13.155000000000001</v>
      </c>
      <c r="Q143" s="236">
        <v>-74.241666666666674</v>
      </c>
      <c r="R143" s="243" t="s">
        <v>1500</v>
      </c>
      <c r="S143" s="246" t="s">
        <v>1501</v>
      </c>
      <c r="U143" s="245"/>
    </row>
    <row r="144" spans="1:21" ht="17.25" customHeight="1">
      <c r="A144" s="236">
        <v>143</v>
      </c>
      <c r="B144" s="249" t="str">
        <f t="array" ref="B144">INDEX('CENTRO - CESAR'!B:B, MATCH(S144, 'CENTRO - CESAR'!K:K, 0), )</f>
        <v>Ayacucho</v>
      </c>
      <c r="C144" s="156" t="str">
        <f t="array" ref="C144">INDEX('CENTRO - CESAR'!C:C, MATCH(S144, 'CENTRO - CESAR'!K:K, 0), )</f>
        <v>Ayacucho</v>
      </c>
      <c r="D144" s="156" t="str">
        <f t="array" ref="D144">INDEX('CENTRO - CESAR'!D:D, MATCH(S144, 'CENTRO - CESAR'!K:K, 0), )</f>
        <v xml:space="preserve">OM </v>
      </c>
      <c r="E144" s="156">
        <f t="array" ref="E144">INDEX('CENTRO - CESAR'!E:E, MATCH(S144, 'CENTRO - CESAR'!K:K, 0), )</f>
        <v>780</v>
      </c>
      <c r="F144" s="156">
        <f t="array" ref="F144">INDEX('CENTRO - CESAR'!F:F, MATCH(S144, 'CENTRO - CESAR'!K:K, 0), )</f>
        <v>13</v>
      </c>
      <c r="G144" s="159" t="str">
        <f t="array" ref="G144">INDEX('CENTRO - CESAR'!G:G, MATCH(S144, 'CENTRO - CESAR'!K:K, 0), )</f>
        <v>A.A</v>
      </c>
      <c r="H144" s="238" t="str">
        <f t="array" ref="H144">INDEX('CENTRO - CESAR'!H:H, MATCH(S144, 'CENTRO - CESAR'!K:K, 0), )</f>
        <v>AYACUCHO OM</v>
      </c>
      <c r="I144" s="239" t="str">
        <f t="array" ref="I144">INDEX('CENTRO - CESAR'!I:I, MATCH(S144, 'CENTRO - CESAR'!K:K, 0), )</f>
        <v>2/12/2025 - Sectoristas - Operativo de acuerdo a lo informado por el área técnica y las coordinaciones en el WhatsApp</v>
      </c>
      <c r="J144" s="240">
        <f t="array" ref="J144">INDEX('CENTRO - CESAR'!J:J, MATCH(S144, 'CENTRO - CESAR'!K:K, 0), )</f>
        <v>0</v>
      </c>
      <c r="K144" s="156" t="str">
        <f t="array" ref="K144">INDEX('CENTRO - CESAR'!K:K, MATCH(S144, 'CENTRO - CESAR'!K:K, 0), )</f>
        <v>C - 14</v>
      </c>
      <c r="L144" s="250" t="str">
        <f t="array" ref="L144">INDEX('CENTRO - CESAR'!L:L, MATCH(S144, 'CENTRO - CESAR'!K:K, 0), )</f>
        <v>Sectoristas</v>
      </c>
      <c r="M144" s="251" t="str">
        <f t="array" ref="M144">INDEX('CENTRO - CESAR'!M:M, MATCH(S144, 'CENTRO - CESAR'!K:K, 0), )</f>
        <v>Nivel 1</v>
      </c>
      <c r="N144" s="252">
        <f t="array" ref="N144">INDEX('CENTRO - CESAR'!N:N, MATCH(S144, 'CENTRO - CESAR'!K:K, 0), )</f>
        <v>0</v>
      </c>
      <c r="O144" s="253">
        <f t="array" ref="O144">INDEX('CENTRO - CESAR'!O:O, MATCH(S144, 'CENTRO - CESAR'!K:K, 0), )</f>
        <v>0</v>
      </c>
      <c r="P144" s="236">
        <v>-13.509313888888888</v>
      </c>
      <c r="Q144" s="236">
        <v>-74.193413888888898</v>
      </c>
      <c r="R144" s="243" t="s">
        <v>1502</v>
      </c>
      <c r="S144" s="246" t="s">
        <v>1503</v>
      </c>
      <c r="U144" s="245"/>
    </row>
    <row r="145" spans="1:21" ht="17.25" customHeight="1">
      <c r="A145" s="236">
        <v>144</v>
      </c>
      <c r="B145" s="249" t="str">
        <f t="array" ref="B145">INDEX('CENTRO - CESAR'!B:B, MATCH(S145, 'CENTRO - CESAR'!K:K, 0), )</f>
        <v>Ayna</v>
      </c>
      <c r="C145" s="156" t="str">
        <f t="array" ref="C145">INDEX('CENTRO - CESAR'!C:C, MATCH(S145, 'CENTRO - CESAR'!K:K, 0), )</f>
        <v>Ayacucho</v>
      </c>
      <c r="D145" s="156" t="str">
        <f t="array" ref="D145">INDEX('CENTRO - CESAR'!D:D, MATCH(S145, 'CENTRO - CESAR'!K:K, 0), )</f>
        <v>FM</v>
      </c>
      <c r="E145" s="156">
        <f t="array" ref="E145">INDEX('CENTRO - CESAR'!E:E, MATCH(S145, 'CENTRO - CESAR'!K:K, 0), )</f>
        <v>103.9</v>
      </c>
      <c r="F145" s="156">
        <f t="array" ref="F145">INDEX('CENTRO - CESAR'!F:F, MATCH(S145, 'CENTRO - CESAR'!K:K, 0), )</f>
        <v>60</v>
      </c>
      <c r="G145" s="159" t="str">
        <f t="array" ref="G145">INDEX('CENTRO - CESAR'!G:G, MATCH(S145, 'CENTRO - CESAR'!K:K, 0), )</f>
        <v>A.A</v>
      </c>
      <c r="H145" s="238" t="str">
        <f t="array" ref="H145">INDEX('CENTRO - CESAR'!H:H, MATCH(S145, 'CENTRO - CESAR'!K:K, 0), )</f>
        <v>AYNA</v>
      </c>
      <c r="I145" s="239" t="str">
        <f t="array" ref="I145">INDEX('CENTRO - CESAR'!I:I, MATCH(S145, 'CENTRO - CESAR'!K:K, 0), )</f>
        <v>30/10/2025 - Sectoristas - Operativo de acuerdo a lo informado por el pastor de la zona ( 05 am a 10 pm)</v>
      </c>
      <c r="J145" s="240">
        <f t="array" ref="J145">INDEX('CENTRO - CESAR'!J:J, MATCH(S145, 'CENTRO - CESAR'!K:K, 0), )</f>
        <v>0</v>
      </c>
      <c r="K145" s="156" t="str">
        <f t="array" ref="K145">INDEX('CENTRO - CESAR'!K:K, MATCH(S145, 'CENTRO - CESAR'!K:K, 0), )</f>
        <v>C - 15</v>
      </c>
      <c r="L145" s="250">
        <f t="array" ref="L145">INDEX('CENTRO - CESAR'!L:L, MATCH(S145, 'CENTRO - CESAR'!K:K, 0), )</f>
        <v>0</v>
      </c>
      <c r="M145" s="251">
        <f t="array" ref="M145">INDEX('CENTRO - CESAR'!M:M, MATCH(S145, 'CENTRO - CESAR'!K:K, 0), )</f>
        <v>0</v>
      </c>
      <c r="N145" s="252">
        <f t="array" ref="N145">INDEX('CENTRO - CESAR'!N:N, MATCH(S145, 'CENTRO - CESAR'!K:K, 0), )</f>
        <v>0</v>
      </c>
      <c r="O145" s="253">
        <f t="array" ref="O145">INDEX('CENTRO - CESAR'!O:O, MATCH(S145, 'CENTRO - CESAR'!K:K, 0), )</f>
        <v>0</v>
      </c>
      <c r="P145" s="236">
        <v>-12.628847222222223</v>
      </c>
      <c r="Q145" s="236">
        <v>-73.788469444444445</v>
      </c>
      <c r="R145" s="243" t="s">
        <v>1504</v>
      </c>
      <c r="S145" s="246" t="s">
        <v>1505</v>
      </c>
      <c r="U145" s="245"/>
    </row>
    <row r="146" spans="1:21" ht="17.25" customHeight="1">
      <c r="A146" s="236">
        <v>145</v>
      </c>
      <c r="B146" s="249" t="str">
        <f t="array" ref="B146">INDEX('CENTRO - CESAR'!B:B, MATCH(S146, 'CENTRO - CESAR'!K:K, 0), )</f>
        <v>Ayna</v>
      </c>
      <c r="C146" s="156" t="str">
        <f t="array" ref="C146">INDEX('CENTRO - CESAR'!C:C, MATCH(S146, 'CENTRO - CESAR'!K:K, 0), )</f>
        <v>Ayacucho</v>
      </c>
      <c r="D146" s="156" t="str">
        <f t="array" ref="D146">INDEX('CENTRO - CESAR'!D:D, MATCH(S146, 'CENTRO - CESAR'!K:K, 0), )</f>
        <v>VHF</v>
      </c>
      <c r="E146" s="156">
        <f t="array" ref="E146">INDEX('CENTRO - CESAR'!E:E, MATCH(S146, 'CENTRO - CESAR'!K:K, 0), )</f>
        <v>12</v>
      </c>
      <c r="F146" s="156">
        <f t="array" ref="F146">INDEX('CENTRO - CESAR'!F:F, MATCH(S146, 'CENTRO - CESAR'!K:K, 0), )</f>
        <v>60</v>
      </c>
      <c r="G146" s="159" t="str">
        <f t="array" ref="G146">INDEX('CENTRO - CESAR'!G:G, MATCH(S146, 'CENTRO - CESAR'!K:K, 0), )</f>
        <v>A.A</v>
      </c>
      <c r="H146" s="238" t="str">
        <f t="array" ref="H146">INDEX('CENTRO - CESAR'!H:H, MATCH(S146, 'CENTRO - CESAR'!K:K, 0), )</f>
        <v>AYNA</v>
      </c>
      <c r="I146" s="239" t="str">
        <f t="array" ref="I146">INDEX('CENTRO - CESAR'!I:I, MATCH(S146, 'CENTRO - CESAR'!K:K, 0), )</f>
        <v>30/10/2025 - Sectoristas - Operativo de acuerdo a lo informado por el pastor de la zona ( 05 am a 10 pm)</v>
      </c>
      <c r="J146" s="240">
        <f t="array" ref="J146">INDEX('CENTRO - CESAR'!J:J, MATCH(S146, 'CENTRO - CESAR'!K:K, 0), )</f>
        <v>0</v>
      </c>
      <c r="K146" s="156" t="str">
        <f t="array" ref="K146">INDEX('CENTRO - CESAR'!K:K, MATCH(S146, 'CENTRO - CESAR'!K:K, 0), )</f>
        <v>C - 16</v>
      </c>
      <c r="L146" s="250">
        <f t="array" ref="L146">INDEX('CENTRO - CESAR'!L:L, MATCH(S146, 'CENTRO - CESAR'!K:K, 0), )</f>
        <v>0</v>
      </c>
      <c r="M146" s="251">
        <f t="array" ref="M146">INDEX('CENTRO - CESAR'!M:M, MATCH(S146, 'CENTRO - CESAR'!K:K, 0), )</f>
        <v>0</v>
      </c>
      <c r="N146" s="252">
        <f t="array" ref="N146">INDEX('CENTRO - CESAR'!N:N, MATCH(S146, 'CENTRO - CESAR'!K:K, 0), )</f>
        <v>0</v>
      </c>
      <c r="O146" s="253">
        <f t="array" ref="O146">INDEX('CENTRO - CESAR'!O:O, MATCH(S146, 'CENTRO - CESAR'!K:K, 0), )</f>
        <v>0</v>
      </c>
      <c r="P146" s="236">
        <v>-12.596333333333334</v>
      </c>
      <c r="Q146" s="236">
        <v>-73.830527777777775</v>
      </c>
      <c r="R146" s="243" t="s">
        <v>1506</v>
      </c>
      <c r="S146" s="246" t="s">
        <v>1507</v>
      </c>
      <c r="U146" s="245"/>
    </row>
    <row r="147" spans="1:21" ht="17.25" customHeight="1">
      <c r="A147" s="236">
        <v>146</v>
      </c>
      <c r="B147" s="249" t="str">
        <f t="array" ref="B147">INDEX('CENTRO - CESAR'!B:B, MATCH(S147, 'CENTRO - CESAR'!K:K, 0), )</f>
        <v>Barranca</v>
      </c>
      <c r="C147" s="156" t="str">
        <f t="array" ref="C147">INDEX('CENTRO - CESAR'!C:C, MATCH(S147, 'CENTRO - CESAR'!K:K, 0), )</f>
        <v>Lima</v>
      </c>
      <c r="D147" s="156" t="str">
        <f t="array" ref="D147">INDEX('CENTRO - CESAR'!D:D, MATCH(S147, 'CENTRO - CESAR'!K:K, 0), )</f>
        <v>VHF</v>
      </c>
      <c r="E147" s="156">
        <f t="array" ref="E147">INDEX('CENTRO - CESAR'!E:E, MATCH(S147, 'CENTRO - CESAR'!K:K, 0), )</f>
        <v>5</v>
      </c>
      <c r="F147" s="156">
        <f t="array" ref="F147">INDEX('CENTRO - CESAR'!F:F, MATCH(S147, 'CENTRO - CESAR'!K:K, 0), )</f>
        <v>109</v>
      </c>
      <c r="G147" s="159" t="str">
        <f t="array" ref="G147">INDEX('CENTRO - CESAR'!G:G, MATCH(S147, 'CENTRO - CESAR'!K:K, 0), )</f>
        <v>A.A</v>
      </c>
      <c r="H147" s="238" t="str">
        <f t="array" ref="H147">INDEX('CENTRO - CESAR'!H:H, MATCH(S147, 'CENTRO - CESAR'!K:K, 0), )</f>
        <v>BARRANCA</v>
      </c>
      <c r="I147" s="239" t="str">
        <f t="array" ref="I147">INDEX('CENTRO - CESAR'!I:I, MATCH(S147, 'CENTRO - CESAR'!K:K, 0), )</f>
        <v>30/10/2025 - Sectoristas - Operativo de acuerdo a lo informado por el la hna Aimé responsable de la estación</v>
      </c>
      <c r="J147" s="240">
        <f t="array" ref="J147">INDEX('CENTRO - CESAR'!J:J, MATCH(S147, 'CENTRO - CESAR'!K:K, 0), )</f>
        <v>0</v>
      </c>
      <c r="K147" s="156" t="str">
        <f t="array" ref="K147">INDEX('CENTRO - CESAR'!K:K, MATCH(S147, 'CENTRO - CESAR'!K:K, 0), )</f>
        <v>C - 17</v>
      </c>
      <c r="L147" s="250">
        <f t="array" ref="L147">INDEX('CENTRO - CESAR'!L:L, MATCH(S147, 'CENTRO - CESAR'!K:K, 0), )</f>
        <v>0</v>
      </c>
      <c r="M147" s="251">
        <f t="array" ref="M147">INDEX('CENTRO - CESAR'!M:M, MATCH(S147, 'CENTRO - CESAR'!K:K, 0), )</f>
        <v>0</v>
      </c>
      <c r="N147" s="252">
        <f t="array" ref="N147">INDEX('CENTRO - CESAR'!N:N, MATCH(S147, 'CENTRO - CESAR'!K:K, 0), )</f>
        <v>0</v>
      </c>
      <c r="O147" s="253">
        <f t="array" ref="O147">INDEX('CENTRO - CESAR'!O:O, MATCH(S147, 'CENTRO - CESAR'!K:K, 0), )</f>
        <v>0</v>
      </c>
      <c r="P147" s="236">
        <v>-10.725861111111112</v>
      </c>
      <c r="Q147" s="236">
        <v>-77.74755555555555</v>
      </c>
      <c r="R147" s="243" t="s">
        <v>1508</v>
      </c>
      <c r="S147" s="246" t="s">
        <v>1509</v>
      </c>
      <c r="U147" s="245"/>
    </row>
    <row r="148" spans="1:21" ht="17.25" customHeight="1">
      <c r="A148" s="236">
        <v>147</v>
      </c>
      <c r="B148" s="249" t="str">
        <f t="array" ref="B148">INDEX('CENTRO - CESAR'!B:B, MATCH(S148, 'CENTRO - CESAR'!K:K, 0), )</f>
        <v>Barranca</v>
      </c>
      <c r="C148" s="156" t="str">
        <f t="array" ref="C148">INDEX('CENTRO - CESAR'!C:C, MATCH(S148, 'CENTRO - CESAR'!K:K, 0), )</f>
        <v>Lima</v>
      </c>
      <c r="D148" s="156" t="str">
        <f t="array" ref="D148">INDEX('CENTRO - CESAR'!D:D, MATCH(S148, 'CENTRO - CESAR'!K:K, 0), )</f>
        <v>FM</v>
      </c>
      <c r="E148" s="156">
        <f t="array" ref="E148">INDEX('CENTRO - CESAR'!E:E, MATCH(S148, 'CENTRO - CESAR'!K:K, 0), )</f>
        <v>97.5</v>
      </c>
      <c r="F148" s="156">
        <f t="array" ref="F148">INDEX('CENTRO - CESAR'!F:F, MATCH(S148, 'CENTRO - CESAR'!K:K, 0), )</f>
        <v>109</v>
      </c>
      <c r="G148" s="159" t="str">
        <f t="array" ref="G148">INDEX('CENTRO - CESAR'!G:G, MATCH(S148, 'CENTRO - CESAR'!K:K, 0), )</f>
        <v>A.A</v>
      </c>
      <c r="H148" s="238" t="str">
        <f t="array" ref="H148">INDEX('CENTRO - CESAR'!H:H, MATCH(S148, 'CENTRO - CESAR'!K:K, 0), )</f>
        <v>BARRANCA</v>
      </c>
      <c r="I148" s="239" t="str">
        <f t="array" ref="I148">INDEX('CENTRO - CESAR'!I:I, MATCH(S148, 'CENTRO - CESAR'!K:K, 0), )</f>
        <v>30/10/2025 - Sectoristas - Operativo de acuerdo a lo informado por el la hna Aimé responsable de la estación</v>
      </c>
      <c r="J148" s="240">
        <f t="array" ref="J148">INDEX('CENTRO - CESAR'!J:J, MATCH(S148, 'CENTRO - CESAR'!K:K, 0), )</f>
        <v>0</v>
      </c>
      <c r="K148" s="156" t="str">
        <f t="array" ref="K148">INDEX('CENTRO - CESAR'!K:K, MATCH(S148, 'CENTRO - CESAR'!K:K, 0), )</f>
        <v>C - 18</v>
      </c>
      <c r="L148" s="250">
        <f t="array" ref="L148">INDEX('CENTRO - CESAR'!L:L, MATCH(S148, 'CENTRO - CESAR'!K:K, 0), )</f>
        <v>0</v>
      </c>
      <c r="M148" s="251">
        <f t="array" ref="M148">INDEX('CENTRO - CESAR'!M:M, MATCH(S148, 'CENTRO - CESAR'!K:K, 0), )</f>
        <v>0</v>
      </c>
      <c r="N148" s="252">
        <f t="array" ref="N148">INDEX('CENTRO - CESAR'!N:N, MATCH(S148, 'CENTRO - CESAR'!K:K, 0), )</f>
        <v>0</v>
      </c>
      <c r="O148" s="253">
        <f t="array" ref="O148">INDEX('CENTRO - CESAR'!O:O, MATCH(S148, 'CENTRO - CESAR'!K:K, 0), )</f>
        <v>0</v>
      </c>
      <c r="P148" s="236">
        <v>-10.754972222222221</v>
      </c>
      <c r="Q148" s="236">
        <v>-77.759944444444443</v>
      </c>
      <c r="R148" s="243" t="s">
        <v>1510</v>
      </c>
      <c r="S148" s="246" t="s">
        <v>1511</v>
      </c>
      <c r="U148" s="245"/>
    </row>
    <row r="149" spans="1:21" ht="17.25" customHeight="1">
      <c r="A149" s="236">
        <v>148</v>
      </c>
      <c r="B149" s="249" t="str">
        <f t="array" ref="B149">INDEX('CENTRO - CESAR'!B:B, MATCH(S149, 'CENTRO - CESAR'!K:K, 0), )</f>
        <v>Barranca - San Lorenzo</v>
      </c>
      <c r="C149" s="156" t="str">
        <f t="array" ref="C149">INDEX('CENTRO - CESAR'!C:C, MATCH(S149, 'CENTRO - CESAR'!K:K, 0), )</f>
        <v>Loreto</v>
      </c>
      <c r="D149" s="156" t="str">
        <f t="array" ref="D149">INDEX('CENTRO - CESAR'!D:D, MATCH(S149, 'CENTRO - CESAR'!K:K, 0), )</f>
        <v>FM</v>
      </c>
      <c r="E149" s="156" t="str">
        <f t="array" ref="E149">INDEX('CENTRO - CESAR'!E:E, MATCH(S149, 'CENTRO - CESAR'!K:K, 0), )</f>
        <v>92.9</v>
      </c>
      <c r="F149" s="156">
        <f t="array" ref="F149">INDEX('CENTRO - CESAR'!F:F, MATCH(S149, 'CENTRO - CESAR'!K:K, 0), )</f>
        <v>46</v>
      </c>
      <c r="G149" s="159" t="str">
        <f t="array" ref="G149">INDEX('CENTRO - CESAR'!G:G, MATCH(S149, 'CENTRO - CESAR'!K:K, 0), )</f>
        <v>F.A</v>
      </c>
      <c r="H149" s="238" t="str">
        <f t="array" ref="H149">INDEX('CENTRO - CESAR'!H:H, MATCH(S149, 'CENTRO - CESAR'!K:K, 0), )</f>
        <v>BARRANCA SAN LORENZO</v>
      </c>
      <c r="I149" s="239" t="str">
        <f t="array" ref="I149">INDEX('CENTRO - CESAR'!I:I, MATCH(S149, 'CENTRO - CESAR'!K:K, 0), )</f>
        <v>20/11/2025 - Sectoristas - Con fecha 13 de noviembre el hno Gregorio confirmó que el 22 de noviembre iría a la localidad para la instalación respectiva.</v>
      </c>
      <c r="J149" s="240" t="str">
        <f t="array" ref="J149">INDEX('CENTRO - CESAR'!J:J, MATCH(S149, 'CENTRO - CESAR'!K:K, 0), )</f>
        <v>T</v>
      </c>
      <c r="K149" s="156" t="str">
        <f t="array" ref="K149">INDEX('CENTRO - CESAR'!K:K, MATCH(S149, 'CENTRO - CESAR'!K:K, 0), )</f>
        <v>C - 19</v>
      </c>
      <c r="L149" s="250">
        <f t="array" ref="L149">INDEX('CENTRO - CESAR'!L:L, MATCH(S149, 'CENTRO - CESAR'!K:K, 0), )</f>
        <v>0</v>
      </c>
      <c r="M149" s="251">
        <f t="array" ref="M149">INDEX('CENTRO - CESAR'!M:M, MATCH(S149, 'CENTRO - CESAR'!K:K, 0), )</f>
        <v>0</v>
      </c>
      <c r="N149" s="252">
        <f t="array" ref="N149">INDEX('CENTRO - CESAR'!N:N, MATCH(S149, 'CENTRO - CESAR'!K:K, 0), )</f>
        <v>0</v>
      </c>
      <c r="O149" s="253">
        <f t="array" ref="O149">INDEX('CENTRO - CESAR'!O:O, MATCH(S149, 'CENTRO - CESAR'!K:K, 0), )</f>
        <v>0</v>
      </c>
      <c r="P149" s="236">
        <v>-4.8344861111111106</v>
      </c>
      <c r="Q149" s="236">
        <v>-76.54057777777777</v>
      </c>
      <c r="R149" s="243" t="s">
        <v>1512</v>
      </c>
      <c r="S149" s="246" t="s">
        <v>1214</v>
      </c>
      <c r="U149" s="245"/>
    </row>
    <row r="150" spans="1:21" ht="17.25" customHeight="1">
      <c r="A150" s="236">
        <v>149</v>
      </c>
      <c r="B150" s="249" t="str">
        <f t="array" ref="B150">INDEX('CENTRO - CESAR'!B:B, MATCH(S150, 'CENTRO - CESAR'!K:K, 0), )</f>
        <v>Caballococha - Ramón Castilla</v>
      </c>
      <c r="C150" s="156" t="str">
        <f t="array" ref="C150">INDEX('CENTRO - CESAR'!C:C, MATCH(S150, 'CENTRO - CESAR'!K:K, 0), )</f>
        <v>Loreto</v>
      </c>
      <c r="D150" s="156" t="str">
        <f t="array" ref="D150">INDEX('CENTRO - CESAR'!D:D, MATCH(S150, 'CENTRO - CESAR'!K:K, 0), )</f>
        <v>FM</v>
      </c>
      <c r="E150" s="156" t="str">
        <f t="array" ref="E150">INDEX('CENTRO - CESAR'!E:E, MATCH(S150, 'CENTRO - CESAR'!K:K, 0), )</f>
        <v>97.1</v>
      </c>
      <c r="F150" s="156">
        <f t="array" ref="F150">INDEX('CENTRO - CESAR'!F:F, MATCH(S150, 'CENTRO - CESAR'!K:K, 0), )</f>
        <v>43</v>
      </c>
      <c r="G150" s="159" t="str">
        <f t="array" ref="G150">INDEX('CENTRO - CESAR'!G:G, MATCH(S150, 'CENTRO - CESAR'!K:K, 0), )</f>
        <v>A.A</v>
      </c>
      <c r="H150" s="238" t="str">
        <f t="array" ref="H150">INDEX('CENTRO - CESAR'!H:H, MATCH(S150, 'CENTRO - CESAR'!K:K, 0), )</f>
        <v>CABALLOCOCHA</v>
      </c>
      <c r="I150" s="239" t="str">
        <f t="array" ref="I150">INDEX('CENTRO - CESAR'!I:I, MATCH(S150, 'CENTRO - CESAR'!K:K, 0), )</f>
        <v>28/10/2025 - Sectoristas - Operativo de acuerdo a lo informado por el pastor Jonatan García, presbítero de la zona, la estación opera entre 20 a 18 horas diarias por fluido eléctrico</v>
      </c>
      <c r="J150" s="240">
        <f t="array" ref="J150">INDEX('CENTRO - CESAR'!J:J, MATCH(S150, 'CENTRO - CESAR'!K:K, 0), )</f>
        <v>0</v>
      </c>
      <c r="K150" s="156" t="str">
        <f t="array" ref="K150">INDEX('CENTRO - CESAR'!K:K, MATCH(S150, 'CENTRO - CESAR'!K:K, 0), )</f>
        <v>C - 20</v>
      </c>
      <c r="L150" s="250">
        <f t="array" ref="L150">INDEX('CENTRO - CESAR'!L:L, MATCH(S150, 'CENTRO - CESAR'!K:K, 0), )</f>
        <v>0</v>
      </c>
      <c r="M150" s="251">
        <f t="array" ref="M150">INDEX('CENTRO - CESAR'!M:M, MATCH(S150, 'CENTRO - CESAR'!K:K, 0), )</f>
        <v>0</v>
      </c>
      <c r="N150" s="252">
        <f t="array" ref="N150">INDEX('CENTRO - CESAR'!N:N, MATCH(S150, 'CENTRO - CESAR'!K:K, 0), )</f>
        <v>0</v>
      </c>
      <c r="O150" s="253">
        <f t="array" ref="O150">INDEX('CENTRO - CESAR'!O:O, MATCH(S150, 'CENTRO - CESAR'!K:K, 0), )</f>
        <v>0</v>
      </c>
      <c r="P150" s="236">
        <v>-3.9174027777777778</v>
      </c>
      <c r="Q150" s="236">
        <v>-70.51744444444445</v>
      </c>
      <c r="R150" s="243" t="s">
        <v>1513</v>
      </c>
      <c r="S150" s="246" t="s">
        <v>1514</v>
      </c>
      <c r="U150" s="245"/>
    </row>
    <row r="151" spans="1:21" ht="17.25" customHeight="1">
      <c r="A151" s="236">
        <v>150</v>
      </c>
      <c r="B151" s="249" t="str">
        <f t="array" ref="B151">INDEX('CENTRO - CESAR'!B:B, MATCH(S151, 'CENTRO - CESAR'!K:K, 0), )</f>
        <v>Cachicoto - Monzón</v>
      </c>
      <c r="C151" s="156" t="str">
        <f t="array" ref="C151">INDEX('CENTRO - CESAR'!C:C, MATCH(S151, 'CENTRO - CESAR'!K:K, 0), )</f>
        <v>Huanuco</v>
      </c>
      <c r="D151" s="156" t="str">
        <f t="array" ref="D151">INDEX('CENTRO - CESAR'!D:D, MATCH(S151, 'CENTRO - CESAR'!K:K, 0), )</f>
        <v>FM</v>
      </c>
      <c r="E151" s="156">
        <f t="array" ref="E151">INDEX('CENTRO - CESAR'!E:E, MATCH(S151, 'CENTRO - CESAR'!K:K, 0), )</f>
        <v>93.7</v>
      </c>
      <c r="F151" s="156">
        <f t="array" ref="F151">INDEX('CENTRO - CESAR'!F:F, MATCH(S151, 'CENTRO - CESAR'!K:K, 0), )</f>
        <v>28</v>
      </c>
      <c r="G151" s="159" t="str">
        <f t="array" ref="G151">INDEX('CENTRO - CESAR'!G:G, MATCH(S151, 'CENTRO - CESAR'!K:K, 0), )</f>
        <v>A.A</v>
      </c>
      <c r="H151" s="238" t="str">
        <f t="array" ref="H151">INDEX('CENTRO - CESAR'!H:H, MATCH(S151, 'CENTRO - CESAR'!K:K, 0), )</f>
        <v>CACHICOTO</v>
      </c>
      <c r="I151" s="239" t="str">
        <f t="array" ref="I151">INDEX('CENTRO - CESAR'!I:I, MATCH(S151, 'CENTRO - CESAR'!K:K, 0), )</f>
        <v>9/10/2025 -  -  Operativo de acuerdo a lo informado por el pastor Nolasco Ponciano, de la zona opera las 24 horas del día</v>
      </c>
      <c r="J151" s="240">
        <f t="array" ref="J151">INDEX('CENTRO - CESAR'!J:J, MATCH(S151, 'CENTRO - CESAR'!K:K, 0), )</f>
        <v>0</v>
      </c>
      <c r="K151" s="156" t="str">
        <f t="array" ref="K151">INDEX('CENTRO - CESAR'!K:K, MATCH(S151, 'CENTRO - CESAR'!K:K, 0), )</f>
        <v>C - 21</v>
      </c>
      <c r="L151" s="250">
        <f t="array" ref="L151">INDEX('CENTRO - CESAR'!L:L, MATCH(S151, 'CENTRO - CESAR'!K:K, 0), )</f>
        <v>0</v>
      </c>
      <c r="M151" s="251">
        <f t="array" ref="M151">INDEX('CENTRO - CESAR'!M:M, MATCH(S151, 'CENTRO - CESAR'!K:K, 0), )</f>
        <v>0</v>
      </c>
      <c r="N151" s="252">
        <f t="array" ref="N151">INDEX('CENTRO - CESAR'!N:N, MATCH(S151, 'CENTRO - CESAR'!K:K, 0), )</f>
        <v>0</v>
      </c>
      <c r="O151" s="253">
        <f t="array" ref="O151">INDEX('CENTRO - CESAR'!O:O, MATCH(S151, 'CENTRO - CESAR'!K:K, 0), )</f>
        <v>0</v>
      </c>
      <c r="P151" s="236">
        <v>-9.2156111111111105</v>
      </c>
      <c r="Q151" s="236">
        <v>-76.20986111111111</v>
      </c>
      <c r="R151" s="243" t="s">
        <v>1515</v>
      </c>
      <c r="S151" s="246" t="s">
        <v>1516</v>
      </c>
      <c r="U151" s="245"/>
    </row>
    <row r="152" spans="1:21" ht="17.25" customHeight="1">
      <c r="A152" s="236">
        <v>151</v>
      </c>
      <c r="B152" s="249" t="str">
        <f t="array" ref="B152">INDEX('CENTRO - CESAR'!B:B, MATCH(S152, 'CENTRO - CESAR'!K:K, 0), )</f>
        <v>Campoverde</v>
      </c>
      <c r="C152" s="156" t="str">
        <f t="array" ref="C152">INDEX('CENTRO - CESAR'!C:C, MATCH(S152, 'CENTRO - CESAR'!K:K, 0), )</f>
        <v>Ucayali</v>
      </c>
      <c r="D152" s="156" t="str">
        <f t="array" ref="D152">INDEX('CENTRO - CESAR'!D:D, MATCH(S152, 'CENTRO - CESAR'!K:K, 0), )</f>
        <v>FM</v>
      </c>
      <c r="E152" s="156">
        <f t="array" ref="E152">INDEX('CENTRO - CESAR'!E:E, MATCH(S152, 'CENTRO - CESAR'!K:K, 0), )</f>
        <v>93.3</v>
      </c>
      <c r="F152" s="156">
        <f t="array" ref="F152">INDEX('CENTRO - CESAR'!F:F, MATCH(S152, 'CENTRO - CESAR'!K:K, 0), )</f>
        <v>136</v>
      </c>
      <c r="G152" s="159" t="str">
        <f t="array" ref="G152">INDEX('CENTRO - CESAR'!G:G, MATCH(S152, 'CENTRO - CESAR'!K:K, 0), )</f>
        <v>A.A</v>
      </c>
      <c r="H152" s="238" t="str">
        <f t="array" ref="H152">INDEX('CENTRO - CESAR'!H:H, MATCH(S152, 'CENTRO - CESAR'!K:K, 0), )</f>
        <v>CAMPOVERDE</v>
      </c>
      <c r="I152" s="239" t="str">
        <f t="array" ref="I152">INDEX('CENTRO - CESAR'!I:I, MATCH(S152, 'CENTRO - CESAR'!K:K, 0), )</f>
        <v>4/09/2025 - Sectoristas - Operativo de acuerdo a lo informado por el pastor de la zona opera las 24 horas del día</v>
      </c>
      <c r="J152" s="240">
        <f t="array" ref="J152">INDEX('CENTRO - CESAR'!J:J, MATCH(S152, 'CENTRO - CESAR'!K:K, 0), )</f>
        <v>0</v>
      </c>
      <c r="K152" s="156" t="str">
        <f t="array" ref="K152">INDEX('CENTRO - CESAR'!K:K, MATCH(S152, 'CENTRO - CESAR'!K:K, 0), )</f>
        <v>C - 22</v>
      </c>
      <c r="L152" s="250">
        <f t="array" ref="L152">INDEX('CENTRO - CESAR'!L:L, MATCH(S152, 'CENTRO - CESAR'!K:K, 0), )</f>
        <v>0</v>
      </c>
      <c r="M152" s="251">
        <f t="array" ref="M152">INDEX('CENTRO - CESAR'!M:M, MATCH(S152, 'CENTRO - CESAR'!K:K, 0), )</f>
        <v>0</v>
      </c>
      <c r="N152" s="252">
        <f t="array" ref="N152">INDEX('CENTRO - CESAR'!N:N, MATCH(S152, 'CENTRO - CESAR'!K:K, 0), )</f>
        <v>0</v>
      </c>
      <c r="O152" s="253">
        <f t="array" ref="O152">INDEX('CENTRO - CESAR'!O:O, MATCH(S152, 'CENTRO - CESAR'!K:K, 0), )</f>
        <v>0</v>
      </c>
      <c r="P152" s="236">
        <v>-8.4822500000000005</v>
      </c>
      <c r="Q152" s="236">
        <v>-74.812972222222214</v>
      </c>
      <c r="R152" s="243" t="s">
        <v>1517</v>
      </c>
      <c r="S152" s="246" t="s">
        <v>1518</v>
      </c>
      <c r="U152" s="245"/>
    </row>
    <row r="153" spans="1:21" ht="17.25" customHeight="1">
      <c r="A153" s="236">
        <v>152</v>
      </c>
      <c r="B153" s="249" t="str">
        <f t="array" ref="B153">INDEX('CENTRO - CESAR'!B:B, MATCH(S153, 'CENTRO - CESAR'!K:K, 0), )</f>
        <v>Cangallo</v>
      </c>
      <c r="C153" s="156" t="str">
        <f t="array" ref="C153">INDEX('CENTRO - CESAR'!C:C, MATCH(S153, 'CENTRO - CESAR'!K:K, 0), )</f>
        <v>Ayacucho</v>
      </c>
      <c r="D153" s="156" t="str">
        <f t="array" ref="D153">INDEX('CENTRO - CESAR'!D:D, MATCH(S153, 'CENTRO - CESAR'!K:K, 0), )</f>
        <v>VHF</v>
      </c>
      <c r="E153" s="156">
        <f t="array" ref="E153">INDEX('CENTRO - CESAR'!E:E, MATCH(S153, 'CENTRO - CESAR'!K:K, 0), )</f>
        <v>9</v>
      </c>
      <c r="F153" s="156">
        <f t="array" ref="F153">INDEX('CENTRO - CESAR'!F:F, MATCH(S153, 'CENTRO - CESAR'!K:K, 0), )</f>
        <v>13</v>
      </c>
      <c r="G153" s="159" t="str">
        <f t="array" ref="G153">INDEX('CENTRO - CESAR'!G:G, MATCH(S153, 'CENTRO - CESAR'!K:K, 0), )</f>
        <v>A.A</v>
      </c>
      <c r="H153" s="238" t="str">
        <f t="array" ref="H153">INDEX('CENTRO - CESAR'!H:H, MATCH(S153, 'CENTRO - CESAR'!K:K, 0), )</f>
        <v>CANGALLO</v>
      </c>
      <c r="I153" s="239" t="str">
        <f t="array" ref="I153">INDEX('CENTRO - CESAR'!I:I, MATCH(S153, 'CENTRO - CESAR'!K:K, 0), )</f>
        <v>2/10/2025 - Sectoristas - Operativo de acuerdo a lo informado por el pastor de la zona</v>
      </c>
      <c r="J153" s="240">
        <f t="array" ref="J153">INDEX('CENTRO - CESAR'!J:J, MATCH(S153, 'CENTRO - CESAR'!K:K, 0), )</f>
        <v>0</v>
      </c>
      <c r="K153" s="156" t="str">
        <f t="array" ref="K153">INDEX('CENTRO - CESAR'!K:K, MATCH(S153, 'CENTRO - CESAR'!K:K, 0), )</f>
        <v>C - 23</v>
      </c>
      <c r="L153" s="250">
        <f t="array" ref="L153">INDEX('CENTRO - CESAR'!L:L, MATCH(S153, 'CENTRO - CESAR'!K:K, 0), )</f>
        <v>0</v>
      </c>
      <c r="M153" s="251">
        <f t="array" ref="M153">INDEX('CENTRO - CESAR'!M:M, MATCH(S153, 'CENTRO - CESAR'!K:K, 0), )</f>
        <v>0</v>
      </c>
      <c r="N153" s="252">
        <f t="array" ref="N153">INDEX('CENTRO - CESAR'!N:N, MATCH(S153, 'CENTRO - CESAR'!K:K, 0), )</f>
        <v>0</v>
      </c>
      <c r="O153" s="253">
        <f t="array" ref="O153">INDEX('CENTRO - CESAR'!O:O, MATCH(S153, 'CENTRO - CESAR'!K:K, 0), )</f>
        <v>0</v>
      </c>
      <c r="P153" s="236">
        <v>-13.608669444444445</v>
      </c>
      <c r="Q153" s="236">
        <v>-74.140950000000004</v>
      </c>
      <c r="R153" s="243" t="s">
        <v>1519</v>
      </c>
      <c r="S153" s="246" t="s">
        <v>1520</v>
      </c>
      <c r="U153" s="245"/>
    </row>
    <row r="154" spans="1:21" ht="17.25" customHeight="1">
      <c r="A154" s="236">
        <v>153</v>
      </c>
      <c r="B154" s="249" t="str">
        <f t="array" ref="B154">INDEX('CENTRO - CESAR'!B:B, MATCH(S154, 'CENTRO - CESAR'!K:K, 0), )</f>
        <v>Canta</v>
      </c>
      <c r="C154" s="156" t="str">
        <f t="array" ref="C154">INDEX('CENTRO - CESAR'!C:C, MATCH(S154, 'CENTRO - CESAR'!K:K, 0), )</f>
        <v>Lima</v>
      </c>
      <c r="D154" s="156" t="str">
        <f t="array" ref="D154">INDEX('CENTRO - CESAR'!D:D, MATCH(S154, 'CENTRO - CESAR'!K:K, 0), )</f>
        <v>FM</v>
      </c>
      <c r="E154" s="156">
        <f t="array" ref="E154">INDEX('CENTRO - CESAR'!E:E, MATCH(S154, 'CENTRO - CESAR'!K:K, 0), )</f>
        <v>97.7</v>
      </c>
      <c r="F154" s="156">
        <f t="array" ref="F154">INDEX('CENTRO - CESAR'!F:F, MATCH(S154, 'CENTRO - CESAR'!K:K, 0), )</f>
        <v>88</v>
      </c>
      <c r="G154" s="159" t="str">
        <f t="array" ref="G154">INDEX('CENTRO - CESAR'!G:G, MATCH(S154, 'CENTRO - CESAR'!K:K, 0), )</f>
        <v>A.A</v>
      </c>
      <c r="H154" s="238" t="str">
        <f t="array" ref="H154">INDEX('CENTRO - CESAR'!H:H, MATCH(S154, 'CENTRO - CESAR'!K:K, 0), )</f>
        <v>CANTA</v>
      </c>
      <c r="I154" s="239" t="str">
        <f t="array" ref="I154">INDEX('CENTRO - CESAR'!I:I, MATCH(S154, 'CENTRO - CESAR'!K:K, 0), )</f>
        <v>13/11/2025 - Ingeniería - Se puso nuevamente al aire la estación, con el apoyo del hno. Israel y Lizandro solucionando el tema del sistema satelital.</v>
      </c>
      <c r="J154" s="240">
        <f t="array" ref="J154">INDEX('CENTRO - CESAR'!J:J, MATCH(S154, 'CENTRO - CESAR'!K:K, 0), )</f>
        <v>0</v>
      </c>
      <c r="K154" s="156" t="str">
        <f t="array" ref="K154">INDEX('CENTRO - CESAR'!K:K, MATCH(S154, 'CENTRO - CESAR'!K:K, 0), )</f>
        <v>C - 24</v>
      </c>
      <c r="L154" s="250">
        <f t="array" ref="L154">INDEX('CENTRO - CESAR'!L:L, MATCH(S154, 'CENTRO - CESAR'!K:K, 0), )</f>
        <v>0</v>
      </c>
      <c r="M154" s="251">
        <f t="array" ref="M154">INDEX('CENTRO - CESAR'!M:M, MATCH(S154, 'CENTRO - CESAR'!K:K, 0), )</f>
        <v>0</v>
      </c>
      <c r="N154" s="252">
        <f t="array" ref="N154">INDEX('CENTRO - CESAR'!N:N, MATCH(S154, 'CENTRO - CESAR'!K:K, 0), )</f>
        <v>0</v>
      </c>
      <c r="O154" s="253">
        <f t="array" ref="O154">INDEX('CENTRO - CESAR'!O:O, MATCH(S154, 'CENTRO - CESAR'!K:K, 0), )</f>
        <v>0</v>
      </c>
      <c r="P154" s="236">
        <v>-11.468463888888889</v>
      </c>
      <c r="Q154" s="236">
        <v>-76.622683333333327</v>
      </c>
      <c r="R154" s="243" t="s">
        <v>1521</v>
      </c>
      <c r="S154" s="246" t="s">
        <v>1522</v>
      </c>
      <c r="U154" s="245"/>
    </row>
    <row r="155" spans="1:21" ht="17.25" customHeight="1">
      <c r="A155" s="236">
        <v>154</v>
      </c>
      <c r="B155" s="249" t="str">
        <f t="array" ref="B155">INDEX('CENTRO - CESAR'!B:B, MATCH(S155, 'CENTRO - CESAR'!K:K, 0), )</f>
        <v>Cañete - Imperial</v>
      </c>
      <c r="C155" s="156" t="str">
        <f t="array" ref="C155">INDEX('CENTRO - CESAR'!C:C, MATCH(S155, 'CENTRO - CESAR'!K:K, 0), )</f>
        <v>Lima</v>
      </c>
      <c r="D155" s="156" t="str">
        <f t="array" ref="D155">INDEX('CENTRO - CESAR'!D:D, MATCH(S155, 'CENTRO - CESAR'!K:K, 0), )</f>
        <v>FM</v>
      </c>
      <c r="E155" s="156">
        <f t="array" ref="E155">INDEX('CENTRO - CESAR'!E:E, MATCH(S155, 'CENTRO - CESAR'!K:K, 0), )</f>
        <v>97.1</v>
      </c>
      <c r="F155" s="156">
        <f t="array" ref="F155">INDEX('CENTRO - CESAR'!F:F, MATCH(S155, 'CENTRO - CESAR'!K:K, 0), )</f>
        <v>85</v>
      </c>
      <c r="G155" s="159" t="str">
        <f t="array" ref="G155">INDEX('CENTRO - CESAR'!G:G, MATCH(S155, 'CENTRO - CESAR'!K:K, 0), )</f>
        <v>F.A</v>
      </c>
      <c r="H155" s="238" t="str">
        <f t="array" ref="H155">INDEX('CENTRO - CESAR'!H:H, MATCH(S155, 'CENTRO - CESAR'!K:K, 0), )</f>
        <v>CAÑETE</v>
      </c>
      <c r="I155" s="239" t="str">
        <f t="array" ref="I155">INDEX('CENTRO - CESAR'!I:I, MATCH(S155, 'CENTRO - CESAR'!K:K, 0), )</f>
        <v>30/10/2025 - Sectoristas - La estación de radio se encuentra fuera del aire la siguiente semana se estará solucionando</v>
      </c>
      <c r="J155" s="240">
        <f t="array" ref="J155">INDEX('CENTRO - CESAR'!J:J, MATCH(S155, 'CENTRO - CESAR'!K:K, 0), )</f>
        <v>0</v>
      </c>
      <c r="K155" s="156" t="str">
        <f t="array" ref="K155">INDEX('CENTRO - CESAR'!K:K, MATCH(S155, 'CENTRO - CESAR'!K:K, 0), )</f>
        <v>C - 25</v>
      </c>
      <c r="L155" s="250">
        <f t="array" ref="L155">INDEX('CENTRO - CESAR'!L:L, MATCH(S155, 'CENTRO - CESAR'!K:K, 0), )</f>
        <v>0</v>
      </c>
      <c r="M155" s="251">
        <f t="array" ref="M155">INDEX('CENTRO - CESAR'!M:M, MATCH(S155, 'CENTRO - CESAR'!K:K, 0), )</f>
        <v>0</v>
      </c>
      <c r="N155" s="252">
        <f t="array" ref="N155">INDEX('CENTRO - CESAR'!N:N, MATCH(S155, 'CENTRO - CESAR'!K:K, 0), )</f>
        <v>0</v>
      </c>
      <c r="O155" s="253">
        <f t="array" ref="O155">INDEX('CENTRO - CESAR'!O:O, MATCH(S155, 'CENTRO - CESAR'!K:K, 0), )</f>
        <v>0</v>
      </c>
      <c r="P155" s="236">
        <v>-13.062330555555556</v>
      </c>
      <c r="Q155" s="236">
        <v>-76.374105555555545</v>
      </c>
      <c r="R155" s="243" t="s">
        <v>1523</v>
      </c>
      <c r="S155" s="246" t="s">
        <v>1219</v>
      </c>
      <c r="U155" s="245"/>
    </row>
    <row r="156" spans="1:21" ht="17.25" customHeight="1">
      <c r="A156" s="236">
        <v>155</v>
      </c>
      <c r="B156" s="249" t="str">
        <f t="array" ref="B156">INDEX('CENTRO - CESAR'!B:B, MATCH(S156, 'CENTRO - CESAR'!K:K, 0), )</f>
        <v>Cañete - San Vicente de Cañete</v>
      </c>
      <c r="C156" s="156" t="str">
        <f t="array" ref="C156">INDEX('CENTRO - CESAR'!C:C, MATCH(S156, 'CENTRO - CESAR'!K:K, 0), )</f>
        <v>Lima</v>
      </c>
      <c r="D156" s="156" t="str">
        <f t="array" ref="D156">INDEX('CENTRO - CESAR'!D:D, MATCH(S156, 'CENTRO - CESAR'!K:K, 0), )</f>
        <v>VHF</v>
      </c>
      <c r="E156" s="156">
        <f t="array" ref="E156">INDEX('CENTRO - CESAR'!E:E, MATCH(S156, 'CENTRO - CESAR'!K:K, 0), )</f>
        <v>6</v>
      </c>
      <c r="F156" s="156">
        <f t="array" ref="F156">INDEX('CENTRO - CESAR'!F:F, MATCH(S156, 'CENTRO - CESAR'!K:K, 0), )</f>
        <v>85</v>
      </c>
      <c r="G156" s="159" t="str">
        <f t="array" ref="G156">INDEX('CENTRO - CESAR'!G:G, MATCH(S156, 'CENTRO - CESAR'!K:K, 0), )</f>
        <v>F.A</v>
      </c>
      <c r="H156" s="238" t="str">
        <f t="array" ref="H156">INDEX('CENTRO - CESAR'!H:H, MATCH(S156, 'CENTRO - CESAR'!K:K, 0), )</f>
        <v>CAÑETE</v>
      </c>
      <c r="I156" s="239" t="str">
        <f t="array" ref="I156">INDEX('CENTRO - CESAR'!I:I, MATCH(S156, 'CENTRO - CESAR'!K:K, 0), )</f>
        <v>25/08/2025 - Sectoristas - Tx en laboratorio esta pendiente el deposito para su reparación un monto de 2000 mil soles</v>
      </c>
      <c r="J156" s="240">
        <f t="array" ref="J156">INDEX('CENTRO - CESAR'!J:J, MATCH(S156, 'CENTRO - CESAR'!K:K, 0), )</f>
        <v>0</v>
      </c>
      <c r="K156" s="156" t="str">
        <f t="array" ref="K156">INDEX('CENTRO - CESAR'!K:K, MATCH(S156, 'CENTRO - CESAR'!K:K, 0), )</f>
        <v>C - 26</v>
      </c>
      <c r="L156" s="250">
        <f t="array" ref="L156">INDEX('CENTRO - CESAR'!L:L, MATCH(S156, 'CENTRO - CESAR'!K:K, 0), )</f>
        <v>0</v>
      </c>
      <c r="M156" s="251">
        <f t="array" ref="M156">INDEX('CENTRO - CESAR'!M:M, MATCH(S156, 'CENTRO - CESAR'!K:K, 0), )</f>
        <v>0</v>
      </c>
      <c r="N156" s="252">
        <f t="array" ref="N156">INDEX('CENTRO - CESAR'!N:N, MATCH(S156, 'CENTRO - CESAR'!K:K, 0), )</f>
        <v>0</v>
      </c>
      <c r="O156" s="253">
        <f t="array" ref="O156">INDEX('CENTRO - CESAR'!O:O, MATCH(S156, 'CENTRO - CESAR'!K:K, 0), )</f>
        <v>0</v>
      </c>
      <c r="P156" s="236">
        <v>-13.062330555555556</v>
      </c>
      <c r="Q156" s="236">
        <v>-76.374105555555545</v>
      </c>
      <c r="R156" s="243" t="s">
        <v>1523</v>
      </c>
      <c r="S156" s="246" t="s">
        <v>1220</v>
      </c>
      <c r="U156" s="245"/>
    </row>
    <row r="157" spans="1:21" ht="17.25" customHeight="1">
      <c r="A157" s="236">
        <v>156</v>
      </c>
      <c r="B157" s="249" t="str">
        <f t="array" ref="B157">INDEX('CENTRO - CESAR'!B:B, MATCH(S157, 'CENTRO - CESAR'!K:K, 0), )</f>
        <v>Carhuamayo</v>
      </c>
      <c r="C157" s="156" t="str">
        <f t="array" ref="C157">INDEX('CENTRO - CESAR'!C:C, MATCH(S157, 'CENTRO - CESAR'!K:K, 0), )</f>
        <v>Junin</v>
      </c>
      <c r="D157" s="156" t="str">
        <f t="array" ref="D157">INDEX('CENTRO - CESAR'!D:D, MATCH(S157, 'CENTRO - CESAR'!K:K, 0), )</f>
        <v>VHF</v>
      </c>
      <c r="E157" s="156">
        <f t="array" ref="E157">INDEX('CENTRO - CESAR'!E:E, MATCH(S157, 'CENTRO - CESAR'!K:K, 0), )</f>
        <v>10</v>
      </c>
      <c r="F157" s="156">
        <f t="array" ref="F157">INDEX('CENTRO - CESAR'!F:F, MATCH(S157, 'CENTRO - CESAR'!K:K, 0), )</f>
        <v>71</v>
      </c>
      <c r="G157" s="159" t="str">
        <f t="array" ref="G157">INDEX('CENTRO - CESAR'!G:G, MATCH(S157, 'CENTRO - CESAR'!K:K, 0), )</f>
        <v>A.A</v>
      </c>
      <c r="H157" s="238" t="str">
        <f t="array" ref="H157">INDEX('CENTRO - CESAR'!H:H, MATCH(S157, 'CENTRO - CESAR'!K:K, 0), )</f>
        <v>CARHUAMAYO</v>
      </c>
      <c r="I157" s="239" t="str">
        <f t="array" ref="I157">INDEX('CENTRO - CESAR'!I:I, MATCH(S157, 'CENTRO - CESAR'!K:K, 0), )</f>
        <v>30/10/2025 - Sectoristas - Operativo de acuerdo a lo informado por el presbítero</v>
      </c>
      <c r="J157" s="240">
        <f t="array" ref="J157">INDEX('CENTRO - CESAR'!J:J, MATCH(S157, 'CENTRO - CESAR'!K:K, 0), )</f>
        <v>0</v>
      </c>
      <c r="K157" s="156" t="str">
        <f t="array" ref="K157">INDEX('CENTRO - CESAR'!K:K, MATCH(S157, 'CENTRO - CESAR'!K:K, 0), )</f>
        <v>C - 27</v>
      </c>
      <c r="L157" s="250">
        <f t="array" ref="L157">INDEX('CENTRO - CESAR'!L:L, MATCH(S157, 'CENTRO - CESAR'!K:K, 0), )</f>
        <v>0</v>
      </c>
      <c r="M157" s="251">
        <f t="array" ref="M157">INDEX('CENTRO - CESAR'!M:M, MATCH(S157, 'CENTRO - CESAR'!K:K, 0), )</f>
        <v>0</v>
      </c>
      <c r="N157" s="252">
        <f t="array" ref="N157">INDEX('CENTRO - CESAR'!N:N, MATCH(S157, 'CENTRO - CESAR'!K:K, 0), )</f>
        <v>0</v>
      </c>
      <c r="O157" s="253">
        <f t="array" ref="O157">INDEX('CENTRO - CESAR'!O:O, MATCH(S157, 'CENTRO - CESAR'!K:K, 0), )</f>
        <v>0</v>
      </c>
      <c r="P157" s="236">
        <v>-10.926058333333332</v>
      </c>
      <c r="Q157" s="236">
        <v>-76.057808333333327</v>
      </c>
      <c r="R157" s="243" t="s">
        <v>1524</v>
      </c>
      <c r="S157" s="246" t="s">
        <v>1525</v>
      </c>
      <c r="U157" s="245"/>
    </row>
    <row r="158" spans="1:21" ht="17.25" customHeight="1">
      <c r="A158" s="236">
        <v>157</v>
      </c>
      <c r="B158" s="249" t="str">
        <f t="array" ref="B158">INDEX('CENTRO - CESAR'!B:B, MATCH(S158, 'CENTRO - CESAR'!K:K, 0), )</f>
        <v>Carhuamayo</v>
      </c>
      <c r="C158" s="156" t="str">
        <f t="array" ref="C158">INDEX('CENTRO - CESAR'!C:C, MATCH(S158, 'CENTRO - CESAR'!K:K, 0), )</f>
        <v>Junin</v>
      </c>
      <c r="D158" s="156" t="str">
        <f t="array" ref="D158">INDEX('CENTRO - CESAR'!D:D, MATCH(S158, 'CENTRO - CESAR'!K:K, 0), )</f>
        <v>FM</v>
      </c>
      <c r="E158" s="156">
        <f t="array" ref="E158">INDEX('CENTRO - CESAR'!E:E, MATCH(S158, 'CENTRO - CESAR'!K:K, 0), )</f>
        <v>94.9</v>
      </c>
      <c r="F158" s="156">
        <f t="array" ref="F158">INDEX('CENTRO - CESAR'!F:F, MATCH(S158, 'CENTRO - CESAR'!K:K, 0), )</f>
        <v>71</v>
      </c>
      <c r="G158" s="159" t="str">
        <f t="array" ref="G158">INDEX('CENTRO - CESAR'!G:G, MATCH(S158, 'CENTRO - CESAR'!K:K, 0), )</f>
        <v>A.A</v>
      </c>
      <c r="H158" s="238" t="str">
        <f t="array" ref="H158">INDEX('CENTRO - CESAR'!H:H, MATCH(S158, 'CENTRO - CESAR'!K:K, 0), )</f>
        <v>CARHUAMAYO</v>
      </c>
      <c r="I158" s="239" t="str">
        <f t="array" ref="I158">INDEX('CENTRO - CESAR'!I:I, MATCH(S158, 'CENTRO - CESAR'!K:K, 0), )</f>
        <v>30/10/2025 - Sectoristas - Operativo de acuerdo a lo informado por el presbítero</v>
      </c>
      <c r="J158" s="240">
        <f t="array" ref="J158">INDEX('CENTRO - CESAR'!J:J, MATCH(S158, 'CENTRO - CESAR'!K:K, 0), )</f>
        <v>0</v>
      </c>
      <c r="K158" s="156" t="str">
        <f t="array" ref="K158">INDEX('CENTRO - CESAR'!K:K, MATCH(S158, 'CENTRO - CESAR'!K:K, 0), )</f>
        <v>C - 28</v>
      </c>
      <c r="L158" s="250">
        <f t="array" ref="L158">INDEX('CENTRO - CESAR'!L:L, MATCH(S158, 'CENTRO - CESAR'!K:K, 0), )</f>
        <v>0</v>
      </c>
      <c r="M158" s="251">
        <f t="array" ref="M158">INDEX('CENTRO - CESAR'!M:M, MATCH(S158, 'CENTRO - CESAR'!K:K, 0), )</f>
        <v>0</v>
      </c>
      <c r="N158" s="252">
        <f t="array" ref="N158">INDEX('CENTRO - CESAR'!N:N, MATCH(S158, 'CENTRO - CESAR'!K:K, 0), )</f>
        <v>0</v>
      </c>
      <c r="O158" s="253">
        <f t="array" ref="O158">INDEX('CENTRO - CESAR'!O:O, MATCH(S158, 'CENTRO - CESAR'!K:K, 0), )</f>
        <v>0</v>
      </c>
      <c r="P158" s="236">
        <v>-10.926058333333332</v>
      </c>
      <c r="Q158" s="236">
        <v>-76.057808333333327</v>
      </c>
      <c r="R158" s="243" t="s">
        <v>1524</v>
      </c>
      <c r="S158" s="246" t="s">
        <v>1526</v>
      </c>
      <c r="U158" s="245"/>
    </row>
    <row r="159" spans="1:21" ht="17.25" customHeight="1">
      <c r="A159" s="236">
        <v>158</v>
      </c>
      <c r="B159" s="249" t="str">
        <f t="array" ref="B159">INDEX('CENTRO - CESAR'!B:B, MATCH(S159, 'CENTRO - CESAR'!K:K, 0), )</f>
        <v>Casapalca-Chicla</v>
      </c>
      <c r="C159" s="156" t="str">
        <f t="array" ref="C159">INDEX('CENTRO - CESAR'!C:C, MATCH(S159, 'CENTRO - CESAR'!K:K, 0), )</f>
        <v>Lima</v>
      </c>
      <c r="D159" s="156" t="str">
        <f t="array" ref="D159">INDEX('CENTRO - CESAR'!D:D, MATCH(S159, 'CENTRO - CESAR'!K:K, 0), )</f>
        <v>FM</v>
      </c>
      <c r="E159" s="156">
        <f t="array" ref="E159">INDEX('CENTRO - CESAR'!E:E, MATCH(S159, 'CENTRO - CESAR'!K:K, 0), )</f>
        <v>98.1</v>
      </c>
      <c r="F159" s="156">
        <f t="array" ref="F159">INDEX('CENTRO - CESAR'!F:F, MATCH(S159, 'CENTRO - CESAR'!K:K, 0), )</f>
        <v>52</v>
      </c>
      <c r="G159" s="159" t="str">
        <f t="array" ref="G159">INDEX('CENTRO - CESAR'!G:G, MATCH(S159, 'CENTRO - CESAR'!K:K, 0), )</f>
        <v>A.A</v>
      </c>
      <c r="H159" s="238" t="str">
        <f t="array" ref="H159">INDEX('CENTRO - CESAR'!H:H, MATCH(S159, 'CENTRO - CESAR'!K:K, 0), )</f>
        <v>CASAPALCA</v>
      </c>
      <c r="I159" s="239" t="str">
        <f t="array" ref="I159">INDEX('CENTRO - CESAR'!I:I, MATCH(S159, 'CENTRO - CESAR'!K:K, 0), )</f>
        <v>26/08/2025 - Sectoristas - Operativo de acuerdo a lo informado por el hno José apoyo de la zona 52</v>
      </c>
      <c r="J159" s="240">
        <f t="array" ref="J159">INDEX('CENTRO - CESAR'!J:J, MATCH(S159, 'CENTRO - CESAR'!K:K, 0), )</f>
        <v>0</v>
      </c>
      <c r="K159" s="156" t="str">
        <f t="array" ref="K159">INDEX('CENTRO - CESAR'!K:K, MATCH(S159, 'CENTRO - CESAR'!K:K, 0), )</f>
        <v>C - 29</v>
      </c>
      <c r="L159" s="250">
        <f t="array" ref="L159">INDEX('CENTRO - CESAR'!L:L, MATCH(S159, 'CENTRO - CESAR'!K:K, 0), )</f>
        <v>0</v>
      </c>
      <c r="M159" s="251">
        <f t="array" ref="M159">INDEX('CENTRO - CESAR'!M:M, MATCH(S159, 'CENTRO - CESAR'!K:K, 0), )</f>
        <v>0</v>
      </c>
      <c r="N159" s="252">
        <f t="array" ref="N159">INDEX('CENTRO - CESAR'!N:N, MATCH(S159, 'CENTRO - CESAR'!K:K, 0), )</f>
        <v>0</v>
      </c>
      <c r="O159" s="253">
        <f t="array" ref="O159">INDEX('CENTRO - CESAR'!O:O, MATCH(S159, 'CENTRO - CESAR'!K:K, 0), )</f>
        <v>0</v>
      </c>
      <c r="P159" s="236">
        <v>-11.651305555555556</v>
      </c>
      <c r="Q159" s="236">
        <v>-76.23852222222223</v>
      </c>
      <c r="R159" s="243" t="s">
        <v>1527</v>
      </c>
      <c r="S159" s="246" t="s">
        <v>1528</v>
      </c>
      <c r="U159" s="245"/>
    </row>
    <row r="160" spans="1:21" ht="17.25" customHeight="1">
      <c r="A160" s="236">
        <v>159</v>
      </c>
      <c r="B160" s="249" t="str">
        <f t="array" ref="B160">INDEX('CENTRO - CESAR'!B:B, MATCH(S160, 'CENTRO - CESAR'!K:K, 0), )</f>
        <v>Cashapampa-Monzón</v>
      </c>
      <c r="C160" s="156" t="str">
        <f t="array" ref="C160">INDEX('CENTRO - CESAR'!C:C, MATCH(S160, 'CENTRO - CESAR'!K:K, 0), )</f>
        <v>Huanuco</v>
      </c>
      <c r="D160" s="156" t="str">
        <f t="array" ref="D160">INDEX('CENTRO - CESAR'!D:D, MATCH(S160, 'CENTRO - CESAR'!K:K, 0), )</f>
        <v>FM</v>
      </c>
      <c r="E160" s="156">
        <f t="array" ref="E160">INDEX('CENTRO - CESAR'!E:E, MATCH(S160, 'CENTRO - CESAR'!K:K, 0), )</f>
        <v>99.1</v>
      </c>
      <c r="F160" s="156">
        <f t="array" ref="F160">INDEX('CENTRO - CESAR'!F:F, MATCH(S160, 'CENTRO - CESAR'!K:K, 0), )</f>
        <v>28</v>
      </c>
      <c r="G160" s="159" t="str">
        <f t="array" ref="G160">INDEX('CENTRO - CESAR'!G:G, MATCH(S160, 'CENTRO - CESAR'!K:K, 0), )</f>
        <v>A.A</v>
      </c>
      <c r="H160" s="238" t="str">
        <f t="array" ref="H160">INDEX('CENTRO - CESAR'!H:H, MATCH(S160, 'CENTRO - CESAR'!K:K, 0), )</f>
        <v>CASHAPAMPA</v>
      </c>
      <c r="I160" s="239" t="str">
        <f t="array" ref="I160">INDEX('CENTRO - CESAR'!I:I, MATCH(S160, 'CENTRO - CESAR'!K:K, 0), )</f>
        <v>9/10/2025 - Sectoristas - Operativo de acuerdo a lo informado por el pastor Nolasco Ponciano, de la zona opera las 24 horas del día</v>
      </c>
      <c r="J160" s="240">
        <f t="array" ref="J160">INDEX('CENTRO - CESAR'!J:J, MATCH(S160, 'CENTRO - CESAR'!K:K, 0), )</f>
        <v>0</v>
      </c>
      <c r="K160" s="156" t="str">
        <f t="array" ref="K160">INDEX('CENTRO - CESAR'!K:K, MATCH(S160, 'CENTRO - CESAR'!K:K, 0), )</f>
        <v>C - 30</v>
      </c>
      <c r="L160" s="250">
        <f t="array" ref="L160">INDEX('CENTRO - CESAR'!L:L, MATCH(S160, 'CENTRO - CESAR'!K:K, 0), )</f>
        <v>0</v>
      </c>
      <c r="M160" s="251">
        <f t="array" ref="M160">INDEX('CENTRO - CESAR'!M:M, MATCH(S160, 'CENTRO - CESAR'!K:K, 0), )</f>
        <v>0</v>
      </c>
      <c r="N160" s="252">
        <f t="array" ref="N160">INDEX('CENTRO - CESAR'!N:N, MATCH(S160, 'CENTRO - CESAR'!K:K, 0), )</f>
        <v>0</v>
      </c>
      <c r="O160" s="253">
        <f t="array" ref="O160">INDEX('CENTRO - CESAR'!O:O, MATCH(S160, 'CENTRO - CESAR'!K:K, 0), )</f>
        <v>0</v>
      </c>
      <c r="P160" s="236">
        <v>-9.2313333333333336</v>
      </c>
      <c r="Q160" s="236">
        <v>-76.327083333333334</v>
      </c>
      <c r="R160" s="243" t="s">
        <v>1529</v>
      </c>
      <c r="S160" s="246" t="s">
        <v>1530</v>
      </c>
      <c r="U160" s="245"/>
    </row>
    <row r="161" spans="1:21" ht="17.25" customHeight="1">
      <c r="A161" s="236">
        <v>160</v>
      </c>
      <c r="B161" s="249" t="str">
        <f t="array" ref="B161">INDEX('CENTRO - CESAR'!B:B, MATCH(S161, 'CENTRO - CESAR'!K:K, 0), )</f>
        <v>Cayna</v>
      </c>
      <c r="C161" s="156" t="str">
        <f t="array" ref="C161">INDEX('CENTRO - CESAR'!C:C, MATCH(S161, 'CENTRO - CESAR'!K:K, 0), )</f>
        <v>Huanuco</v>
      </c>
      <c r="D161" s="156" t="str">
        <f t="array" ref="D161">INDEX('CENTRO - CESAR'!D:D, MATCH(S161, 'CENTRO - CESAR'!K:K, 0), )</f>
        <v>FM</v>
      </c>
      <c r="E161" s="156">
        <f t="array" ref="E161">INDEX('CENTRO - CESAR'!E:E, MATCH(S161, 'CENTRO - CESAR'!K:K, 0), )</f>
        <v>92.7</v>
      </c>
      <c r="F161" s="156">
        <f t="array" ref="F161">INDEX('CENTRO - CESAR'!F:F, MATCH(S161, 'CENTRO - CESAR'!K:K, 0), )</f>
        <v>87</v>
      </c>
      <c r="G161" s="159" t="str">
        <f t="array" ref="G161">INDEX('CENTRO - CESAR'!G:G, MATCH(S161, 'CENTRO - CESAR'!K:K, 0), )</f>
        <v>A.A</v>
      </c>
      <c r="H161" s="238" t="str">
        <f t="array" ref="H161">INDEX('CENTRO - CESAR'!H:H, MATCH(S161, 'CENTRO - CESAR'!K:K, 0), )</f>
        <v>CAYNA</v>
      </c>
      <c r="I161" s="239" t="str">
        <f t="array" ref="I161">INDEX('CENTRO - CESAR'!I:I, MATCH(S161, 'CENTRO - CESAR'!K:K, 0), )</f>
        <v>25/11/2025 - Ingeniería - Con el apoyo del ps. Nolasco, se hizo mantenimiento al tx e instalación de un estabilizador. La estación está al aire nuevamente.</v>
      </c>
      <c r="J161" s="240">
        <f t="array" ref="J161">INDEX('CENTRO - CESAR'!J:J, MATCH(S161, 'CENTRO - CESAR'!K:K, 0), )</f>
        <v>0</v>
      </c>
      <c r="K161" s="156" t="str">
        <f t="array" ref="K161">INDEX('CENTRO - CESAR'!K:K, MATCH(S161, 'CENTRO - CESAR'!K:K, 0), )</f>
        <v>C - 31</v>
      </c>
      <c r="L161" s="250" t="str">
        <f t="array" ref="L161">INDEX('CENTRO - CESAR'!L:L, MATCH(S161, 'CENTRO - CESAR'!K:K, 0), )</f>
        <v>Sectoristas</v>
      </c>
      <c r="M161" s="251" t="str">
        <f t="array" ref="M161">INDEX('CENTRO - CESAR'!M:M, MATCH(S161, 'CENTRO - CESAR'!K:K, 0), )</f>
        <v>Nivel 1</v>
      </c>
      <c r="N161" s="252">
        <f t="array" ref="N161">INDEX('CENTRO - CESAR'!N:N, MATCH(S161, 'CENTRO - CESAR'!K:K, 0), )</f>
        <v>0</v>
      </c>
      <c r="O161" s="253">
        <f t="array" ref="O161">INDEX('CENTRO - CESAR'!O:O, MATCH(S161, 'CENTRO - CESAR'!K:K, 0), )</f>
        <v>0</v>
      </c>
      <c r="P161" s="236">
        <v>-10.275777777777778</v>
      </c>
      <c r="Q161" s="236">
        <v>-76.384361111111119</v>
      </c>
      <c r="R161" s="243" t="s">
        <v>1531</v>
      </c>
      <c r="S161" s="246" t="s">
        <v>1532</v>
      </c>
      <c r="U161" s="245"/>
    </row>
    <row r="162" spans="1:21" ht="17.25" customHeight="1">
      <c r="A162" s="236">
        <v>161</v>
      </c>
      <c r="B162" s="249" t="str">
        <f t="array" ref="B162">INDEX('CENTRO - CESAR'!B:B, MATCH(S162, 'CENTRO - CESAR'!K:K, 0), )</f>
        <v>Chavin de Pariarca</v>
      </c>
      <c r="C162" s="156" t="str">
        <f t="array" ref="C162">INDEX('CENTRO - CESAR'!C:C, MATCH(S162, 'CENTRO - CESAR'!K:K, 0), )</f>
        <v>Huanuco</v>
      </c>
      <c r="D162" s="156" t="str">
        <f t="array" ref="D162">INDEX('CENTRO - CESAR'!D:D, MATCH(S162, 'CENTRO - CESAR'!K:K, 0), )</f>
        <v>FM</v>
      </c>
      <c r="E162" s="156">
        <f t="array" ref="E162">INDEX('CENTRO - CESAR'!E:E, MATCH(S162, 'CENTRO - CESAR'!K:K, 0), )</f>
        <v>94.5</v>
      </c>
      <c r="F162" s="156">
        <f t="array" ref="F162">INDEX('CENTRO - CESAR'!F:F, MATCH(S162, 'CENTRO - CESAR'!K:K, 0), )</f>
        <v>70</v>
      </c>
      <c r="G162" s="159" t="str">
        <f t="array" ref="G162">INDEX('CENTRO - CESAR'!G:G, MATCH(S162, 'CENTRO - CESAR'!K:K, 0), )</f>
        <v>A.A</v>
      </c>
      <c r="H162" s="238" t="str">
        <f t="array" ref="H162">INDEX('CENTRO - CESAR'!H:H, MATCH(S162, 'CENTRO - CESAR'!K:K, 0), )</f>
        <v>CHAVIN DE PARIARCA</v>
      </c>
      <c r="I162" s="239" t="str">
        <f t="array" ref="I162">INDEX('CENTRO - CESAR'!I:I, MATCH(S162, 'CENTRO - CESAR'!K:K, 0), )</f>
        <v>1/09/2025 - Sectoristas - Operativo de acuerdo a lo informado por el presbítero</v>
      </c>
      <c r="J162" s="240">
        <f t="array" ref="J162">INDEX('CENTRO - CESAR'!J:J, MATCH(S162, 'CENTRO - CESAR'!K:K, 0), )</f>
        <v>0</v>
      </c>
      <c r="K162" s="156" t="str">
        <f t="array" ref="K162">INDEX('CENTRO - CESAR'!K:K, MATCH(S162, 'CENTRO - CESAR'!K:K, 0), )</f>
        <v>C - 32</v>
      </c>
      <c r="L162" s="250">
        <f t="array" ref="L162">INDEX('CENTRO - CESAR'!L:L, MATCH(S162, 'CENTRO - CESAR'!K:K, 0), )</f>
        <v>0</v>
      </c>
      <c r="M162" s="251">
        <f t="array" ref="M162">INDEX('CENTRO - CESAR'!M:M, MATCH(S162, 'CENTRO - CESAR'!K:K, 0), )</f>
        <v>0</v>
      </c>
      <c r="N162" s="252">
        <f t="array" ref="N162">INDEX('CENTRO - CESAR'!N:N, MATCH(S162, 'CENTRO - CESAR'!K:K, 0), )</f>
        <v>0</v>
      </c>
      <c r="O162" s="253">
        <f t="array" ref="O162">INDEX('CENTRO - CESAR'!O:O, MATCH(S162, 'CENTRO - CESAR'!K:K, 0), )</f>
        <v>0</v>
      </c>
      <c r="P162" s="236">
        <v>-9.5176444444444446</v>
      </c>
      <c r="Q162" s="236">
        <v>-76.799422222222219</v>
      </c>
      <c r="R162" s="243" t="s">
        <v>1533</v>
      </c>
      <c r="S162" s="246" t="s">
        <v>1534</v>
      </c>
      <c r="U162" s="245"/>
    </row>
    <row r="163" spans="1:21" ht="17.25" customHeight="1">
      <c r="A163" s="236">
        <v>162</v>
      </c>
      <c r="B163" s="249" t="str">
        <f t="array" ref="B163">INDEX('CENTRO - CESAR'!B:B, MATCH(S163, 'CENTRO - CESAR'!K:K, 0), )</f>
        <v>Chinchihuasi</v>
      </c>
      <c r="C163" s="156" t="str">
        <f t="array" ref="C163">INDEX('CENTRO - CESAR'!C:C, MATCH(S163, 'CENTRO - CESAR'!K:K, 0), )</f>
        <v>Huancavelica</v>
      </c>
      <c r="D163" s="156" t="str">
        <f t="array" ref="D163">INDEX('CENTRO - CESAR'!D:D, MATCH(S163, 'CENTRO - CESAR'!K:K, 0), )</f>
        <v>FM</v>
      </c>
      <c r="E163" s="156">
        <f t="array" ref="E163">INDEX('CENTRO - CESAR'!E:E, MATCH(S163, 'CENTRO - CESAR'!K:K, 0), )</f>
        <v>104.7</v>
      </c>
      <c r="F163" s="156">
        <f t="array" ref="F163">INDEX('CENTRO - CESAR'!F:F, MATCH(S163, 'CENTRO - CESAR'!K:K, 0), )</f>
        <v>96</v>
      </c>
      <c r="G163" s="159" t="str">
        <f t="array" ref="G163">INDEX('CENTRO - CESAR'!G:G, MATCH(S163, 'CENTRO - CESAR'!K:K, 0), )</f>
        <v>A.A</v>
      </c>
      <c r="H163" s="238" t="str">
        <f t="array" ref="H163">INDEX('CENTRO - CESAR'!H:H, MATCH(S163, 'CENTRO - CESAR'!K:K, 0), )</f>
        <v>CHINCHIHUASI</v>
      </c>
      <c r="I163" s="239" t="str">
        <f t="array" ref="I163">INDEX('CENTRO - CESAR'!I:I, MATCH(S163, 'CENTRO - CESAR'!K:K, 0), )</f>
        <v>30/10/2025 - Sectoristas - Operativo de acuerdo a lo informado por el presbítero</v>
      </c>
      <c r="J163" s="240">
        <f t="array" ref="J163">INDEX('CENTRO - CESAR'!J:J, MATCH(S163, 'CENTRO - CESAR'!K:K, 0), )</f>
        <v>0</v>
      </c>
      <c r="K163" s="156" t="str">
        <f t="array" ref="K163">INDEX('CENTRO - CESAR'!K:K, MATCH(S163, 'CENTRO - CESAR'!K:K, 0), )</f>
        <v>C - 33</v>
      </c>
      <c r="L163" s="250">
        <f t="array" ref="L163">INDEX('CENTRO - CESAR'!L:L, MATCH(S163, 'CENTRO - CESAR'!K:K, 0), )</f>
        <v>0</v>
      </c>
      <c r="M163" s="251">
        <f t="array" ref="M163">INDEX('CENTRO - CESAR'!M:M, MATCH(S163, 'CENTRO - CESAR'!K:K, 0), )</f>
        <v>0</v>
      </c>
      <c r="N163" s="252">
        <f t="array" ref="N163">INDEX('CENTRO - CESAR'!N:N, MATCH(S163, 'CENTRO - CESAR'!K:K, 0), )</f>
        <v>0</v>
      </c>
      <c r="O163" s="253">
        <f t="array" ref="O163">INDEX('CENTRO - CESAR'!O:O, MATCH(S163, 'CENTRO - CESAR'!K:K, 0), )</f>
        <v>0</v>
      </c>
      <c r="P163" s="236">
        <v>-12.532272222222224</v>
      </c>
      <c r="Q163" s="236">
        <v>-74.595027777777773</v>
      </c>
      <c r="R163" s="243" t="s">
        <v>1535</v>
      </c>
      <c r="S163" s="246" t="s">
        <v>1536</v>
      </c>
      <c r="U163" s="245"/>
    </row>
    <row r="164" spans="1:21" ht="17.25" customHeight="1">
      <c r="A164" s="236">
        <v>163</v>
      </c>
      <c r="B164" s="249" t="str">
        <f t="array" ref="B164">INDEX('CENTRO - CESAR'!B:B, MATCH(S164, 'CENTRO - CESAR'!K:K, 0), )</f>
        <v xml:space="preserve">Chiquian </v>
      </c>
      <c r="C164" s="156" t="str">
        <f t="array" ref="C164">INDEX('CENTRO - CESAR'!C:C, MATCH(S164, 'CENTRO - CESAR'!K:K, 0), )</f>
        <v>Ancash</v>
      </c>
      <c r="D164" s="156" t="str">
        <f t="array" ref="D164">INDEX('CENTRO - CESAR'!D:D, MATCH(S164, 'CENTRO - CESAR'!K:K, 0), )</f>
        <v>FM</v>
      </c>
      <c r="E164" s="156">
        <f t="array" ref="E164">INDEX('CENTRO - CESAR'!E:E, MATCH(S164, 'CENTRO - CESAR'!K:K, 0), )</f>
        <v>98.9</v>
      </c>
      <c r="F164" s="156">
        <f t="array" ref="F164">INDEX('CENTRO - CESAR'!F:F, MATCH(S164, 'CENTRO - CESAR'!K:K, 0), )</f>
        <v>113</v>
      </c>
      <c r="G164" s="159" t="str">
        <f t="array" ref="G164">INDEX('CENTRO - CESAR'!G:G, MATCH(S164, 'CENTRO - CESAR'!K:K, 0), )</f>
        <v>A.A</v>
      </c>
      <c r="H164" s="238" t="str">
        <f t="array" ref="H164">INDEX('CENTRO - CESAR'!H:H, MATCH(S164, 'CENTRO - CESAR'!K:K, 0), )</f>
        <v>CHIQUIAN</v>
      </c>
      <c r="I164" s="239" t="str">
        <f t="array" ref="I164">INDEX('CENTRO - CESAR'!I:I, MATCH(S164, 'CENTRO - CESAR'!K:K, 0), )</f>
        <v>31/10/2025 - Sectoristas - Operativo de acuerdo a lo informado por el pastor de la zona,</v>
      </c>
      <c r="J164" s="240">
        <f t="array" ref="J164">INDEX('CENTRO - CESAR'!J:J, MATCH(S164, 'CENTRO - CESAR'!K:K, 0), )</f>
        <v>0</v>
      </c>
      <c r="K164" s="156" t="str">
        <f t="array" ref="K164">INDEX('CENTRO - CESAR'!K:K, MATCH(S164, 'CENTRO - CESAR'!K:K, 0), )</f>
        <v>C - 34</v>
      </c>
      <c r="L164" s="250">
        <f t="array" ref="L164">INDEX('CENTRO - CESAR'!L:L, MATCH(S164, 'CENTRO - CESAR'!K:K, 0), )</f>
        <v>0</v>
      </c>
      <c r="M164" s="251">
        <f t="array" ref="M164">INDEX('CENTRO - CESAR'!M:M, MATCH(S164, 'CENTRO - CESAR'!K:K, 0), )</f>
        <v>0</v>
      </c>
      <c r="N164" s="252">
        <f t="array" ref="N164">INDEX('CENTRO - CESAR'!N:N, MATCH(S164, 'CENTRO - CESAR'!K:K, 0), )</f>
        <v>0</v>
      </c>
      <c r="O164" s="253">
        <f t="array" ref="O164">INDEX('CENTRO - CESAR'!O:O, MATCH(S164, 'CENTRO - CESAR'!K:K, 0), )</f>
        <v>0</v>
      </c>
      <c r="P164" s="236">
        <v>-10.15538888888889</v>
      </c>
      <c r="Q164" s="236">
        <v>-77.159750000000003</v>
      </c>
      <c r="R164" s="243" t="s">
        <v>1537</v>
      </c>
      <c r="S164" s="246" t="s">
        <v>1538</v>
      </c>
      <c r="U164" s="245"/>
    </row>
    <row r="165" spans="1:21" ht="17.25" customHeight="1">
      <c r="A165" s="236">
        <v>164</v>
      </c>
      <c r="B165" s="249" t="str">
        <f t="array" ref="B165">INDEX('CENTRO - CESAR'!B:B, MATCH(S165, 'CENTRO - CESAR'!K:K, 0), )</f>
        <v>Chosica - Lurigancho</v>
      </c>
      <c r="C165" s="156" t="str">
        <f t="array" ref="C165">INDEX('CENTRO - CESAR'!C:C, MATCH(S165, 'CENTRO - CESAR'!K:K, 0), )</f>
        <v>Lima</v>
      </c>
      <c r="D165" s="156" t="str">
        <f t="array" ref="D165">INDEX('CENTRO - CESAR'!D:D, MATCH(S165, 'CENTRO - CESAR'!K:K, 0), )</f>
        <v>FM</v>
      </c>
      <c r="E165" s="156" t="str">
        <f t="array" ref="E165">INDEX('CENTRO - CESAR'!E:E, MATCH(S165, 'CENTRO - CESAR'!K:K, 0), )</f>
        <v>97.7</v>
      </c>
      <c r="F165" s="156">
        <f t="array" ref="F165">INDEX('CENTRO - CESAR'!F:F, MATCH(S165, 'CENTRO - CESAR'!K:K, 0), )</f>
        <v>52</v>
      </c>
      <c r="G165" s="159" t="str">
        <f t="array" ref="G165">INDEX('CENTRO - CESAR'!G:G, MATCH(S165, 'CENTRO - CESAR'!K:K, 0), )</f>
        <v>A.A</v>
      </c>
      <c r="H165" s="238" t="str">
        <f t="array" ref="H165">INDEX('CENTRO - CESAR'!H:H, MATCH(S165, 'CENTRO - CESAR'!K:K, 0), )</f>
        <v>CHOSICA</v>
      </c>
      <c r="I165" s="239" t="str">
        <f t="array" ref="I165">INDEX('CENTRO - CESAR'!I:I, MATCH(S165, 'CENTRO - CESAR'!K:K, 0), )</f>
        <v>30/10/2025 - Sectoristas - Operativo de acuerdo a lo informado por el hno José apoyo de la zona 52</v>
      </c>
      <c r="J165" s="240">
        <f t="array" ref="J165">INDEX('CENTRO - CESAR'!J:J, MATCH(S165, 'CENTRO - CESAR'!K:K, 0), )</f>
        <v>0</v>
      </c>
      <c r="K165" s="156" t="str">
        <f t="array" ref="K165">INDEX('CENTRO - CESAR'!K:K, MATCH(S165, 'CENTRO - CESAR'!K:K, 0), )</f>
        <v>C - 35</v>
      </c>
      <c r="L165" s="250">
        <f t="array" ref="L165">INDEX('CENTRO - CESAR'!L:L, MATCH(S165, 'CENTRO - CESAR'!K:K, 0), )</f>
        <v>0</v>
      </c>
      <c r="M165" s="251">
        <f t="array" ref="M165">INDEX('CENTRO - CESAR'!M:M, MATCH(S165, 'CENTRO - CESAR'!K:K, 0), )</f>
        <v>0</v>
      </c>
      <c r="N165" s="252">
        <f t="array" ref="N165">INDEX('CENTRO - CESAR'!N:N, MATCH(S165, 'CENTRO - CESAR'!K:K, 0), )</f>
        <v>0</v>
      </c>
      <c r="O165" s="253">
        <f t="array" ref="O165">INDEX('CENTRO - CESAR'!O:O, MATCH(S165, 'CENTRO - CESAR'!K:K, 0), )</f>
        <v>0</v>
      </c>
      <c r="P165" s="236">
        <v>-11.941041666666667</v>
      </c>
      <c r="Q165" s="236">
        <v>-76.699947222222221</v>
      </c>
      <c r="R165" s="243" t="s">
        <v>1539</v>
      </c>
      <c r="S165" s="246" t="s">
        <v>1540</v>
      </c>
      <c r="U165" s="245"/>
    </row>
    <row r="166" spans="1:21" ht="17.25" customHeight="1">
      <c r="A166" s="236">
        <v>165</v>
      </c>
      <c r="B166" s="249" t="str">
        <f t="array" ref="B166">INDEX('CENTRO - CESAR'!B:B, MATCH(S166, 'CENTRO - CESAR'!K:K, 0), )</f>
        <v>Cieneguilla</v>
      </c>
      <c r="C166" s="156" t="str">
        <f t="array" ref="C166">INDEX('CENTRO - CESAR'!C:C, MATCH(S166, 'CENTRO - CESAR'!K:K, 0), )</f>
        <v>Lima</v>
      </c>
      <c r="D166" s="156" t="str">
        <f t="array" ref="D166">INDEX('CENTRO - CESAR'!D:D, MATCH(S166, 'CENTRO - CESAR'!K:K, 0), )</f>
        <v>FM</v>
      </c>
      <c r="E166" s="156">
        <f t="array" ref="E166">INDEX('CENTRO - CESAR'!E:E, MATCH(S166, 'CENTRO - CESAR'!K:K, 0), )</f>
        <v>98.7</v>
      </c>
      <c r="F166" s="156">
        <f t="array" ref="F166">INDEX('CENTRO - CESAR'!F:F, MATCH(S166, 'CENTRO - CESAR'!K:K, 0), )</f>
        <v>36</v>
      </c>
      <c r="G166" s="159" t="str">
        <f t="array" ref="G166">INDEX('CENTRO - CESAR'!G:G, MATCH(S166, 'CENTRO - CESAR'!K:K, 0), )</f>
        <v>A.A</v>
      </c>
      <c r="H166" s="238" t="str">
        <f t="array" ref="H166">INDEX('CENTRO - CESAR'!H:H, MATCH(S166, 'CENTRO - CESAR'!K:K, 0), )</f>
        <v>CIENEGUILLA</v>
      </c>
      <c r="I166" s="239" t="str">
        <f t="array" ref="I166">INDEX('CENTRO - CESAR'!I:I, MATCH(S166, 'CENTRO - CESAR'!K:K, 0), )</f>
        <v>28/10/2025 - Sectoristas - Operativo de acuerdo a lo informado por el pastor Carlos encargado de la estación de radio opera entre 18 a 20 horas diarios</v>
      </c>
      <c r="J166" s="240">
        <f t="array" ref="J166">INDEX('CENTRO - CESAR'!J:J, MATCH(S166, 'CENTRO - CESAR'!K:K, 0), )</f>
        <v>0</v>
      </c>
      <c r="K166" s="156" t="str">
        <f t="array" ref="K166">INDEX('CENTRO - CESAR'!K:K, MATCH(S166, 'CENTRO - CESAR'!K:K, 0), )</f>
        <v>C - 36</v>
      </c>
      <c r="L166" s="250">
        <f t="array" ref="L166">INDEX('CENTRO - CESAR'!L:L, MATCH(S166, 'CENTRO - CESAR'!K:K, 0), )</f>
        <v>0</v>
      </c>
      <c r="M166" s="251">
        <f t="array" ref="M166">INDEX('CENTRO - CESAR'!M:M, MATCH(S166, 'CENTRO - CESAR'!K:K, 0), )</f>
        <v>0</v>
      </c>
      <c r="N166" s="252">
        <f t="array" ref="N166">INDEX('CENTRO - CESAR'!N:N, MATCH(S166, 'CENTRO - CESAR'!K:K, 0), )</f>
        <v>0</v>
      </c>
      <c r="O166" s="253">
        <f t="array" ref="O166">INDEX('CENTRO - CESAR'!O:O, MATCH(S166, 'CENTRO - CESAR'!K:K, 0), )</f>
        <v>0</v>
      </c>
      <c r="P166" s="236">
        <v>-12.110805555555554</v>
      </c>
      <c r="Q166" s="236">
        <v>-76.817222222222213</v>
      </c>
      <c r="R166" s="243" t="s">
        <v>1541</v>
      </c>
      <c r="S166" s="246" t="s">
        <v>1542</v>
      </c>
      <c r="U166" s="245"/>
    </row>
    <row r="167" spans="1:21" ht="17.25" customHeight="1">
      <c r="A167" s="236">
        <v>166</v>
      </c>
      <c r="B167" s="249" t="str">
        <f t="array" ref="B167">INDEX('CENTRO - CESAR'!B:B, MATCH(S167, 'CENTRO - CESAR'!K:K, 0), )</f>
        <v>Codo del Pozuzo</v>
      </c>
      <c r="C167" s="156" t="str">
        <f t="array" ref="C167">INDEX('CENTRO - CESAR'!C:C, MATCH(S167, 'CENTRO - CESAR'!K:K, 0), )</f>
        <v>Junin</v>
      </c>
      <c r="D167" s="156" t="str">
        <f t="array" ref="D167">INDEX('CENTRO - CESAR'!D:D, MATCH(S167, 'CENTRO - CESAR'!K:K, 0), )</f>
        <v>FM</v>
      </c>
      <c r="E167" s="156">
        <f t="array" ref="E167">INDEX('CENTRO - CESAR'!E:E, MATCH(S167, 'CENTRO - CESAR'!K:K, 0), )</f>
        <v>97.3</v>
      </c>
      <c r="F167" s="156">
        <f t="array" ref="F167">INDEX('CENTRO - CESAR'!F:F, MATCH(S167, 'CENTRO - CESAR'!K:K, 0), )</f>
        <v>32</v>
      </c>
      <c r="G167" s="159" t="str">
        <f t="array" ref="G167">INDEX('CENTRO - CESAR'!G:G, MATCH(S167, 'CENTRO - CESAR'!K:K, 0), )</f>
        <v>A.A</v>
      </c>
      <c r="H167" s="238" t="str">
        <f t="array" ref="H167">INDEX('CENTRO - CESAR'!H:H, MATCH(S167, 'CENTRO - CESAR'!K:K, 0), )</f>
        <v>CODO DEL POZUZO</v>
      </c>
      <c r="I167" s="239" t="str">
        <f t="array" ref="I167">INDEX('CENTRO - CESAR'!I:I, MATCH(S167, 'CENTRO - CESAR'!K:K, 0), )</f>
        <v>28/10/2025 - Sectoristas - Operativo de acuerdo a lo informado por el pastor Ps. Hermes responsable de la estación de radio (opera de 04 am a 11 pm)</v>
      </c>
      <c r="J167" s="240">
        <f t="array" ref="J167">INDEX('CENTRO - CESAR'!J:J, MATCH(S167, 'CENTRO - CESAR'!K:K, 0), )</f>
        <v>0</v>
      </c>
      <c r="K167" s="156" t="str">
        <f t="array" ref="K167">INDEX('CENTRO - CESAR'!K:K, MATCH(S167, 'CENTRO - CESAR'!K:K, 0), )</f>
        <v>C - 37</v>
      </c>
      <c r="L167" s="250">
        <f t="array" ref="L167">INDEX('CENTRO - CESAR'!L:L, MATCH(S167, 'CENTRO - CESAR'!K:K, 0), )</f>
        <v>0</v>
      </c>
      <c r="M167" s="251">
        <f t="array" ref="M167">INDEX('CENTRO - CESAR'!M:M, MATCH(S167, 'CENTRO - CESAR'!K:K, 0), )</f>
        <v>0</v>
      </c>
      <c r="N167" s="252">
        <f t="array" ref="N167">INDEX('CENTRO - CESAR'!N:N, MATCH(S167, 'CENTRO - CESAR'!K:K, 0), )</f>
        <v>0</v>
      </c>
      <c r="O167" s="253">
        <f t="array" ref="O167">INDEX('CENTRO - CESAR'!O:O, MATCH(S167, 'CENTRO - CESAR'!K:K, 0), )</f>
        <v>0</v>
      </c>
      <c r="P167" s="236">
        <v>-9.6712777777777763</v>
      </c>
      <c r="Q167" s="236">
        <v>-75.464250000000007</v>
      </c>
      <c r="R167" s="243" t="s">
        <v>1543</v>
      </c>
      <c r="S167" s="246" t="s">
        <v>1544</v>
      </c>
      <c r="U167" s="245"/>
    </row>
    <row r="168" spans="1:21" ht="17.25" customHeight="1">
      <c r="A168" s="236">
        <v>167</v>
      </c>
      <c r="B168" s="249" t="str">
        <f t="array" ref="B168">INDEX('CENTRO - CESAR'!B:B, MATCH(S168, 'CENTRO - CESAR'!K:K, 0), )</f>
        <v>Colcabamba</v>
      </c>
      <c r="C168" s="156" t="str">
        <f t="array" ref="C168">INDEX('CENTRO - CESAR'!C:C, MATCH(S168, 'CENTRO - CESAR'!K:K, 0), )</f>
        <v>Huancavelica</v>
      </c>
      <c r="D168" s="156" t="str">
        <f t="array" ref="D168">INDEX('CENTRO - CESAR'!D:D, MATCH(S168, 'CENTRO - CESAR'!K:K, 0), )</f>
        <v>VHF</v>
      </c>
      <c r="E168" s="156">
        <f t="array" ref="E168">INDEX('CENTRO - CESAR'!E:E, MATCH(S168, 'CENTRO - CESAR'!K:K, 0), )</f>
        <v>8</v>
      </c>
      <c r="F168" s="156">
        <f t="array" ref="F168">INDEX('CENTRO - CESAR'!F:F, MATCH(S168, 'CENTRO - CESAR'!K:K, 0), )</f>
        <v>96</v>
      </c>
      <c r="G168" s="159" t="str">
        <f t="array" ref="G168">INDEX('CENTRO - CESAR'!G:G, MATCH(S168, 'CENTRO - CESAR'!K:K, 0), )</f>
        <v>A.A</v>
      </c>
      <c r="H168" s="238" t="str">
        <f t="array" ref="H168">INDEX('CENTRO - CESAR'!H:H, MATCH(S168, 'CENTRO - CESAR'!K:K, 0), )</f>
        <v>COLCABAMBA</v>
      </c>
      <c r="I168" s="239" t="str">
        <f t="array" ref="I168">INDEX('CENTRO - CESAR'!I:I, MATCH(S168, 'CENTRO - CESAR'!K:K, 0), )</f>
        <v>30/10/2025 - Sectoristas - Operativo de acuerdo a lo informado por el presbítero</v>
      </c>
      <c r="J168" s="240" t="str">
        <f t="array" ref="J168">INDEX('CENTRO - CESAR'!J:J, MATCH(S168, 'CENTRO - CESAR'!K:K, 0), )</f>
        <v>T</v>
      </c>
      <c r="K168" s="156" t="str">
        <f t="array" ref="K168">INDEX('CENTRO - CESAR'!K:K, MATCH(S168, 'CENTRO - CESAR'!K:K, 0), )</f>
        <v>C - 38</v>
      </c>
      <c r="L168" s="250">
        <f t="array" ref="L168">INDEX('CENTRO - CESAR'!L:L, MATCH(S168, 'CENTRO - CESAR'!K:K, 0), )</f>
        <v>0</v>
      </c>
      <c r="M168" s="251">
        <f t="array" ref="M168">INDEX('CENTRO - CESAR'!M:M, MATCH(S168, 'CENTRO - CESAR'!K:K, 0), )</f>
        <v>0</v>
      </c>
      <c r="N168" s="252">
        <f t="array" ref="N168">INDEX('CENTRO - CESAR'!N:N, MATCH(S168, 'CENTRO - CESAR'!K:K, 0), )</f>
        <v>0</v>
      </c>
      <c r="O168" s="253">
        <f t="array" ref="O168">INDEX('CENTRO - CESAR'!O:O, MATCH(S168, 'CENTRO - CESAR'!K:K, 0), )</f>
        <v>0</v>
      </c>
      <c r="P168" s="236">
        <v>-12.417944444444444</v>
      </c>
      <c r="Q168" s="236">
        <v>-74.685583333333341</v>
      </c>
      <c r="R168" s="243" t="s">
        <v>1545</v>
      </c>
      <c r="S168" s="246" t="s">
        <v>1546</v>
      </c>
      <c r="U168" s="245"/>
    </row>
    <row r="169" spans="1:21" ht="17.25" customHeight="1">
      <c r="A169" s="236">
        <v>168</v>
      </c>
      <c r="B169" s="249" t="str">
        <f t="array" ref="B169">INDEX('CENTRO - CESAR'!B:B, MATCH(S169, 'CENTRO - CESAR'!K:K, 0), )</f>
        <v>Constitucion</v>
      </c>
      <c r="C169" s="156" t="str">
        <f t="array" ref="C169">INDEX('CENTRO - CESAR'!C:C, MATCH(S169, 'CENTRO - CESAR'!K:K, 0), )</f>
        <v>Pasco</v>
      </c>
      <c r="D169" s="156" t="str">
        <f t="array" ref="D169">INDEX('CENTRO - CESAR'!D:D, MATCH(S169, 'CENTRO - CESAR'!K:K, 0), )</f>
        <v>FM</v>
      </c>
      <c r="E169" s="156" t="str">
        <f t="array" ref="E169">INDEX('CENTRO - CESAR'!E:E, MATCH(S169, 'CENTRO - CESAR'!K:K, 0), )</f>
        <v>100.3</v>
      </c>
      <c r="F169" s="156">
        <f t="array" ref="F169">INDEX('CENTRO - CESAR'!F:F, MATCH(S169, 'CENTRO - CESAR'!K:K, 0), )</f>
        <v>32</v>
      </c>
      <c r="G169" s="159" t="str">
        <f t="array" ref="G169">INDEX('CENTRO - CESAR'!G:G, MATCH(S169, 'CENTRO - CESAR'!K:K, 0), )</f>
        <v>A.A</v>
      </c>
      <c r="H169" s="238" t="str">
        <f t="array" ref="H169">INDEX('CENTRO - CESAR'!H:H, MATCH(S169, 'CENTRO - CESAR'!K:K, 0), )</f>
        <v>CONSTITUCIÓN</v>
      </c>
      <c r="I169" s="239" t="str">
        <f t="array" ref="I169">INDEX('CENTRO - CESAR'!I:I, MATCH(S169, 'CENTRO - CESAR'!K:K, 0), )</f>
        <v>28/10/2025 - Sectoristas - Operativo de acuerdo a lo informado por el presbítero</v>
      </c>
      <c r="J169" s="240">
        <f t="array" ref="J169">INDEX('CENTRO - CESAR'!J:J, MATCH(S169, 'CENTRO - CESAR'!K:K, 0), )</f>
        <v>0</v>
      </c>
      <c r="K169" s="156" t="str">
        <f t="array" ref="K169">INDEX('CENTRO - CESAR'!K:K, MATCH(S169, 'CENTRO - CESAR'!K:K, 0), )</f>
        <v>C - 39</v>
      </c>
      <c r="L169" s="250">
        <f t="array" ref="L169">INDEX('CENTRO - CESAR'!L:L, MATCH(S169, 'CENTRO - CESAR'!K:K, 0), )</f>
        <v>0</v>
      </c>
      <c r="M169" s="251">
        <f t="array" ref="M169">INDEX('CENTRO - CESAR'!M:M, MATCH(S169, 'CENTRO - CESAR'!K:K, 0), )</f>
        <v>0</v>
      </c>
      <c r="N169" s="252">
        <f t="array" ref="N169">INDEX('CENTRO - CESAR'!N:N, MATCH(S169, 'CENTRO - CESAR'!K:K, 0), )</f>
        <v>0</v>
      </c>
      <c r="O169" s="253">
        <f t="array" ref="O169">INDEX('CENTRO - CESAR'!O:O, MATCH(S169, 'CENTRO - CESAR'!K:K, 0), )</f>
        <v>0</v>
      </c>
      <c r="P169" s="236">
        <v>-9.8414972222222232</v>
      </c>
      <c r="Q169" s="236">
        <v>-75.015799999999999</v>
      </c>
      <c r="R169" s="243" t="s">
        <v>1547</v>
      </c>
      <c r="S169" s="246" t="s">
        <v>1548</v>
      </c>
      <c r="U169" s="245"/>
    </row>
    <row r="170" spans="1:21" ht="17.25" customHeight="1">
      <c r="A170" s="236">
        <v>169</v>
      </c>
      <c r="B170" s="249" t="str">
        <f t="array" ref="B170">INDEX('CENTRO - CESAR'!B:B, MATCH(S170, 'CENTRO - CESAR'!K:K, 0), )</f>
        <v xml:space="preserve">Contamana </v>
      </c>
      <c r="C170" s="156" t="str">
        <f t="array" ref="C170">INDEX('CENTRO - CESAR'!C:C, MATCH(S170, 'CENTRO - CESAR'!K:K, 0), )</f>
        <v>Loreto</v>
      </c>
      <c r="D170" s="156" t="str">
        <f t="array" ref="D170">INDEX('CENTRO - CESAR'!D:D, MATCH(S170, 'CENTRO - CESAR'!K:K, 0), )</f>
        <v>FM</v>
      </c>
      <c r="E170" s="156">
        <f t="array" ref="E170">INDEX('CENTRO - CESAR'!E:E, MATCH(S170, 'CENTRO - CESAR'!K:K, 0), )</f>
        <v>93.3</v>
      </c>
      <c r="F170" s="156">
        <f t="array" ref="F170">INDEX('CENTRO - CESAR'!F:F, MATCH(S170, 'CENTRO - CESAR'!K:K, 0), )</f>
        <v>64</v>
      </c>
      <c r="G170" s="159" t="str">
        <f t="array" ref="G170">INDEX('CENTRO - CESAR'!G:G, MATCH(S170, 'CENTRO - CESAR'!K:K, 0), )</f>
        <v>A.A</v>
      </c>
      <c r="H170" s="238" t="str">
        <f t="array" ref="H170">INDEX('CENTRO - CESAR'!H:H, MATCH(S170, 'CENTRO - CESAR'!K:K, 0), )</f>
        <v>CONTAMANA</v>
      </c>
      <c r="I170" s="239" t="str">
        <f t="array" ref="I170">INDEX('CENTRO - CESAR'!I:I, MATCH(S170, 'CENTRO - CESAR'!K:K, 0), )</f>
        <v>11/11/2025 - Ingeniería - Se puso nuevamente al aire la estación. Pendiente de cotizar 2 ventiladores</v>
      </c>
      <c r="J170" s="240">
        <f t="array" ref="J170">INDEX('CENTRO - CESAR'!J:J, MATCH(S170, 'CENTRO - CESAR'!K:K, 0), )</f>
        <v>0</v>
      </c>
      <c r="K170" s="156" t="str">
        <f t="array" ref="K170">INDEX('CENTRO - CESAR'!K:K, MATCH(S170, 'CENTRO - CESAR'!K:K, 0), )</f>
        <v>C - 40</v>
      </c>
      <c r="L170" s="250" t="str">
        <f t="array" ref="L170">INDEX('CENTRO - CESAR'!L:L, MATCH(S170, 'CENTRO - CESAR'!K:K, 0), )</f>
        <v>Ingeniería</v>
      </c>
      <c r="M170" s="251" t="str">
        <f t="array" ref="M170">INDEX('CENTRO - CESAR'!M:M, MATCH(S170, 'CENTRO - CESAR'!K:K, 0), )</f>
        <v>Nivel 1</v>
      </c>
      <c r="N170" s="252">
        <f t="array" ref="N170">INDEX('CENTRO - CESAR'!N:N, MATCH(S170, 'CENTRO - CESAR'!K:K, 0), )</f>
        <v>0</v>
      </c>
      <c r="O170" s="253">
        <f t="array" ref="O170">INDEX('CENTRO - CESAR'!O:O, MATCH(S170, 'CENTRO - CESAR'!K:K, 0), )</f>
        <v>0</v>
      </c>
      <c r="P170" s="236">
        <v>-7.3421111111111106</v>
      </c>
      <c r="Q170" s="236">
        <v>-75.011583333333334</v>
      </c>
      <c r="R170" s="243" t="s">
        <v>1549</v>
      </c>
      <c r="S170" s="246" t="s">
        <v>1550</v>
      </c>
      <c r="U170" s="245"/>
    </row>
    <row r="171" spans="1:21" ht="17.25" customHeight="1">
      <c r="A171" s="236">
        <v>170</v>
      </c>
      <c r="B171" s="249" t="str">
        <f t="array" ref="B171">INDEX('CENTRO - CESAR'!B:B, MATCH(S171, 'CENTRO - CESAR'!K:K, 0), )</f>
        <v>Coracora</v>
      </c>
      <c r="C171" s="156" t="str">
        <f t="array" ref="C171">INDEX('CENTRO - CESAR'!C:C, MATCH(S171, 'CENTRO - CESAR'!K:K, 0), )</f>
        <v>Ayacucho</v>
      </c>
      <c r="D171" s="156" t="str">
        <f t="array" ref="D171">INDEX('CENTRO - CESAR'!D:D, MATCH(S171, 'CENTRO - CESAR'!K:K, 0), )</f>
        <v>FM</v>
      </c>
      <c r="E171" s="156">
        <f t="array" ref="E171">INDEX('CENTRO - CESAR'!E:E, MATCH(S171, 'CENTRO - CESAR'!K:K, 0), )</f>
        <v>95.9</v>
      </c>
      <c r="F171" s="156">
        <f t="array" ref="F171">INDEX('CENTRO - CESAR'!F:F, MATCH(S171, 'CENTRO - CESAR'!K:K, 0), )</f>
        <v>99</v>
      </c>
      <c r="G171" s="159" t="str">
        <f t="array" ref="G171">INDEX('CENTRO - CESAR'!G:G, MATCH(S171, 'CENTRO - CESAR'!K:K, 0), )</f>
        <v>A.A</v>
      </c>
      <c r="H171" s="238" t="str">
        <f t="array" ref="H171">INDEX('CENTRO - CESAR'!H:H, MATCH(S171, 'CENTRO - CESAR'!K:K, 0), )</f>
        <v>CORACORA</v>
      </c>
      <c r="I171" s="239" t="str">
        <f t="array" ref="I171">INDEX('CENTRO - CESAR'!I:I, MATCH(S171, 'CENTRO - CESAR'!K:K, 0), )</f>
        <v>30/10/2025 - Sectoristas - Operativo de acuerdo a lo informado por el pastor de la zona</v>
      </c>
      <c r="J171" s="240">
        <f t="array" ref="J171">INDEX('CENTRO - CESAR'!J:J, MATCH(S171, 'CENTRO - CESAR'!K:K, 0), )</f>
        <v>0</v>
      </c>
      <c r="K171" s="156" t="str">
        <f t="array" ref="K171">INDEX('CENTRO - CESAR'!K:K, MATCH(S171, 'CENTRO - CESAR'!K:K, 0), )</f>
        <v>C - 41</v>
      </c>
      <c r="L171" s="250">
        <f t="array" ref="L171">INDEX('CENTRO - CESAR'!L:L, MATCH(S171, 'CENTRO - CESAR'!K:K, 0), )</f>
        <v>0</v>
      </c>
      <c r="M171" s="251">
        <f t="array" ref="M171">INDEX('CENTRO - CESAR'!M:M, MATCH(S171, 'CENTRO - CESAR'!K:K, 0), )</f>
        <v>0</v>
      </c>
      <c r="N171" s="252">
        <f t="array" ref="N171">INDEX('CENTRO - CESAR'!N:N, MATCH(S171, 'CENTRO - CESAR'!K:K, 0), )</f>
        <v>0</v>
      </c>
      <c r="O171" s="253">
        <f t="array" ref="O171">INDEX('CENTRO - CESAR'!O:O, MATCH(S171, 'CENTRO - CESAR'!K:K, 0), )</f>
        <v>0</v>
      </c>
      <c r="P171" s="236">
        <v>-15.015483333333334</v>
      </c>
      <c r="Q171" s="236">
        <v>-73.751983333333328</v>
      </c>
      <c r="R171" s="243" t="s">
        <v>1551</v>
      </c>
      <c r="S171" s="246" t="s">
        <v>1552</v>
      </c>
      <c r="U171" s="245"/>
    </row>
    <row r="172" spans="1:21" ht="17.25" customHeight="1">
      <c r="A172" s="236">
        <v>171</v>
      </c>
      <c r="B172" s="249" t="str">
        <f t="array" ref="B172">INDEX('CENTRO - CESAR'!B:B, MATCH(S172, 'CENTRO - CESAR'!K:K, 0), )</f>
        <v>Coracora</v>
      </c>
      <c r="C172" s="156" t="str">
        <f t="array" ref="C172">INDEX('CENTRO - CESAR'!C:C, MATCH(S172, 'CENTRO - CESAR'!K:K, 0), )</f>
        <v>Ayacucho</v>
      </c>
      <c r="D172" s="156" t="str">
        <f t="array" ref="D172">INDEX('CENTRO - CESAR'!D:D, MATCH(S172, 'CENTRO - CESAR'!K:K, 0), )</f>
        <v>VHF</v>
      </c>
      <c r="E172" s="156">
        <f t="array" ref="E172">INDEX('CENTRO - CESAR'!E:E, MATCH(S172, 'CENTRO - CESAR'!K:K, 0), )</f>
        <v>9</v>
      </c>
      <c r="F172" s="156">
        <f t="array" ref="F172">INDEX('CENTRO - CESAR'!F:F, MATCH(S172, 'CENTRO - CESAR'!K:K, 0), )</f>
        <v>99</v>
      </c>
      <c r="G172" s="159" t="str">
        <f t="array" ref="G172">INDEX('CENTRO - CESAR'!G:G, MATCH(S172, 'CENTRO - CESAR'!K:K, 0), )</f>
        <v>A.A</v>
      </c>
      <c r="H172" s="238" t="str">
        <f t="array" ref="H172">INDEX('CENTRO - CESAR'!H:H, MATCH(S172, 'CENTRO - CESAR'!K:K, 0), )</f>
        <v>CORACORA</v>
      </c>
      <c r="I172" s="239" t="str">
        <f t="array" ref="I172">INDEX('CENTRO - CESAR'!I:I, MATCH(S172, 'CENTRO - CESAR'!K:K, 0), )</f>
        <v>30/10/2025 - Sectoristas - Operativo de acuerdo a lo informado por el pastor de la zona</v>
      </c>
      <c r="J172" s="240">
        <f t="array" ref="J172">INDEX('CENTRO - CESAR'!J:J, MATCH(S172, 'CENTRO - CESAR'!K:K, 0), )</f>
        <v>0</v>
      </c>
      <c r="K172" s="156" t="str">
        <f t="array" ref="K172">INDEX('CENTRO - CESAR'!K:K, MATCH(S172, 'CENTRO - CESAR'!K:K, 0), )</f>
        <v>C - 42</v>
      </c>
      <c r="L172" s="250">
        <f t="array" ref="L172">INDEX('CENTRO - CESAR'!L:L, MATCH(S172, 'CENTRO - CESAR'!K:K, 0), )</f>
        <v>0</v>
      </c>
      <c r="M172" s="251">
        <f t="array" ref="M172">INDEX('CENTRO - CESAR'!M:M, MATCH(S172, 'CENTRO - CESAR'!K:K, 0), )</f>
        <v>0</v>
      </c>
      <c r="N172" s="252">
        <f t="array" ref="N172">INDEX('CENTRO - CESAR'!N:N, MATCH(S172, 'CENTRO - CESAR'!K:K, 0), )</f>
        <v>0</v>
      </c>
      <c r="O172" s="253">
        <f t="array" ref="O172">INDEX('CENTRO - CESAR'!O:O, MATCH(S172, 'CENTRO - CESAR'!K:K, 0), )</f>
        <v>0</v>
      </c>
      <c r="P172" s="236">
        <v>-15.015483333333334</v>
      </c>
      <c r="Q172" s="236">
        <v>-73.751983333333328</v>
      </c>
      <c r="R172" s="243" t="s">
        <v>1551</v>
      </c>
      <c r="S172" s="246" t="s">
        <v>1553</v>
      </c>
      <c r="U172" s="245"/>
    </row>
    <row r="173" spans="1:21" ht="17.25" customHeight="1">
      <c r="A173" s="236">
        <v>172</v>
      </c>
      <c r="B173" s="249" t="str">
        <f t="array" ref="B173">INDEX('CENTRO - CESAR'!B:B, MATCH(S173, 'CENTRO - CESAR'!K:K, 0), )</f>
        <v>El Estrecho - Putumayo</v>
      </c>
      <c r="C173" s="156" t="str">
        <f t="array" ref="C173">INDEX('CENTRO - CESAR'!C:C, MATCH(S173, 'CENTRO - CESAR'!K:K, 0), )</f>
        <v>Loreto</v>
      </c>
      <c r="D173" s="156" t="str">
        <f t="array" ref="D173">INDEX('CENTRO - CESAR'!D:D, MATCH(S173, 'CENTRO - CESAR'!K:K, 0), )</f>
        <v>FM</v>
      </c>
      <c r="E173" s="156" t="str">
        <f t="array" ref="E173">INDEX('CENTRO - CESAR'!E:E, MATCH(S173, 'CENTRO - CESAR'!K:K, 0), )</f>
        <v>99.5</v>
      </c>
      <c r="F173" s="156">
        <f t="array" ref="F173">INDEX('CENTRO - CESAR'!F:F, MATCH(S173, 'CENTRO - CESAR'!K:K, 0), )</f>
        <v>86</v>
      </c>
      <c r="G173" s="159" t="str">
        <f t="array" ref="G173">INDEX('CENTRO - CESAR'!G:G, MATCH(S173, 'CENTRO - CESAR'!K:K, 0), )</f>
        <v>A.A</v>
      </c>
      <c r="H173" s="238" t="str">
        <f t="array" ref="H173">INDEX('CENTRO - CESAR'!H:H, MATCH(S173, 'CENTRO - CESAR'!K:K, 0), )</f>
        <v>EL ESTRECHO</v>
      </c>
      <c r="I173" s="239" t="str">
        <f t="array" ref="I173">INDEX('CENTRO - CESAR'!I:I, MATCH(S173, 'CENTRO - CESAR'!K:K, 0), )</f>
        <v>30/10/2025 - Sectoristas - Operativo de acuerdo a lo informado por el presbítero de la zona</v>
      </c>
      <c r="J173" s="240">
        <f t="array" ref="J173">INDEX('CENTRO - CESAR'!J:J, MATCH(S173, 'CENTRO - CESAR'!K:K, 0), )</f>
        <v>0</v>
      </c>
      <c r="K173" s="156" t="str">
        <f t="array" ref="K173">INDEX('CENTRO - CESAR'!K:K, MATCH(S173, 'CENTRO - CESAR'!K:K, 0), )</f>
        <v>C - 43</v>
      </c>
      <c r="L173" s="250">
        <f t="array" ref="L173">INDEX('CENTRO - CESAR'!L:L, MATCH(S173, 'CENTRO - CESAR'!K:K, 0), )</f>
        <v>0</v>
      </c>
      <c r="M173" s="251">
        <f t="array" ref="M173">INDEX('CENTRO - CESAR'!M:M, MATCH(S173, 'CENTRO - CESAR'!K:K, 0), )</f>
        <v>0</v>
      </c>
      <c r="N173" s="252">
        <f t="array" ref="N173">INDEX('CENTRO - CESAR'!N:N, MATCH(S173, 'CENTRO - CESAR'!K:K, 0), )</f>
        <v>0</v>
      </c>
      <c r="O173" s="253">
        <f t="array" ref="O173">INDEX('CENTRO - CESAR'!O:O, MATCH(S173, 'CENTRO - CESAR'!K:K, 0), )</f>
        <v>0</v>
      </c>
      <c r="P173" s="236">
        <v>-2.4526861111111113</v>
      </c>
      <c r="Q173" s="236">
        <v>-72.66888055555556</v>
      </c>
      <c r="R173" s="243" t="s">
        <v>1554</v>
      </c>
      <c r="S173" s="246" t="s">
        <v>1555</v>
      </c>
      <c r="U173" s="245"/>
    </row>
    <row r="174" spans="1:21" ht="17.25" customHeight="1">
      <c r="A174" s="236">
        <v>173</v>
      </c>
      <c r="B174" s="249" t="str">
        <f t="array" ref="B174">INDEX('CENTRO - CESAR'!B:B, MATCH(S174, 'CENTRO - CESAR'!K:K, 0), )</f>
        <v>Huacho</v>
      </c>
      <c r="C174" s="156" t="str">
        <f t="array" ref="C174">INDEX('CENTRO - CESAR'!C:C, MATCH(S174, 'CENTRO - CESAR'!K:K, 0), )</f>
        <v>Lima</v>
      </c>
      <c r="D174" s="156" t="str">
        <f t="array" ref="D174">INDEX('CENTRO - CESAR'!D:D, MATCH(S174, 'CENTRO - CESAR'!K:K, 0), )</f>
        <v>FM</v>
      </c>
      <c r="E174" s="156">
        <f t="array" ref="E174">INDEX('CENTRO - CESAR'!E:E, MATCH(S174, 'CENTRO - CESAR'!K:K, 0), )</f>
        <v>89.1</v>
      </c>
      <c r="F174" s="156">
        <f t="array" ref="F174">INDEX('CENTRO - CESAR'!F:F, MATCH(S174, 'CENTRO - CESAR'!K:K, 0), )</f>
        <v>20</v>
      </c>
      <c r="G174" s="159" t="str">
        <f t="array" ref="G174">INDEX('CENTRO - CESAR'!G:G, MATCH(S174, 'CENTRO - CESAR'!K:K, 0), )</f>
        <v>A.A</v>
      </c>
      <c r="H174" s="238" t="str">
        <f t="array" ref="H174">INDEX('CENTRO - CESAR'!H:H, MATCH(S174, 'CENTRO - CESAR'!K:K, 0), )</f>
        <v>HUACHO</v>
      </c>
      <c r="I174" s="239" t="str">
        <f t="array" ref="I174">INDEX('CENTRO - CESAR'!I:I, MATCH(S174, 'CENTRO - CESAR'!K:K, 0), )</f>
        <v>3/10/2025 - Sectoristas - Operativo de acuerdo a lo informado por el pastor de la zona</v>
      </c>
      <c r="J174" s="240">
        <f t="array" ref="J174">INDEX('CENTRO - CESAR'!J:J, MATCH(S174, 'CENTRO - CESAR'!K:K, 0), )</f>
        <v>0</v>
      </c>
      <c r="K174" s="156" t="str">
        <f t="array" ref="K174">INDEX('CENTRO - CESAR'!K:K, MATCH(S174, 'CENTRO - CESAR'!K:K, 0), )</f>
        <v>C - 44</v>
      </c>
      <c r="L174" s="250">
        <f t="array" ref="L174">INDEX('CENTRO - CESAR'!L:L, MATCH(S174, 'CENTRO - CESAR'!K:K, 0), )</f>
        <v>0</v>
      </c>
      <c r="M174" s="251">
        <f t="array" ref="M174">INDEX('CENTRO - CESAR'!M:M, MATCH(S174, 'CENTRO - CESAR'!K:K, 0), )</f>
        <v>0</v>
      </c>
      <c r="N174" s="252">
        <f t="array" ref="N174">INDEX('CENTRO - CESAR'!N:N, MATCH(S174, 'CENTRO - CESAR'!K:K, 0), )</f>
        <v>0</v>
      </c>
      <c r="O174" s="253">
        <f t="array" ref="O174">INDEX('CENTRO - CESAR'!O:O, MATCH(S174, 'CENTRO - CESAR'!K:K, 0), )</f>
        <v>0</v>
      </c>
      <c r="P174" s="236">
        <v>-11.131327777777779</v>
      </c>
      <c r="Q174" s="236">
        <v>-77.594544444444438</v>
      </c>
      <c r="R174" s="243" t="s">
        <v>1556</v>
      </c>
      <c r="S174" s="246" t="s">
        <v>1557</v>
      </c>
      <c r="U174" s="245"/>
    </row>
    <row r="175" spans="1:21" ht="17.25" customHeight="1">
      <c r="A175" s="236">
        <v>174</v>
      </c>
      <c r="B175" s="249" t="str">
        <f t="array" ref="B175">INDEX('CENTRO - CESAR'!B:B, MATCH(S175, 'CENTRO - CESAR'!K:K, 0), )</f>
        <v>Huacho - Santa Maria</v>
      </c>
      <c r="C175" s="156" t="str">
        <f t="array" ref="C175">INDEX('CENTRO - CESAR'!C:C, MATCH(S175, 'CENTRO - CESAR'!K:K, 0), )</f>
        <v>Lima</v>
      </c>
      <c r="D175" s="156" t="str">
        <f t="array" ref="D175">INDEX('CENTRO - CESAR'!D:D, MATCH(S175, 'CENTRO - CESAR'!K:K, 0), )</f>
        <v>AM</v>
      </c>
      <c r="E175" s="156">
        <f t="array" ref="E175">INDEX('CENTRO - CESAR'!E:E, MATCH(S175, 'CENTRO - CESAR'!K:K, 0), )</f>
        <v>1410</v>
      </c>
      <c r="F175" s="156">
        <f t="array" ref="F175">INDEX('CENTRO - CESAR'!F:F, MATCH(S175, 'CENTRO - CESAR'!K:K, 0), )</f>
        <v>20</v>
      </c>
      <c r="G175" s="159" t="str">
        <f t="array" ref="G175">INDEX('CENTRO - CESAR'!G:G, MATCH(S175, 'CENTRO - CESAR'!K:K, 0), )</f>
        <v>N.I</v>
      </c>
      <c r="H175" s="238" t="str">
        <f t="array" ref="H175">INDEX('CENTRO - CESAR'!H:H, MATCH(S175, 'CENTRO - CESAR'!K:K, 0), )</f>
        <v>HUACHO OM</v>
      </c>
      <c r="I175" s="239" t="str">
        <f t="array" ref="I175">INDEX('CENTRO - CESAR'!I:I, MATCH(S175, 'CENTRO - CESAR'!K:K, 0), )</f>
        <v>31/10/2025 - Sectoristas - A la fecha la estación sigue inoperativo</v>
      </c>
      <c r="J175" s="240">
        <f t="array" ref="J175">INDEX('CENTRO - CESAR'!J:J, MATCH(S175, 'CENTRO - CESAR'!K:K, 0), )</f>
        <v>0</v>
      </c>
      <c r="K175" s="156" t="str">
        <f t="array" ref="K175">INDEX('CENTRO - CESAR'!K:K, MATCH(S175, 'CENTRO - CESAR'!K:K, 0), )</f>
        <v>C - 45</v>
      </c>
      <c r="L175" s="250">
        <f t="array" ref="L175">INDEX('CENTRO - CESAR'!L:L, MATCH(S175, 'CENTRO - CESAR'!K:K, 0), )</f>
        <v>0</v>
      </c>
      <c r="M175" s="251">
        <f t="array" ref="M175">INDEX('CENTRO - CESAR'!M:M, MATCH(S175, 'CENTRO - CESAR'!K:K, 0), )</f>
        <v>0</v>
      </c>
      <c r="N175" s="252">
        <f t="array" ref="N175">INDEX('CENTRO - CESAR'!N:N, MATCH(S175, 'CENTRO - CESAR'!K:K, 0), )</f>
        <v>0</v>
      </c>
      <c r="O175" s="253">
        <f t="array" ref="O175">INDEX('CENTRO - CESAR'!O:O, MATCH(S175, 'CENTRO - CESAR'!K:K, 0), )</f>
        <v>0</v>
      </c>
      <c r="P175" s="236">
        <v>-11.109472222222221</v>
      </c>
      <c r="Q175" s="236">
        <v>-77.566388888888881</v>
      </c>
      <c r="R175" s="243" t="s">
        <v>1558</v>
      </c>
      <c r="S175" s="246" t="s">
        <v>1559</v>
      </c>
      <c r="U175" s="245"/>
    </row>
    <row r="176" spans="1:21" ht="17.25" customHeight="1">
      <c r="A176" s="236">
        <v>175</v>
      </c>
      <c r="B176" s="249" t="str">
        <f t="array" ref="B176">INDEX('CENTRO - CESAR'!B:B, MATCH(S176, 'CENTRO - CESAR'!K:K, 0), )</f>
        <v>Huancapallac</v>
      </c>
      <c r="C176" s="156" t="str">
        <f t="array" ref="C176">INDEX('CENTRO - CESAR'!C:C, MATCH(S176, 'CENTRO - CESAR'!K:K, 0), )</f>
        <v>Huanuco</v>
      </c>
      <c r="D176" s="156" t="str">
        <f t="array" ref="D176">INDEX('CENTRO - CESAR'!D:D, MATCH(S176, 'CENTRO - CESAR'!K:K, 0), )</f>
        <v>FM</v>
      </c>
      <c r="E176" s="156">
        <f t="array" ref="E176">INDEX('CENTRO - CESAR'!E:E, MATCH(S176, 'CENTRO - CESAR'!K:K, 0), )</f>
        <v>98.1</v>
      </c>
      <c r="F176" s="156">
        <f t="array" ref="F176">INDEX('CENTRO - CESAR'!F:F, MATCH(S176, 'CENTRO - CESAR'!K:K, 0), )</f>
        <v>27</v>
      </c>
      <c r="G176" s="159" t="str">
        <f t="array" ref="G176">INDEX('CENTRO - CESAR'!G:G, MATCH(S176, 'CENTRO - CESAR'!K:K, 0), )</f>
        <v>N.I</v>
      </c>
      <c r="H176" s="238" t="str">
        <f t="array" ref="H176">INDEX('CENTRO - CESAR'!H:H, MATCH(S176, 'CENTRO - CESAR'!K:K, 0), )</f>
        <v>HUANCAPALLAC</v>
      </c>
      <c r="I176" s="239" t="str">
        <f t="array" ref="I176">INDEX('CENTRO - CESAR'!I:I, MATCH(S176, 'CENTRO - CESAR'!K:K, 0), )</f>
        <v>7/05/2025 - Sectoristas - La estación de radio fue aprobada en diciembre del 2024 teniendo como plazo mínimo para su instalación hasta diciembre del 2025</v>
      </c>
      <c r="J176" s="240">
        <f t="array" ref="J176">INDEX('CENTRO - CESAR'!J:J, MATCH(S176, 'CENTRO - CESAR'!K:K, 0), )</f>
        <v>0</v>
      </c>
      <c r="K176" s="156" t="str">
        <f t="array" ref="K176">INDEX('CENTRO - CESAR'!K:K, MATCH(S176, 'CENTRO - CESAR'!K:K, 0), )</f>
        <v>C - 46</v>
      </c>
      <c r="L176" s="250">
        <f t="array" ref="L176">INDEX('CENTRO - CESAR'!L:L, MATCH(S176, 'CENTRO - CESAR'!K:K, 0), )</f>
        <v>0</v>
      </c>
      <c r="M176" s="251">
        <f t="array" ref="M176">INDEX('CENTRO - CESAR'!M:M, MATCH(S176, 'CENTRO - CESAR'!K:K, 0), )</f>
        <v>0</v>
      </c>
      <c r="N176" s="252">
        <f t="array" ref="N176">INDEX('CENTRO - CESAR'!N:N, MATCH(S176, 'CENTRO - CESAR'!K:K, 0), )</f>
        <v>0</v>
      </c>
      <c r="O176" s="253">
        <f t="array" ref="O176">INDEX('CENTRO - CESAR'!O:O, MATCH(S176, 'CENTRO - CESAR'!K:K, 0), )</f>
        <v>0</v>
      </c>
      <c r="R176" s="248"/>
      <c r="S176" s="246" t="s">
        <v>1560</v>
      </c>
      <c r="U176" s="245"/>
    </row>
    <row r="177" spans="1:21" ht="17.25" customHeight="1">
      <c r="A177" s="236">
        <v>176</v>
      </c>
      <c r="B177" s="249" t="str">
        <f t="array" ref="B177">INDEX('CENTRO - CESAR'!B:B, MATCH(S177, 'CENTRO - CESAR'!K:K, 0), )</f>
        <v>Huancavelica</v>
      </c>
      <c r="C177" s="156" t="str">
        <f t="array" ref="C177">INDEX('CENTRO - CESAR'!C:C, MATCH(S177, 'CENTRO - CESAR'!K:K, 0), )</f>
        <v>Huancavelica</v>
      </c>
      <c r="D177" s="156" t="str">
        <f t="array" ref="D177">INDEX('CENTRO - CESAR'!D:D, MATCH(S177, 'CENTRO - CESAR'!K:K, 0), )</f>
        <v>FM</v>
      </c>
      <c r="E177" s="156">
        <f t="array" ref="E177">INDEX('CENTRO - CESAR'!E:E, MATCH(S177, 'CENTRO - CESAR'!K:K, 0), )</f>
        <v>101.1</v>
      </c>
      <c r="F177" s="156">
        <f t="array" ref="F177">INDEX('CENTRO - CESAR'!F:F, MATCH(S177, 'CENTRO - CESAR'!K:K, 0), )</f>
        <v>63</v>
      </c>
      <c r="G177" s="159" t="str">
        <f t="array" ref="G177">INDEX('CENTRO - CESAR'!G:G, MATCH(S177, 'CENTRO - CESAR'!K:K, 0), )</f>
        <v>A.A</v>
      </c>
      <c r="H177" s="238" t="str">
        <f t="array" ref="H177">INDEX('CENTRO - CESAR'!H:H, MATCH(S177, 'CENTRO - CESAR'!K:K, 0), )</f>
        <v>HUANCAVELICA</v>
      </c>
      <c r="I177" s="239" t="str">
        <f t="array" ref="I177">INDEX('CENTRO - CESAR'!I:I, MATCH(S177, 'CENTRO - CESAR'!K:K, 0), )</f>
        <v>29/10/2025 - Sectoristas - Operativo de acuerdo a lo informado por el presbítero</v>
      </c>
      <c r="J177" s="240">
        <f t="array" ref="J177">INDEX('CENTRO - CESAR'!J:J, MATCH(S177, 'CENTRO - CESAR'!K:K, 0), )</f>
        <v>0</v>
      </c>
      <c r="K177" s="156" t="str">
        <f t="array" ref="K177">INDEX('CENTRO - CESAR'!K:K, MATCH(S177, 'CENTRO - CESAR'!K:K, 0), )</f>
        <v>C - 47</v>
      </c>
      <c r="L177" s="250">
        <f t="array" ref="L177">INDEX('CENTRO - CESAR'!L:L, MATCH(S177, 'CENTRO - CESAR'!K:K, 0), )</f>
        <v>0</v>
      </c>
      <c r="M177" s="251">
        <f t="array" ref="M177">INDEX('CENTRO - CESAR'!M:M, MATCH(S177, 'CENTRO - CESAR'!K:K, 0), )</f>
        <v>0</v>
      </c>
      <c r="N177" s="252">
        <f t="array" ref="N177">INDEX('CENTRO - CESAR'!N:N, MATCH(S177, 'CENTRO - CESAR'!K:K, 0), )</f>
        <v>0</v>
      </c>
      <c r="O177" s="253">
        <f t="array" ref="O177">INDEX('CENTRO - CESAR'!O:O, MATCH(S177, 'CENTRO - CESAR'!K:K, 0), )</f>
        <v>0</v>
      </c>
      <c r="P177" s="236">
        <v>-12.789927777777777</v>
      </c>
      <c r="Q177" s="236">
        <v>-74.969525000000004</v>
      </c>
      <c r="R177" s="243" t="s">
        <v>1561</v>
      </c>
      <c r="S177" s="246" t="s">
        <v>1562</v>
      </c>
      <c r="U177" s="245"/>
    </row>
    <row r="178" spans="1:21" ht="17.25" customHeight="1">
      <c r="A178" s="236">
        <v>177</v>
      </c>
      <c r="B178" s="249" t="str">
        <f t="array" ref="B178">INDEX('CENTRO - CESAR'!B:B, MATCH(S178, 'CENTRO - CESAR'!K:K, 0), )</f>
        <v>Huancayo</v>
      </c>
      <c r="C178" s="156" t="str">
        <f t="array" ref="C178">INDEX('CENTRO - CESAR'!C:C, MATCH(S178, 'CENTRO - CESAR'!K:K, 0), )</f>
        <v>Junin</v>
      </c>
      <c r="D178" s="156" t="str">
        <f t="array" ref="D178">INDEX('CENTRO - CESAR'!D:D, MATCH(S178, 'CENTRO - CESAR'!K:K, 0), )</f>
        <v>UHF</v>
      </c>
      <c r="E178" s="156">
        <f t="array" ref="E178">INDEX('CENTRO - CESAR'!E:E, MATCH(S178, 'CENTRO - CESAR'!K:K, 0), )</f>
        <v>29</v>
      </c>
      <c r="F178" s="156">
        <f t="array" ref="F178">INDEX('CENTRO - CESAR'!F:F, MATCH(S178, 'CENTRO - CESAR'!K:K, 0), )</f>
        <v>15</v>
      </c>
      <c r="G178" s="159" t="str">
        <f t="array" ref="G178">INDEX('CENTRO - CESAR'!G:G, MATCH(S178, 'CENTRO - CESAR'!K:K, 0), )</f>
        <v>A.A</v>
      </c>
      <c r="H178" s="238" t="str">
        <f t="array" ref="H178">INDEX('CENTRO - CESAR'!H:H, MATCH(S178, 'CENTRO - CESAR'!K:K, 0), )</f>
        <v>HUANCAYO</v>
      </c>
      <c r="I178" s="239" t="str">
        <f t="array" ref="I178">INDEX('CENTRO - CESAR'!I:I, MATCH(S178, 'CENTRO - CESAR'!K:K, 0), )</f>
        <v>3/10/2025 - Sectoristas - Operativo de acuerdo a lo informado por el presbítero de la zona</v>
      </c>
      <c r="J178" s="240">
        <f t="array" ref="J178">INDEX('CENTRO - CESAR'!J:J, MATCH(S178, 'CENTRO - CESAR'!K:K, 0), )</f>
        <v>0</v>
      </c>
      <c r="K178" s="156" t="str">
        <f t="array" ref="K178">INDEX('CENTRO - CESAR'!K:K, MATCH(S178, 'CENTRO - CESAR'!K:K, 0), )</f>
        <v>C - 48</v>
      </c>
      <c r="L178" s="250">
        <f t="array" ref="L178">INDEX('CENTRO - CESAR'!L:L, MATCH(S178, 'CENTRO - CESAR'!K:K, 0), )</f>
        <v>0</v>
      </c>
      <c r="M178" s="251">
        <f t="array" ref="M178">INDEX('CENTRO - CESAR'!M:M, MATCH(S178, 'CENTRO - CESAR'!K:K, 0), )</f>
        <v>0</v>
      </c>
      <c r="N178" s="252">
        <f t="array" ref="N178">INDEX('CENTRO - CESAR'!N:N, MATCH(S178, 'CENTRO - CESAR'!K:K, 0), )</f>
        <v>0</v>
      </c>
      <c r="O178" s="253">
        <f t="array" ref="O178">INDEX('CENTRO - CESAR'!O:O, MATCH(S178, 'CENTRO - CESAR'!K:K, 0), )</f>
        <v>0</v>
      </c>
      <c r="P178" s="236">
        <v>-12.065666666666667</v>
      </c>
      <c r="Q178" s="236">
        <v>-75.199583333333337</v>
      </c>
      <c r="R178" s="243" t="s">
        <v>1563</v>
      </c>
      <c r="S178" s="246" t="s">
        <v>1564</v>
      </c>
      <c r="U178" s="245"/>
    </row>
    <row r="179" spans="1:21" ht="17.25" customHeight="1">
      <c r="A179" s="236">
        <v>178</v>
      </c>
      <c r="B179" s="249" t="str">
        <f t="array" ref="B179">INDEX('CENTRO - CESAR'!B:B, MATCH(S179, 'CENTRO - CESAR'!K:K, 0), )</f>
        <v>Huancayo</v>
      </c>
      <c r="C179" s="156" t="str">
        <f t="array" ref="C179">INDEX('CENTRO - CESAR'!C:C, MATCH(S179, 'CENTRO - CESAR'!K:K, 0), )</f>
        <v>Junin</v>
      </c>
      <c r="D179" s="156" t="str">
        <f t="array" ref="D179">INDEX('CENTRO - CESAR'!D:D, MATCH(S179, 'CENTRO - CESAR'!K:K, 0), )</f>
        <v>AM</v>
      </c>
      <c r="E179" s="156">
        <f t="array" ref="E179">INDEX('CENTRO - CESAR'!E:E, MATCH(S179, 'CENTRO - CESAR'!K:K, 0), )</f>
        <v>1050</v>
      </c>
      <c r="F179" s="156">
        <f t="array" ref="F179">INDEX('CENTRO - CESAR'!F:F, MATCH(S179, 'CENTRO - CESAR'!K:K, 0), )</f>
        <v>15</v>
      </c>
      <c r="G179" s="159" t="str">
        <f t="array" ref="G179">INDEX('CENTRO - CESAR'!G:G, MATCH(S179, 'CENTRO - CESAR'!K:K, 0), )</f>
        <v>A.A</v>
      </c>
      <c r="H179" s="238" t="str">
        <f t="array" ref="H179">INDEX('CENTRO - CESAR'!H:H, MATCH(S179, 'CENTRO - CESAR'!K:K, 0), )</f>
        <v>HUANCAYO</v>
      </c>
      <c r="I179" s="239" t="str">
        <f t="array" ref="I179">INDEX('CENTRO - CESAR'!I:I, MATCH(S179, 'CENTRO - CESAR'!K:K, 0), )</f>
        <v>3/10/2025 - Sectoristas - Operativo de acuerdo a lo informado por el presbítero de la zona</v>
      </c>
      <c r="J179" s="240">
        <f t="array" ref="J179">INDEX('CENTRO - CESAR'!J:J, MATCH(S179, 'CENTRO - CESAR'!K:K, 0), )</f>
        <v>0</v>
      </c>
      <c r="K179" s="156" t="str">
        <f t="array" ref="K179">INDEX('CENTRO - CESAR'!K:K, MATCH(S179, 'CENTRO - CESAR'!K:K, 0), )</f>
        <v>C - 49</v>
      </c>
      <c r="L179" s="250">
        <f t="array" ref="L179">INDEX('CENTRO - CESAR'!L:L, MATCH(S179, 'CENTRO - CESAR'!K:K, 0), )</f>
        <v>0</v>
      </c>
      <c r="M179" s="251">
        <f t="array" ref="M179">INDEX('CENTRO - CESAR'!M:M, MATCH(S179, 'CENTRO - CESAR'!K:K, 0), )</f>
        <v>0</v>
      </c>
      <c r="N179" s="252">
        <f t="array" ref="N179">INDEX('CENTRO - CESAR'!N:N, MATCH(S179, 'CENTRO - CESAR'!K:K, 0), )</f>
        <v>0</v>
      </c>
      <c r="O179" s="253">
        <f t="array" ref="O179">INDEX('CENTRO - CESAR'!O:O, MATCH(S179, 'CENTRO - CESAR'!K:K, 0), )</f>
        <v>0</v>
      </c>
      <c r="P179" s="236">
        <v>-12.090944444444444</v>
      </c>
      <c r="Q179" s="236">
        <v>-75.189361111111111</v>
      </c>
      <c r="R179" s="243" t="s">
        <v>1565</v>
      </c>
      <c r="S179" s="246" t="s">
        <v>1566</v>
      </c>
      <c r="U179" s="245"/>
    </row>
    <row r="180" spans="1:21" ht="17.25" customHeight="1">
      <c r="A180" s="236">
        <v>179</v>
      </c>
      <c r="B180" s="249" t="str">
        <f t="array" ref="B180">INDEX('CENTRO - CESAR'!B:B, MATCH(S180, 'CENTRO - CESAR'!K:K, 0), )</f>
        <v>Huancayo</v>
      </c>
      <c r="C180" s="156" t="str">
        <f t="array" ref="C180">INDEX('CENTRO - CESAR'!C:C, MATCH(S180, 'CENTRO - CESAR'!K:K, 0), )</f>
        <v>Junin</v>
      </c>
      <c r="D180" s="156" t="str">
        <f t="array" ref="D180">INDEX('CENTRO - CESAR'!D:D, MATCH(S180, 'CENTRO - CESAR'!K:K, 0), )</f>
        <v>FM</v>
      </c>
      <c r="E180" s="156" t="str">
        <f t="array" ref="E180">INDEX('CENTRO - CESAR'!E:E, MATCH(S180, 'CENTRO - CESAR'!K:K, 0), )</f>
        <v>107.7</v>
      </c>
      <c r="F180" s="156">
        <f t="array" ref="F180">INDEX('CENTRO - CESAR'!F:F, MATCH(S180, 'CENTRO - CESAR'!K:K, 0), )</f>
        <v>15</v>
      </c>
      <c r="G180" s="159" t="str">
        <f t="array" ref="G180">INDEX('CENTRO - CESAR'!G:G, MATCH(S180, 'CENTRO - CESAR'!K:K, 0), )</f>
        <v>A.A</v>
      </c>
      <c r="H180" s="238" t="str">
        <f t="array" ref="H180">INDEX('CENTRO - CESAR'!H:H, MATCH(S180, 'CENTRO - CESAR'!K:K, 0), )</f>
        <v>HUANCAYO FM</v>
      </c>
      <c r="I180" s="239">
        <f t="array" ref="I180">INDEX('CENTRO - CESAR'!I:I, MATCH(S180, 'CENTRO - CESAR'!K:K, 0), )</f>
        <v>0</v>
      </c>
      <c r="J180" s="240">
        <f t="array" ref="J180">INDEX('CENTRO - CESAR'!J:J, MATCH(S180, 'CENTRO - CESAR'!K:K, 0), )</f>
        <v>0</v>
      </c>
      <c r="K180" s="156" t="str">
        <f t="array" ref="K180">INDEX('CENTRO - CESAR'!K:K, MATCH(S180, 'CENTRO - CESAR'!K:K, 0), )</f>
        <v>C - 50</v>
      </c>
      <c r="L180" s="250">
        <f t="array" ref="L180">INDEX('CENTRO - CESAR'!L:L, MATCH(S180, 'CENTRO - CESAR'!K:K, 0), )</f>
        <v>0</v>
      </c>
      <c r="M180" s="251">
        <f t="array" ref="M180">INDEX('CENTRO - CESAR'!M:M, MATCH(S180, 'CENTRO - CESAR'!K:K, 0), )</f>
        <v>0</v>
      </c>
      <c r="N180" s="252">
        <f t="array" ref="N180">INDEX('CENTRO - CESAR'!N:N, MATCH(S180, 'CENTRO - CESAR'!K:K, 0), )</f>
        <v>0</v>
      </c>
      <c r="O180" s="253">
        <f t="array" ref="O180">INDEX('CENTRO - CESAR'!O:O, MATCH(S180, 'CENTRO - CESAR'!K:K, 0), )</f>
        <v>0</v>
      </c>
      <c r="P180" s="236">
        <v>-12.090944444444444</v>
      </c>
      <c r="Q180" s="236">
        <v>-75.189361111111111</v>
      </c>
      <c r="R180" s="243" t="s">
        <v>1565</v>
      </c>
      <c r="S180" s="246" t="s">
        <v>1567</v>
      </c>
      <c r="U180" s="245"/>
    </row>
    <row r="181" spans="1:21" ht="17.25" customHeight="1">
      <c r="A181" s="236">
        <v>180</v>
      </c>
      <c r="B181" s="249" t="str">
        <f t="array" ref="B181">INDEX('CENTRO - CESAR'!B:B, MATCH(S181, 'CENTRO - CESAR'!K:K, 0), )</f>
        <v>Huando</v>
      </c>
      <c r="C181" s="156" t="str">
        <f t="array" ref="C181">INDEX('CENTRO - CESAR'!C:C, MATCH(S181, 'CENTRO - CESAR'!K:K, 0), )</f>
        <v>Huancavelica</v>
      </c>
      <c r="D181" s="156" t="str">
        <f t="array" ref="D181">INDEX('CENTRO - CESAR'!D:D, MATCH(S181, 'CENTRO - CESAR'!K:K, 0), )</f>
        <v>FM</v>
      </c>
      <c r="E181" s="156">
        <f t="array" ref="E181">INDEX('CENTRO - CESAR'!E:E, MATCH(S181, 'CENTRO - CESAR'!K:K, 0), )</f>
        <v>98.3</v>
      </c>
      <c r="F181" s="156">
        <f t="array" ref="F181">INDEX('CENTRO - CESAR'!F:F, MATCH(S181, 'CENTRO - CESAR'!K:K, 0), )</f>
        <v>63</v>
      </c>
      <c r="G181" s="159" t="str">
        <f t="array" ref="G181">INDEX('CENTRO - CESAR'!G:G, MATCH(S181, 'CENTRO - CESAR'!K:K, 0), )</f>
        <v>A.A</v>
      </c>
      <c r="H181" s="238" t="str">
        <f t="array" ref="H181">INDEX('CENTRO - CESAR'!H:H, MATCH(S181, 'CENTRO - CESAR'!K:K, 0), )</f>
        <v>HUANDO</v>
      </c>
      <c r="I181" s="239" t="str">
        <f t="array" ref="I181">INDEX('CENTRO - CESAR'!I:I, MATCH(S181, 'CENTRO - CESAR'!K:K, 0), )</f>
        <v>29/10/2025 - Sectoristas - Operativo de acuerdo a lo informado por el pastor de zona solo opera de 05 a 10 am y de 04 a 9 pm</v>
      </c>
      <c r="J181" s="240">
        <f t="array" ref="J181">INDEX('CENTRO - CESAR'!J:J, MATCH(S181, 'CENTRO - CESAR'!K:K, 0), )</f>
        <v>0</v>
      </c>
      <c r="K181" s="156" t="str">
        <f t="array" ref="K181">INDEX('CENTRO - CESAR'!K:K, MATCH(S181, 'CENTRO - CESAR'!K:K, 0), )</f>
        <v>C - 51</v>
      </c>
      <c r="L181" s="250">
        <f t="array" ref="L181">INDEX('CENTRO - CESAR'!L:L, MATCH(S181, 'CENTRO - CESAR'!K:K, 0), )</f>
        <v>0</v>
      </c>
      <c r="M181" s="251">
        <f t="array" ref="M181">INDEX('CENTRO - CESAR'!M:M, MATCH(S181, 'CENTRO - CESAR'!K:K, 0), )</f>
        <v>0</v>
      </c>
      <c r="N181" s="252">
        <f t="array" ref="N181">INDEX('CENTRO - CESAR'!N:N, MATCH(S181, 'CENTRO - CESAR'!K:K, 0), )</f>
        <v>0</v>
      </c>
      <c r="O181" s="253">
        <f t="array" ref="O181">INDEX('CENTRO - CESAR'!O:O, MATCH(S181, 'CENTRO - CESAR'!K:K, 0), )</f>
        <v>0</v>
      </c>
      <c r="P181" s="236">
        <v>-12.569288888888888</v>
      </c>
      <c r="Q181" s="236">
        <v>-74.95182777777778</v>
      </c>
      <c r="R181" s="243" t="s">
        <v>1568</v>
      </c>
      <c r="S181" s="246" t="s">
        <v>1569</v>
      </c>
      <c r="U181" s="245"/>
    </row>
    <row r="182" spans="1:21" ht="17.25" customHeight="1">
      <c r="A182" s="236">
        <v>181</v>
      </c>
      <c r="B182" s="249" t="str">
        <f t="array" ref="B182">INDEX('CENTRO - CESAR'!B:B, MATCH(S182, 'CENTRO - CESAR'!K:K, 0), )</f>
        <v>Huanta</v>
      </c>
      <c r="C182" s="156" t="str">
        <f t="array" ref="C182">INDEX('CENTRO - CESAR'!C:C, MATCH(S182, 'CENTRO - CESAR'!K:K, 0), )</f>
        <v>Ayacucho</v>
      </c>
      <c r="D182" s="156" t="str">
        <f t="array" ref="D182">INDEX('CENTRO - CESAR'!D:D, MATCH(S182, 'CENTRO - CESAR'!K:K, 0), )</f>
        <v>FM</v>
      </c>
      <c r="E182" s="156">
        <f t="array" ref="E182">INDEX('CENTRO - CESAR'!E:E, MATCH(S182, 'CENTRO - CESAR'!K:K, 0), )</f>
        <v>101.7</v>
      </c>
      <c r="F182" s="156">
        <f t="array" ref="F182">INDEX('CENTRO - CESAR'!F:F, MATCH(S182, 'CENTRO - CESAR'!K:K, 0), )</f>
        <v>13</v>
      </c>
      <c r="G182" s="159" t="str">
        <f t="array" ref="G182">INDEX('CENTRO - CESAR'!G:G, MATCH(S182, 'CENTRO - CESAR'!K:K, 0), )</f>
        <v>A.A</v>
      </c>
      <c r="H182" s="238" t="str">
        <f t="array" ref="H182">INDEX('CENTRO - CESAR'!H:H, MATCH(S182, 'CENTRO - CESAR'!K:K, 0), )</f>
        <v>HUANTA</v>
      </c>
      <c r="I182" s="239" t="str">
        <f t="array" ref="I182">INDEX('CENTRO - CESAR'!I:I, MATCH(S182, 'CENTRO - CESAR'!K:K, 0), )</f>
        <v>14/08/2025 - Sectoristas - Operativo de acuerdo a lo informado por el pastor de la zona</v>
      </c>
      <c r="J182" s="240">
        <f t="array" ref="J182">INDEX('CENTRO - CESAR'!J:J, MATCH(S182, 'CENTRO - CESAR'!K:K, 0), )</f>
        <v>0</v>
      </c>
      <c r="K182" s="156" t="str">
        <f t="array" ref="K182">INDEX('CENTRO - CESAR'!K:K, MATCH(S182, 'CENTRO - CESAR'!K:K, 0), )</f>
        <v>C - 52</v>
      </c>
      <c r="L182" s="250">
        <f t="array" ref="L182">INDEX('CENTRO - CESAR'!L:L, MATCH(S182, 'CENTRO - CESAR'!K:K, 0), )</f>
        <v>0</v>
      </c>
      <c r="M182" s="251">
        <f t="array" ref="M182">INDEX('CENTRO - CESAR'!M:M, MATCH(S182, 'CENTRO - CESAR'!K:K, 0), )</f>
        <v>0</v>
      </c>
      <c r="N182" s="252">
        <f t="array" ref="N182">INDEX('CENTRO - CESAR'!N:N, MATCH(S182, 'CENTRO - CESAR'!K:K, 0), )</f>
        <v>0</v>
      </c>
      <c r="O182" s="253">
        <f t="array" ref="O182">INDEX('CENTRO - CESAR'!O:O, MATCH(S182, 'CENTRO - CESAR'!K:K, 0), )</f>
        <v>0</v>
      </c>
      <c r="P182" s="236">
        <v>-12.937555555555555</v>
      </c>
      <c r="Q182" s="236">
        <v>-74.228472222222223</v>
      </c>
      <c r="R182" s="243" t="s">
        <v>1570</v>
      </c>
      <c r="S182" s="246" t="s">
        <v>1571</v>
      </c>
      <c r="U182" s="245"/>
    </row>
    <row r="183" spans="1:21" ht="17.25" customHeight="1">
      <c r="A183" s="236">
        <v>182</v>
      </c>
      <c r="B183" s="249" t="str">
        <f t="array" ref="B183">INDEX('CENTRO - CESAR'!B:B, MATCH(S183, 'CENTRO - CESAR'!K:K, 0), )</f>
        <v>Huánuco</v>
      </c>
      <c r="C183" s="156" t="str">
        <f t="array" ref="C183">INDEX('CENTRO - CESAR'!C:C, MATCH(S183, 'CENTRO - CESAR'!K:K, 0), )</f>
        <v>Huanuco</v>
      </c>
      <c r="D183" s="156" t="str">
        <f t="array" ref="D183">INDEX('CENTRO - CESAR'!D:D, MATCH(S183, 'CENTRO - CESAR'!K:K, 0), )</f>
        <v>FM</v>
      </c>
      <c r="E183" s="156">
        <f t="array" ref="E183">INDEX('CENTRO - CESAR'!E:E, MATCH(S183, 'CENTRO - CESAR'!K:K, 0), )</f>
        <v>103.3</v>
      </c>
      <c r="F183" s="156">
        <f t="array" ref="F183">INDEX('CENTRO - CESAR'!F:F, MATCH(S183, 'CENTRO - CESAR'!K:K, 0), )</f>
        <v>27</v>
      </c>
      <c r="G183" s="159" t="str">
        <f t="array" ref="G183">INDEX('CENTRO - CESAR'!G:G, MATCH(S183, 'CENTRO - CESAR'!K:K, 0), )</f>
        <v>A.A</v>
      </c>
      <c r="H183" s="238" t="str">
        <f t="array" ref="H183">INDEX('CENTRO - CESAR'!H:H, MATCH(S183, 'CENTRO - CESAR'!K:K, 0), )</f>
        <v>HUÁNUCO</v>
      </c>
      <c r="I183" s="239" t="str">
        <f t="array" ref="I183">INDEX('CENTRO - CESAR'!I:I, MATCH(S183, 'CENTRO - CESAR'!K:K, 0), )</f>
        <v>9/10/2025 - Sectoristas - Operativo de acuerdo a lo informado por el pastor Nolasco Ponciano, de la zona opera las 24 horas del día</v>
      </c>
      <c r="J183" s="240">
        <f t="array" ref="J183">INDEX('CENTRO - CESAR'!J:J, MATCH(S183, 'CENTRO - CESAR'!K:K, 0), )</f>
        <v>0</v>
      </c>
      <c r="K183" s="156" t="str">
        <f t="array" ref="K183">INDEX('CENTRO - CESAR'!K:K, MATCH(S183, 'CENTRO - CESAR'!K:K, 0), )</f>
        <v>C - 53</v>
      </c>
      <c r="L183" s="250">
        <f t="array" ref="L183">INDEX('CENTRO - CESAR'!L:L, MATCH(S183, 'CENTRO - CESAR'!K:K, 0), )</f>
        <v>0</v>
      </c>
      <c r="M183" s="251">
        <f t="array" ref="M183">INDEX('CENTRO - CESAR'!M:M, MATCH(S183, 'CENTRO - CESAR'!K:K, 0), )</f>
        <v>0</v>
      </c>
      <c r="N183" s="252">
        <f t="array" ref="N183">INDEX('CENTRO - CESAR'!N:N, MATCH(S183, 'CENTRO - CESAR'!K:K, 0), )</f>
        <v>0</v>
      </c>
      <c r="O183" s="253">
        <f t="array" ref="O183">INDEX('CENTRO - CESAR'!O:O, MATCH(S183, 'CENTRO - CESAR'!K:K, 0), )</f>
        <v>0</v>
      </c>
      <c r="P183" s="236">
        <v>-9.9212222222222213</v>
      </c>
      <c r="Q183" s="236">
        <v>-76.244027777777774</v>
      </c>
      <c r="R183" s="243" t="s">
        <v>1572</v>
      </c>
      <c r="S183" s="246" t="s">
        <v>1573</v>
      </c>
      <c r="U183" s="245"/>
    </row>
    <row r="184" spans="1:21" ht="17.25" customHeight="1">
      <c r="A184" s="236">
        <v>183</v>
      </c>
      <c r="B184" s="249" t="str">
        <f t="array" ref="B184">INDEX('CENTRO - CESAR'!B:B, MATCH(S184, 'CENTRO - CESAR'!K:K, 0), )</f>
        <v>Huánuco</v>
      </c>
      <c r="C184" s="156" t="str">
        <f t="array" ref="C184">INDEX('CENTRO - CESAR'!C:C, MATCH(S184, 'CENTRO - CESAR'!K:K, 0), )</f>
        <v>Huanuco</v>
      </c>
      <c r="D184" s="156" t="str">
        <f t="array" ref="D184">INDEX('CENTRO - CESAR'!D:D, MATCH(S184, 'CENTRO - CESAR'!K:K, 0), )</f>
        <v>UHF</v>
      </c>
      <c r="E184" s="156">
        <f t="array" ref="E184">INDEX('CENTRO - CESAR'!E:E, MATCH(S184, 'CENTRO - CESAR'!K:K, 0), )</f>
        <v>27</v>
      </c>
      <c r="F184" s="156">
        <f t="array" ref="F184">INDEX('CENTRO - CESAR'!F:F, MATCH(S184, 'CENTRO - CESAR'!K:K, 0), )</f>
        <v>27</v>
      </c>
      <c r="G184" s="159" t="str">
        <f t="array" ref="G184">INDEX('CENTRO - CESAR'!G:G, MATCH(S184, 'CENTRO - CESAR'!K:K, 0), )</f>
        <v>A.A</v>
      </c>
      <c r="H184" s="238" t="str">
        <f t="array" ref="H184">INDEX('CENTRO - CESAR'!H:H, MATCH(S184, 'CENTRO - CESAR'!K:K, 0), )</f>
        <v>HUÁNUCO</v>
      </c>
      <c r="I184" s="239" t="str">
        <f t="array" ref="I184">INDEX('CENTRO - CESAR'!I:I, MATCH(S184, 'CENTRO - CESAR'!K:K, 0), )</f>
        <v>9/10/2025 - Sectoristas - Operativo de acuerdo a lo informado por el pastor Nolasco Ponciano, de la zona opera las 24 horas del día</v>
      </c>
      <c r="J184" s="240">
        <f t="array" ref="J184">INDEX('CENTRO - CESAR'!J:J, MATCH(S184, 'CENTRO - CESAR'!K:K, 0), )</f>
        <v>0</v>
      </c>
      <c r="K184" s="156" t="str">
        <f t="array" ref="K184">INDEX('CENTRO - CESAR'!K:K, MATCH(S184, 'CENTRO - CESAR'!K:K, 0), )</f>
        <v>C - 54</v>
      </c>
      <c r="L184" s="250">
        <f t="array" ref="L184">INDEX('CENTRO - CESAR'!L:L, MATCH(S184, 'CENTRO - CESAR'!K:K, 0), )</f>
        <v>0</v>
      </c>
      <c r="M184" s="251">
        <f t="array" ref="M184">INDEX('CENTRO - CESAR'!M:M, MATCH(S184, 'CENTRO - CESAR'!K:K, 0), )</f>
        <v>0</v>
      </c>
      <c r="N184" s="252">
        <f t="array" ref="N184">INDEX('CENTRO - CESAR'!N:N, MATCH(S184, 'CENTRO - CESAR'!K:K, 0), )</f>
        <v>0</v>
      </c>
      <c r="O184" s="253">
        <f t="array" ref="O184">INDEX('CENTRO - CESAR'!O:O, MATCH(S184, 'CENTRO - CESAR'!K:K, 0), )</f>
        <v>0</v>
      </c>
      <c r="P184" s="236">
        <v>-9.9211944444444438</v>
      </c>
      <c r="Q184" s="236">
        <v>-76.24411111111111</v>
      </c>
      <c r="R184" s="243" t="s">
        <v>1574</v>
      </c>
      <c r="S184" s="246" t="s">
        <v>1575</v>
      </c>
      <c r="U184" s="245"/>
    </row>
    <row r="185" spans="1:21" ht="17.25" customHeight="1">
      <c r="A185" s="236">
        <v>184</v>
      </c>
      <c r="B185" s="249" t="str">
        <f t="array" ref="B185">INDEX('CENTRO - CESAR'!B:B, MATCH(S185, 'CENTRO - CESAR'!K:K, 0), )</f>
        <v>Huaral</v>
      </c>
      <c r="C185" s="156" t="str">
        <f t="array" ref="C185">INDEX('CENTRO - CESAR'!C:C, MATCH(S185, 'CENTRO - CESAR'!K:K, 0), )</f>
        <v>Lima</v>
      </c>
      <c r="D185" s="156" t="str">
        <f t="array" ref="D185">INDEX('CENTRO - CESAR'!D:D, MATCH(S185, 'CENTRO - CESAR'!K:K, 0), )</f>
        <v>FM</v>
      </c>
      <c r="E185" s="156" t="str">
        <f t="array" ref="E185">INDEX('CENTRO - CESAR'!E:E, MATCH(S185, 'CENTRO - CESAR'!K:K, 0), )</f>
        <v>93.1</v>
      </c>
      <c r="F185" s="156">
        <f t="array" ref="F185">INDEX('CENTRO - CESAR'!F:F, MATCH(S185, 'CENTRO - CESAR'!K:K, 0), )</f>
        <v>91</v>
      </c>
      <c r="G185" s="159" t="str">
        <f t="array" ref="G185">INDEX('CENTRO - CESAR'!G:G, MATCH(S185, 'CENTRO - CESAR'!K:K, 0), )</f>
        <v>A.A</v>
      </c>
      <c r="H185" s="238" t="str">
        <f t="array" ref="H185">INDEX('CENTRO - CESAR'!H:H, MATCH(S185, 'CENTRO - CESAR'!K:K, 0), )</f>
        <v>HUARAL</v>
      </c>
      <c r="I185" s="239" t="str">
        <f t="array" ref="I185">INDEX('CENTRO - CESAR'!I:I, MATCH(S185, 'CENTRO - CESAR'!K:K, 0), )</f>
        <v>15/10/2025 - Sectoristas - La estación se encuentra operativo nuevamente de acuerdo a lo informado por el área de operaciones</v>
      </c>
      <c r="J185" s="240">
        <f t="array" ref="J185">INDEX('CENTRO - CESAR'!J:J, MATCH(S185, 'CENTRO - CESAR'!K:K, 0), )</f>
        <v>0</v>
      </c>
      <c r="K185" s="156" t="str">
        <f t="array" ref="K185">INDEX('CENTRO - CESAR'!K:K, MATCH(S185, 'CENTRO - CESAR'!K:K, 0), )</f>
        <v>C - 55</v>
      </c>
      <c r="L185" s="250">
        <f t="array" ref="L185">INDEX('CENTRO - CESAR'!L:L, MATCH(S185, 'CENTRO - CESAR'!K:K, 0), )</f>
        <v>0</v>
      </c>
      <c r="M185" s="251">
        <f t="array" ref="M185">INDEX('CENTRO - CESAR'!M:M, MATCH(S185, 'CENTRO - CESAR'!K:K, 0), )</f>
        <v>0</v>
      </c>
      <c r="N185" s="252">
        <f t="array" ref="N185">INDEX('CENTRO - CESAR'!N:N, MATCH(S185, 'CENTRO - CESAR'!K:K, 0), )</f>
        <v>0</v>
      </c>
      <c r="O185" s="253">
        <f t="array" ref="O185">INDEX('CENTRO - CESAR'!O:O, MATCH(S185, 'CENTRO - CESAR'!K:K, 0), )</f>
        <v>0</v>
      </c>
      <c r="P185" s="236">
        <v>-11.503166666666667</v>
      </c>
      <c r="Q185" s="236">
        <v>-77.211111111111109</v>
      </c>
      <c r="R185" s="243" t="s">
        <v>1576</v>
      </c>
      <c r="S185" s="246" t="s">
        <v>1577</v>
      </c>
      <c r="U185" s="245"/>
    </row>
    <row r="186" spans="1:21" ht="17.25" customHeight="1">
      <c r="A186" s="236">
        <v>185</v>
      </c>
      <c r="B186" s="249" t="str">
        <f t="array" ref="B186">INDEX('CENTRO - CESAR'!B:B, MATCH(S186, 'CENTRO - CESAR'!K:K, 0), )</f>
        <v>Huaral</v>
      </c>
      <c r="C186" s="156" t="str">
        <f t="array" ref="C186">INDEX('CENTRO - CESAR'!C:C, MATCH(S186, 'CENTRO - CESAR'!K:K, 0), )</f>
        <v>Lima</v>
      </c>
      <c r="D186" s="156" t="str">
        <f t="array" ref="D186">INDEX('CENTRO - CESAR'!D:D, MATCH(S186, 'CENTRO - CESAR'!K:K, 0), )</f>
        <v>UHF</v>
      </c>
      <c r="E186" s="156">
        <f t="array" ref="E186">INDEX('CENTRO - CESAR'!E:E, MATCH(S186, 'CENTRO - CESAR'!K:K, 0), )</f>
        <v>35</v>
      </c>
      <c r="F186" s="156">
        <f t="array" ref="F186">INDEX('CENTRO - CESAR'!F:F, MATCH(S186, 'CENTRO - CESAR'!K:K, 0), )</f>
        <v>91</v>
      </c>
      <c r="G186" s="159" t="str">
        <f t="array" ref="G186">INDEX('CENTRO - CESAR'!G:G, MATCH(S186, 'CENTRO - CESAR'!K:K, 0), )</f>
        <v>A.A</v>
      </c>
      <c r="H186" s="238" t="str">
        <f t="array" ref="H186">INDEX('CENTRO - CESAR'!H:H, MATCH(S186, 'CENTRO - CESAR'!K:K, 0), )</f>
        <v>HUARAL</v>
      </c>
      <c r="I186" s="239" t="str">
        <f t="array" ref="I186">INDEX('CENTRO - CESAR'!I:I, MATCH(S186, 'CENTRO - CESAR'!K:K, 0), )</f>
        <v>15/10/2025 - Sectoristas - La estación se encuentra operativo nuevamente de acuerdo a lo informado por el área de operaciones</v>
      </c>
      <c r="J186" s="240">
        <f t="array" ref="J186">INDEX('CENTRO - CESAR'!J:J, MATCH(S186, 'CENTRO - CESAR'!K:K, 0), )</f>
        <v>0</v>
      </c>
      <c r="K186" s="156" t="str">
        <f t="array" ref="K186">INDEX('CENTRO - CESAR'!K:K, MATCH(S186, 'CENTRO - CESAR'!K:K, 0), )</f>
        <v>C - 56</v>
      </c>
      <c r="L186" s="250">
        <f t="array" ref="L186">INDEX('CENTRO - CESAR'!L:L, MATCH(S186, 'CENTRO - CESAR'!K:K, 0), )</f>
        <v>0</v>
      </c>
      <c r="M186" s="251">
        <f t="array" ref="M186">INDEX('CENTRO - CESAR'!M:M, MATCH(S186, 'CENTRO - CESAR'!K:K, 0), )</f>
        <v>0</v>
      </c>
      <c r="N186" s="252">
        <f t="array" ref="N186">INDEX('CENTRO - CESAR'!N:N, MATCH(S186, 'CENTRO - CESAR'!K:K, 0), )</f>
        <v>0</v>
      </c>
      <c r="O186" s="253">
        <f t="array" ref="O186">INDEX('CENTRO - CESAR'!O:O, MATCH(S186, 'CENTRO - CESAR'!K:K, 0), )</f>
        <v>0</v>
      </c>
      <c r="P186" s="236">
        <v>-11.503166666666667</v>
      </c>
      <c r="Q186" s="236">
        <v>-77.211111111111109</v>
      </c>
      <c r="R186" s="243" t="s">
        <v>1576</v>
      </c>
      <c r="S186" s="246" t="s">
        <v>1578</v>
      </c>
      <c r="U186" s="245"/>
    </row>
    <row r="187" spans="1:21" ht="17.25" customHeight="1">
      <c r="A187" s="236">
        <v>186</v>
      </c>
      <c r="B187" s="249" t="str">
        <f t="array" ref="B187">INDEX('CENTRO - CESAR'!B:B, MATCH(S187, 'CENTRO - CESAR'!K:K, 0), )</f>
        <v>Huariaca</v>
      </c>
      <c r="C187" s="156" t="str">
        <f t="array" ref="C187">INDEX('CENTRO - CESAR'!C:C, MATCH(S187, 'CENTRO - CESAR'!K:K, 0), )</f>
        <v>Pasco</v>
      </c>
      <c r="D187" s="156" t="str">
        <f t="array" ref="D187">INDEX('CENTRO - CESAR'!D:D, MATCH(S187, 'CENTRO - CESAR'!K:K, 0), )</f>
        <v>FM</v>
      </c>
      <c r="E187" s="156">
        <f t="array" ref="E187">INDEX('CENTRO - CESAR'!E:E, MATCH(S187, 'CENTRO - CESAR'!K:K, 0), )</f>
        <v>91.9</v>
      </c>
      <c r="F187" s="156">
        <f t="array" ref="F187">INDEX('CENTRO - CESAR'!F:F, MATCH(S187, 'CENTRO - CESAR'!K:K, 0), )</f>
        <v>87</v>
      </c>
      <c r="G187" s="159" t="str">
        <f t="array" ref="G187">INDEX('CENTRO - CESAR'!G:G, MATCH(S187, 'CENTRO - CESAR'!K:K, 0), )</f>
        <v>A.A</v>
      </c>
      <c r="H187" s="238" t="str">
        <f t="array" ref="H187">INDEX('CENTRO - CESAR'!H:H, MATCH(S187, 'CENTRO - CESAR'!K:K, 0), )</f>
        <v>HUARIACA</v>
      </c>
      <c r="I187" s="239" t="str">
        <f t="array" ref="I187">INDEX('CENTRO - CESAR'!I:I, MATCH(S187, 'CENTRO - CESAR'!K:K, 0), )</f>
        <v>30/10/2025 - Sectoristas - Operativo de acuerdo a lo informado por el pastor Nolasco Ponciano, de la zona opera las 24 horas del día</v>
      </c>
      <c r="J187" s="240">
        <f t="array" ref="J187">INDEX('CENTRO - CESAR'!J:J, MATCH(S187, 'CENTRO - CESAR'!K:K, 0), )</f>
        <v>0</v>
      </c>
      <c r="K187" s="156" t="str">
        <f t="array" ref="K187">INDEX('CENTRO - CESAR'!K:K, MATCH(S187, 'CENTRO - CESAR'!K:K, 0), )</f>
        <v>C - 57</v>
      </c>
      <c r="L187" s="250">
        <f t="array" ref="L187">INDEX('CENTRO - CESAR'!L:L, MATCH(S187, 'CENTRO - CESAR'!K:K, 0), )</f>
        <v>0</v>
      </c>
      <c r="M187" s="251">
        <f t="array" ref="M187">INDEX('CENTRO - CESAR'!M:M, MATCH(S187, 'CENTRO - CESAR'!K:K, 0), )</f>
        <v>0</v>
      </c>
      <c r="N187" s="252">
        <f t="array" ref="N187">INDEX('CENTRO - CESAR'!N:N, MATCH(S187, 'CENTRO - CESAR'!K:K, 0), )</f>
        <v>0</v>
      </c>
      <c r="O187" s="253">
        <f t="array" ref="O187">INDEX('CENTRO - CESAR'!O:O, MATCH(S187, 'CENTRO - CESAR'!K:K, 0), )</f>
        <v>0</v>
      </c>
      <c r="P187" s="236">
        <v>-10.448952777777778</v>
      </c>
      <c r="Q187" s="236">
        <v>-76.183549999999997</v>
      </c>
      <c r="R187" s="243" t="s">
        <v>1579</v>
      </c>
      <c r="S187" s="246" t="s">
        <v>1580</v>
      </c>
      <c r="U187" s="245"/>
    </row>
    <row r="188" spans="1:21" ht="17.25" customHeight="1">
      <c r="A188" s="236">
        <v>187</v>
      </c>
      <c r="B188" s="249" t="str">
        <f t="array" ref="B188">INDEX('CENTRO - CESAR'!B:B, MATCH(S188, 'CENTRO - CESAR'!K:K, 0), )</f>
        <v>Huarochirí</v>
      </c>
      <c r="C188" s="156" t="str">
        <f t="array" ref="C188">INDEX('CENTRO - CESAR'!C:C, MATCH(S188, 'CENTRO - CESAR'!K:K, 0), )</f>
        <v>Lima</v>
      </c>
      <c r="D188" s="156" t="str">
        <f t="array" ref="D188">INDEX('CENTRO - CESAR'!D:D, MATCH(S188, 'CENTRO - CESAR'!K:K, 0), )</f>
        <v>FM</v>
      </c>
      <c r="E188" s="156">
        <f t="array" ref="E188">INDEX('CENTRO - CESAR'!E:E, MATCH(S188, 'CENTRO - CESAR'!K:K, 0), )</f>
        <v>102.7</v>
      </c>
      <c r="F188" s="156">
        <f t="array" ref="F188">INDEX('CENTRO - CESAR'!F:F, MATCH(S188, 'CENTRO - CESAR'!K:K, 0), )</f>
        <v>36</v>
      </c>
      <c r="G188" s="159" t="str">
        <f t="array" ref="G188">INDEX('CENTRO - CESAR'!G:G, MATCH(S188, 'CENTRO - CESAR'!K:K, 0), )</f>
        <v>A.A</v>
      </c>
      <c r="H188" s="238" t="str">
        <f t="array" ref="H188">INDEX('CENTRO - CESAR'!H:H, MATCH(S188, 'CENTRO - CESAR'!K:K, 0), )</f>
        <v>HUAROCHIRÍ</v>
      </c>
      <c r="I188" s="239" t="str">
        <f t="array" ref="I188">INDEX('CENTRO - CESAR'!I:I, MATCH(S188, 'CENTRO - CESAR'!K:K, 0), )</f>
        <v>28/10/2025 - Sectoristas - Operativo de acuerdo a lo informado por el pastor Juan Carlos, encargado de la estación de radio opera 06 hora diarias en la mañana</v>
      </c>
      <c r="J188" s="240">
        <f t="array" ref="J188">INDEX('CENTRO - CESAR'!J:J, MATCH(S188, 'CENTRO - CESAR'!K:K, 0), )</f>
        <v>0</v>
      </c>
      <c r="K188" s="156" t="str">
        <f t="array" ref="K188">INDEX('CENTRO - CESAR'!K:K, MATCH(S188, 'CENTRO - CESAR'!K:K, 0), )</f>
        <v>C - 58</v>
      </c>
      <c r="L188" s="250">
        <f t="array" ref="L188">INDEX('CENTRO - CESAR'!L:L, MATCH(S188, 'CENTRO - CESAR'!K:K, 0), )</f>
        <v>0</v>
      </c>
      <c r="M188" s="251">
        <f t="array" ref="M188">INDEX('CENTRO - CESAR'!M:M, MATCH(S188, 'CENTRO - CESAR'!K:K, 0), )</f>
        <v>0</v>
      </c>
      <c r="N188" s="252">
        <f t="array" ref="N188">INDEX('CENTRO - CESAR'!N:N, MATCH(S188, 'CENTRO - CESAR'!K:K, 0), )</f>
        <v>0</v>
      </c>
      <c r="O188" s="253">
        <f t="array" ref="O188">INDEX('CENTRO - CESAR'!O:O, MATCH(S188, 'CENTRO - CESAR'!K:K, 0), )</f>
        <v>0</v>
      </c>
      <c r="P188" s="236">
        <v>-12.13945</v>
      </c>
      <c r="Q188" s="236">
        <v>-76.231347222222226</v>
      </c>
      <c r="R188" s="243" t="s">
        <v>1581</v>
      </c>
      <c r="S188" s="246" t="s">
        <v>1582</v>
      </c>
      <c r="U188" s="245"/>
    </row>
    <row r="189" spans="1:21" ht="17.25" customHeight="1">
      <c r="A189" s="236">
        <v>188</v>
      </c>
      <c r="B189" s="249" t="str">
        <f t="array" ref="B189">INDEX('CENTRO - CESAR'!B:B, MATCH(S189, 'CENTRO - CESAR'!K:K, 0), )</f>
        <v>Huasahuasi</v>
      </c>
      <c r="C189" s="156" t="str">
        <f t="array" ref="C189">INDEX('CENTRO - CESAR'!C:C, MATCH(S189, 'CENTRO - CESAR'!K:K, 0), )</f>
        <v>Junin</v>
      </c>
      <c r="D189" s="156" t="str">
        <f t="array" ref="D189">INDEX('CENTRO - CESAR'!D:D, MATCH(S189, 'CENTRO - CESAR'!K:K, 0), )</f>
        <v>FM</v>
      </c>
      <c r="E189" s="156">
        <f t="array" ref="E189">INDEX('CENTRO - CESAR'!E:E, MATCH(S189, 'CENTRO - CESAR'!K:K, 0), )</f>
        <v>100.5</v>
      </c>
      <c r="F189" s="156">
        <f t="array" ref="F189">INDEX('CENTRO - CESAR'!F:F, MATCH(S189, 'CENTRO - CESAR'!K:K, 0), )</f>
        <v>76</v>
      </c>
      <c r="G189" s="159" t="str">
        <f t="array" ref="G189">INDEX('CENTRO - CESAR'!G:G, MATCH(S189, 'CENTRO - CESAR'!K:K, 0), )</f>
        <v>A.A</v>
      </c>
      <c r="H189" s="238" t="str">
        <f t="array" ref="H189">INDEX('CENTRO - CESAR'!H:H, MATCH(S189, 'CENTRO - CESAR'!K:K, 0), )</f>
        <v>HUASAHUASI</v>
      </c>
      <c r="I189" s="239" t="str">
        <f t="array" ref="I189">INDEX('CENTRO - CESAR'!I:I, MATCH(S189, 'CENTRO - CESAR'!K:K, 0), )</f>
        <v>30/10/2025 - Sectoristas - Operativo de acuerdo a lo informado por el pastor de la zona</v>
      </c>
      <c r="J189" s="240">
        <f t="array" ref="J189">INDEX('CENTRO - CESAR'!J:J, MATCH(S189, 'CENTRO - CESAR'!K:K, 0), )</f>
        <v>0</v>
      </c>
      <c r="K189" s="156" t="str">
        <f t="array" ref="K189">INDEX('CENTRO - CESAR'!K:K, MATCH(S189, 'CENTRO - CESAR'!K:K, 0), )</f>
        <v>C - 59</v>
      </c>
      <c r="L189" s="250">
        <f t="array" ref="L189">INDEX('CENTRO - CESAR'!L:L, MATCH(S189, 'CENTRO - CESAR'!K:K, 0), )</f>
        <v>0</v>
      </c>
      <c r="M189" s="251">
        <f t="array" ref="M189">INDEX('CENTRO - CESAR'!M:M, MATCH(S189, 'CENTRO - CESAR'!K:K, 0), )</f>
        <v>0</v>
      </c>
      <c r="N189" s="252">
        <f t="array" ref="N189">INDEX('CENTRO - CESAR'!N:N, MATCH(S189, 'CENTRO - CESAR'!K:K, 0), )</f>
        <v>0</v>
      </c>
      <c r="O189" s="253">
        <f t="array" ref="O189">INDEX('CENTRO - CESAR'!O:O, MATCH(S189, 'CENTRO - CESAR'!K:K, 0), )</f>
        <v>0</v>
      </c>
      <c r="P189" s="236">
        <v>-11.276530555555556</v>
      </c>
      <c r="Q189" s="236">
        <v>-75.636466666666678</v>
      </c>
      <c r="R189" s="243" t="s">
        <v>1583</v>
      </c>
      <c r="S189" s="246" t="s">
        <v>1584</v>
      </c>
      <c r="U189" s="245"/>
    </row>
    <row r="190" spans="1:21" ht="17.25" customHeight="1">
      <c r="A190" s="236">
        <v>189</v>
      </c>
      <c r="B190" s="249" t="str">
        <f t="array" ref="B190">INDEX('CENTRO - CESAR'!B:B, MATCH(S190, 'CENTRO - CESAR'!K:K, 0), )</f>
        <v>Huayllay</v>
      </c>
      <c r="C190" s="156" t="str">
        <f t="array" ref="C190">INDEX('CENTRO - CESAR'!C:C, MATCH(S190, 'CENTRO - CESAR'!K:K, 0), )</f>
        <v>Pasco</v>
      </c>
      <c r="D190" s="156" t="str">
        <f t="array" ref="D190">INDEX('CENTRO - CESAR'!D:D, MATCH(S190, 'CENTRO - CESAR'!K:K, 0), )</f>
        <v>FM</v>
      </c>
      <c r="E190" s="156">
        <f t="array" ref="E190">INDEX('CENTRO - CESAR'!E:E, MATCH(S190, 'CENTRO - CESAR'!K:K, 0), )</f>
        <v>94.1</v>
      </c>
      <c r="F190" s="156">
        <f t="array" ref="F190">INDEX('CENTRO - CESAR'!F:F, MATCH(S190, 'CENTRO - CESAR'!K:K, 0), )</f>
        <v>71</v>
      </c>
      <c r="G190" s="159" t="str">
        <f t="array" ref="G190">INDEX('CENTRO - CESAR'!G:G, MATCH(S190, 'CENTRO - CESAR'!K:K, 0), )</f>
        <v>A.A</v>
      </c>
      <c r="H190" s="238" t="str">
        <f t="array" ref="H190">INDEX('CENTRO - CESAR'!H:H, MATCH(S190, 'CENTRO - CESAR'!K:K, 0), )</f>
        <v>HUAYLLAY</v>
      </c>
      <c r="I190" s="239" t="str">
        <f t="array" ref="I190">INDEX('CENTRO - CESAR'!I:I, MATCH(S190, 'CENTRO - CESAR'!K:K, 0), )</f>
        <v>30/10/2025 - Sectoristas - Operativo, esta pendiente la inspección por proceso de renovación</v>
      </c>
      <c r="J190" s="240">
        <f t="array" ref="J190">INDEX('CENTRO - CESAR'!J:J, MATCH(S190, 'CENTRO - CESAR'!K:K, 0), )</f>
        <v>0</v>
      </c>
      <c r="K190" s="156" t="str">
        <f t="array" ref="K190">INDEX('CENTRO - CESAR'!K:K, MATCH(S190, 'CENTRO - CESAR'!K:K, 0), )</f>
        <v>C - 60</v>
      </c>
      <c r="L190" s="250">
        <f t="array" ref="L190">INDEX('CENTRO - CESAR'!L:L, MATCH(S190, 'CENTRO - CESAR'!K:K, 0), )</f>
        <v>0</v>
      </c>
      <c r="M190" s="251">
        <f t="array" ref="M190">INDEX('CENTRO - CESAR'!M:M, MATCH(S190, 'CENTRO - CESAR'!K:K, 0), )</f>
        <v>0</v>
      </c>
      <c r="N190" s="252">
        <f t="array" ref="N190">INDEX('CENTRO - CESAR'!N:N, MATCH(S190, 'CENTRO - CESAR'!K:K, 0), )</f>
        <v>0</v>
      </c>
      <c r="O190" s="253">
        <f t="array" ref="O190">INDEX('CENTRO - CESAR'!O:O, MATCH(S190, 'CENTRO - CESAR'!K:K, 0), )</f>
        <v>0</v>
      </c>
      <c r="P190" s="236">
        <v>-11.002472222222222</v>
      </c>
      <c r="Q190" s="236">
        <v>-76.365138888888879</v>
      </c>
      <c r="R190" s="243" t="s">
        <v>1585</v>
      </c>
      <c r="S190" s="246" t="s">
        <v>1586</v>
      </c>
      <c r="U190" s="245"/>
    </row>
    <row r="191" spans="1:21" ht="17.25" customHeight="1">
      <c r="A191" s="236">
        <v>190</v>
      </c>
      <c r="B191" s="249" t="str">
        <f t="array" ref="B191">INDEX('CENTRO - CESAR'!B:B, MATCH(S191, 'CENTRO - CESAR'!K:K, 0), )</f>
        <v>Iquitos</v>
      </c>
      <c r="C191" s="156" t="str">
        <f t="array" ref="C191">INDEX('CENTRO - CESAR'!C:C, MATCH(S191, 'CENTRO - CESAR'!K:K, 0), )</f>
        <v>Loreto</v>
      </c>
      <c r="D191" s="156" t="str">
        <f t="array" ref="D191">INDEX('CENTRO - CESAR'!D:D, MATCH(S191, 'CENTRO - CESAR'!K:K, 0), )</f>
        <v>UHF</v>
      </c>
      <c r="E191" s="156">
        <f t="array" ref="E191">INDEX('CENTRO - CESAR'!E:E, MATCH(S191, 'CENTRO - CESAR'!K:K, 0), )</f>
        <v>41</v>
      </c>
      <c r="F191" s="156">
        <f t="array" ref="F191">INDEX('CENTRO - CESAR'!F:F, MATCH(S191, 'CENTRO - CESAR'!K:K, 0), )</f>
        <v>5</v>
      </c>
      <c r="G191" s="159" t="str">
        <f t="array" ref="G191">INDEX('CENTRO - CESAR'!G:G, MATCH(S191, 'CENTRO - CESAR'!K:K, 0), )</f>
        <v>N.I</v>
      </c>
      <c r="H191" s="238" t="str">
        <f t="array" ref="H191">INDEX('CENTRO - CESAR'!H:H, MATCH(S191, 'CENTRO - CESAR'!K:K, 0), )</f>
        <v>IQUITOS</v>
      </c>
      <c r="I191" s="239" t="str">
        <f t="array" ref="I191">INDEX('CENTRO - CESAR'!I:I, MATCH(S191, 'CENTRO - CESAR'!K:K, 0), )</f>
        <v>14/08/2025 - Sectoristas - A la fecho no se realizo la compra de los equipos</v>
      </c>
      <c r="J191" s="240">
        <f t="array" ref="J191">INDEX('CENTRO - CESAR'!J:J, MATCH(S191, 'CENTRO - CESAR'!K:K, 0), )</f>
        <v>0</v>
      </c>
      <c r="K191" s="156" t="str">
        <f t="array" ref="K191">INDEX('CENTRO - CESAR'!K:K, MATCH(S191, 'CENTRO - CESAR'!K:K, 0), )</f>
        <v>C - 61</v>
      </c>
      <c r="L191" s="250">
        <f t="array" ref="L191">INDEX('CENTRO - CESAR'!L:L, MATCH(S191, 'CENTRO - CESAR'!K:K, 0), )</f>
        <v>0</v>
      </c>
      <c r="M191" s="251">
        <f t="array" ref="M191">INDEX('CENTRO - CESAR'!M:M, MATCH(S191, 'CENTRO - CESAR'!K:K, 0), )</f>
        <v>0</v>
      </c>
      <c r="N191" s="252">
        <f t="array" ref="N191">INDEX('CENTRO - CESAR'!N:N, MATCH(S191, 'CENTRO - CESAR'!K:K, 0), )</f>
        <v>0</v>
      </c>
      <c r="O191" s="253">
        <f t="array" ref="O191">INDEX('CENTRO - CESAR'!O:O, MATCH(S191, 'CENTRO - CESAR'!K:K, 0), )</f>
        <v>0</v>
      </c>
      <c r="P191" s="236">
        <v>-3.7783944444444444</v>
      </c>
      <c r="Q191" s="236">
        <v>-73.27632222222222</v>
      </c>
      <c r="R191" s="243" t="s">
        <v>1587</v>
      </c>
      <c r="S191" s="246" t="s">
        <v>1588</v>
      </c>
      <c r="U191" s="245"/>
    </row>
    <row r="192" spans="1:21" ht="17.25" customHeight="1">
      <c r="A192" s="236">
        <v>191</v>
      </c>
      <c r="B192" s="249" t="str">
        <f t="array" ref="B192">INDEX('CENTRO - CESAR'!B:B, MATCH(S192, 'CENTRO - CESAR'!K:K, 0), )</f>
        <v>Islandia - Yavari</v>
      </c>
      <c r="C192" s="156" t="str">
        <f t="array" ref="C192">INDEX('CENTRO - CESAR'!C:C, MATCH(S192, 'CENTRO - CESAR'!K:K, 0), )</f>
        <v>Loreto</v>
      </c>
      <c r="D192" s="156" t="str">
        <f t="array" ref="D192">INDEX('CENTRO - CESAR'!D:D, MATCH(S192, 'CENTRO - CESAR'!K:K, 0), )</f>
        <v>FM</v>
      </c>
      <c r="E192" s="156">
        <f t="array" ref="E192">INDEX('CENTRO - CESAR'!E:E, MATCH(S192, 'CENTRO - CESAR'!K:K, 0), )</f>
        <v>97.5</v>
      </c>
      <c r="F192" s="156">
        <f t="array" ref="F192">INDEX('CENTRO - CESAR'!F:F, MATCH(S192, 'CENTRO - CESAR'!K:K, 0), )</f>
        <v>133</v>
      </c>
      <c r="G192" s="159" t="str">
        <f t="array" ref="G192">INDEX('CENTRO - CESAR'!G:G, MATCH(S192, 'CENTRO - CESAR'!K:K, 0), )</f>
        <v>A.A</v>
      </c>
      <c r="H192" s="238" t="str">
        <f t="array" ref="H192">INDEX('CENTRO - CESAR'!H:H, MATCH(S192, 'CENTRO - CESAR'!K:K, 0), )</f>
        <v>ISLANDIA</v>
      </c>
      <c r="I192" s="239" t="str">
        <f t="array" ref="I192">INDEX('CENTRO - CESAR'!I:I, MATCH(S192, 'CENTRO - CESAR'!K:K, 0), )</f>
        <v>31/10/2025 - Sectoristas - Operativo de acuerdo a lo informado por el presbítero (07 am a 10 pm)</v>
      </c>
      <c r="J192" s="240">
        <f t="array" ref="J192">INDEX('CENTRO - CESAR'!J:J, MATCH(S192, 'CENTRO - CESAR'!K:K, 0), )</f>
        <v>0</v>
      </c>
      <c r="K192" s="156" t="str">
        <f t="array" ref="K192">INDEX('CENTRO - CESAR'!K:K, MATCH(S192, 'CENTRO - CESAR'!K:K, 0), )</f>
        <v>C - 62</v>
      </c>
      <c r="L192" s="250">
        <f t="array" ref="L192">INDEX('CENTRO - CESAR'!L:L, MATCH(S192, 'CENTRO - CESAR'!K:K, 0), )</f>
        <v>0</v>
      </c>
      <c r="M192" s="251">
        <f t="array" ref="M192">INDEX('CENTRO - CESAR'!M:M, MATCH(S192, 'CENTRO - CESAR'!K:K, 0), )</f>
        <v>0</v>
      </c>
      <c r="N192" s="252">
        <f t="array" ref="N192">INDEX('CENTRO - CESAR'!N:N, MATCH(S192, 'CENTRO - CESAR'!K:K, 0), )</f>
        <v>0</v>
      </c>
      <c r="O192" s="253">
        <f t="array" ref="O192">INDEX('CENTRO - CESAR'!O:O, MATCH(S192, 'CENTRO - CESAR'!K:K, 0), )</f>
        <v>0</v>
      </c>
      <c r="P192" s="236">
        <v>-4.3530833333333332</v>
      </c>
      <c r="Q192" s="236">
        <v>-70.041694444444445</v>
      </c>
      <c r="R192" s="243" t="s">
        <v>1589</v>
      </c>
      <c r="S192" s="246" t="s">
        <v>1590</v>
      </c>
      <c r="U192" s="245"/>
    </row>
    <row r="193" spans="1:21" ht="17.25" customHeight="1">
      <c r="A193" s="236">
        <v>192</v>
      </c>
      <c r="B193" s="249" t="str">
        <f t="array" ref="B193">INDEX('CENTRO - CESAR'!B:B, MATCH(S193, 'CENTRO - CESAR'!K:K, 0), )</f>
        <v>Jauja</v>
      </c>
      <c r="C193" s="156" t="str">
        <f t="array" ref="C193">INDEX('CENTRO - CESAR'!C:C, MATCH(S193, 'CENTRO - CESAR'!K:K, 0), )</f>
        <v>Junin</v>
      </c>
      <c r="D193" s="156" t="str">
        <f t="array" ref="D193">INDEX('CENTRO - CESAR'!D:D, MATCH(S193, 'CENTRO - CESAR'!K:K, 0), )</f>
        <v>FM</v>
      </c>
      <c r="E193" s="156">
        <f t="array" ref="E193">INDEX('CENTRO - CESAR'!E:E, MATCH(S193, 'CENTRO - CESAR'!K:K, 0), )</f>
        <v>93.9</v>
      </c>
      <c r="F193" s="156">
        <f t="array" ref="F193">INDEX('CENTRO - CESAR'!F:F, MATCH(S193, 'CENTRO - CESAR'!K:K, 0), )</f>
        <v>129</v>
      </c>
      <c r="G193" s="159" t="str">
        <f t="array" ref="G193">INDEX('CENTRO - CESAR'!G:G, MATCH(S193, 'CENTRO - CESAR'!K:K, 0), )</f>
        <v>A.A</v>
      </c>
      <c r="H193" s="238" t="str">
        <f t="array" ref="H193">INDEX('CENTRO - CESAR'!H:H, MATCH(S193, 'CENTRO - CESAR'!K:K, 0), )</f>
        <v>JAUJA</v>
      </c>
      <c r="I193" s="239" t="str">
        <f t="array" ref="I193">INDEX('CENTRO - CESAR'!I:I, MATCH(S193, 'CENTRO - CESAR'!K:K, 0), )</f>
        <v>31/10/2025 - Sectoristas - Sectoristas - Operativo de acuerdo a lo informado por el pastor de la zona</v>
      </c>
      <c r="J193" s="240">
        <f t="array" ref="J193">INDEX('CENTRO - CESAR'!J:J, MATCH(S193, 'CENTRO - CESAR'!K:K, 0), )</f>
        <v>0</v>
      </c>
      <c r="K193" s="156" t="str">
        <f t="array" ref="K193">INDEX('CENTRO - CESAR'!K:K, MATCH(S193, 'CENTRO - CESAR'!K:K, 0), )</f>
        <v>C - 63</v>
      </c>
      <c r="L193" s="250">
        <f t="array" ref="L193">INDEX('CENTRO - CESAR'!L:L, MATCH(S193, 'CENTRO - CESAR'!K:K, 0), )</f>
        <v>0</v>
      </c>
      <c r="M193" s="251">
        <f t="array" ref="M193">INDEX('CENTRO - CESAR'!M:M, MATCH(S193, 'CENTRO - CESAR'!K:K, 0), )</f>
        <v>0</v>
      </c>
      <c r="N193" s="252">
        <f t="array" ref="N193">INDEX('CENTRO - CESAR'!N:N, MATCH(S193, 'CENTRO - CESAR'!K:K, 0), )</f>
        <v>0</v>
      </c>
      <c r="O193" s="253">
        <f t="array" ref="O193">INDEX('CENTRO - CESAR'!O:O, MATCH(S193, 'CENTRO - CESAR'!K:K, 0), )</f>
        <v>0</v>
      </c>
      <c r="P193" s="236">
        <v>-11.786944444444444</v>
      </c>
      <c r="Q193" s="236">
        <v>-75.495555555555555</v>
      </c>
      <c r="R193" s="243" t="s">
        <v>1591</v>
      </c>
      <c r="S193" s="246" t="s">
        <v>1592</v>
      </c>
      <c r="U193" s="245"/>
    </row>
    <row r="194" spans="1:21" ht="17.25" customHeight="1">
      <c r="A194" s="236">
        <v>193</v>
      </c>
      <c r="B194" s="249" t="str">
        <f t="array" ref="B194">INDEX('CENTRO - CESAR'!B:B, MATCH(S194, 'CENTRO - CESAR'!K:K, 0), )</f>
        <v>Juancito - Sarayacu</v>
      </c>
      <c r="C194" s="156" t="str">
        <f t="array" ref="C194">INDEX('CENTRO - CESAR'!C:C, MATCH(S194, 'CENTRO - CESAR'!K:K, 0), )</f>
        <v>Loreto</v>
      </c>
      <c r="D194" s="156" t="str">
        <f t="array" ref="D194">INDEX('CENTRO - CESAR'!D:D, MATCH(S194, 'CENTRO - CESAR'!K:K, 0), )</f>
        <v>FM</v>
      </c>
      <c r="E194" s="156">
        <f t="array" ref="E194">INDEX('CENTRO - CESAR'!E:E, MATCH(S194, 'CENTRO - CESAR'!K:K, 0), )</f>
        <v>97.5</v>
      </c>
      <c r="F194" s="156">
        <f t="array" ref="F194">INDEX('CENTRO - CESAR'!F:F, MATCH(S194, 'CENTRO - CESAR'!K:K, 0), )</f>
        <v>64</v>
      </c>
      <c r="G194" s="159" t="str">
        <f t="array" ref="G194">INDEX('CENTRO - CESAR'!G:G, MATCH(S194, 'CENTRO - CESAR'!K:K, 0), )</f>
        <v>A.A</v>
      </c>
      <c r="H194" s="238" t="str">
        <f t="array" ref="H194">INDEX('CENTRO - CESAR'!H:H, MATCH(S194, 'CENTRO - CESAR'!K:K, 0), )</f>
        <v>JUANCITO</v>
      </c>
      <c r="I194" s="239" t="str">
        <f t="array" ref="I194">INDEX('CENTRO - CESAR'!I:I, MATCH(S194, 'CENTRO - CESAR'!K:K, 0), )</f>
        <v>30/10/2025 - Sectoristas - Operativo de acuerdo a lo informado por el pastor de la zona</v>
      </c>
      <c r="J194" s="240">
        <f t="array" ref="J194">INDEX('CENTRO - CESAR'!J:J, MATCH(S194, 'CENTRO - CESAR'!K:K, 0), )</f>
        <v>0</v>
      </c>
      <c r="K194" s="156" t="str">
        <f t="array" ref="K194">INDEX('CENTRO - CESAR'!K:K, MATCH(S194, 'CENTRO - CESAR'!K:K, 0), )</f>
        <v>C - 64</v>
      </c>
      <c r="L194" s="250">
        <f t="array" ref="L194">INDEX('CENTRO - CESAR'!L:L, MATCH(S194, 'CENTRO - CESAR'!K:K, 0), )</f>
        <v>0</v>
      </c>
      <c r="M194" s="251">
        <f t="array" ref="M194">INDEX('CENTRO - CESAR'!M:M, MATCH(S194, 'CENTRO - CESAR'!K:K, 0), )</f>
        <v>0</v>
      </c>
      <c r="N194" s="252">
        <f t="array" ref="N194">INDEX('CENTRO - CESAR'!N:N, MATCH(S194, 'CENTRO - CESAR'!K:K, 0), )</f>
        <v>0</v>
      </c>
      <c r="O194" s="253">
        <f t="array" ref="O194">INDEX('CENTRO - CESAR'!O:O, MATCH(S194, 'CENTRO - CESAR'!K:K, 0), )</f>
        <v>0</v>
      </c>
      <c r="P194" s="236">
        <v>-6.0574722222222217</v>
      </c>
      <c r="Q194" s="236">
        <v>-74.86077777777777</v>
      </c>
      <c r="R194" s="243" t="s">
        <v>1593</v>
      </c>
      <c r="S194" s="246" t="s">
        <v>1594</v>
      </c>
      <c r="U194" s="245"/>
    </row>
    <row r="195" spans="1:21" ht="17.25" customHeight="1">
      <c r="A195" s="236">
        <v>194</v>
      </c>
      <c r="B195" s="249" t="str">
        <f t="array" ref="B195">INDEX('CENTRO - CESAR'!B:B, MATCH(S195, 'CENTRO - CESAR'!K:K, 0), )</f>
        <v>Junin</v>
      </c>
      <c r="C195" s="156" t="str">
        <f t="array" ref="C195">INDEX('CENTRO - CESAR'!C:C, MATCH(S195, 'CENTRO - CESAR'!K:K, 0), )</f>
        <v>Junin</v>
      </c>
      <c r="D195" s="156" t="str">
        <f t="array" ref="D195">INDEX('CENTRO - CESAR'!D:D, MATCH(S195, 'CENTRO - CESAR'!K:K, 0), )</f>
        <v>FM</v>
      </c>
      <c r="E195" s="156">
        <f t="array" ref="E195">INDEX('CENTRO - CESAR'!E:E, MATCH(S195, 'CENTRO - CESAR'!K:K, 0), )</f>
        <v>91.9</v>
      </c>
      <c r="F195" s="156">
        <f t="array" ref="F195">INDEX('CENTRO - CESAR'!F:F, MATCH(S195, 'CENTRO - CESAR'!K:K, 0), )</f>
        <v>71</v>
      </c>
      <c r="G195" s="159" t="str">
        <f t="array" ref="G195">INDEX('CENTRO - CESAR'!G:G, MATCH(S195, 'CENTRO - CESAR'!K:K, 0), )</f>
        <v>A.A</v>
      </c>
      <c r="H195" s="238" t="str">
        <f t="array" ref="H195">INDEX('CENTRO - CESAR'!H:H, MATCH(S195, 'CENTRO - CESAR'!K:K, 0), )</f>
        <v>JUNIN</v>
      </c>
      <c r="I195" s="239" t="str">
        <f t="array" ref="I195">INDEX('CENTRO - CESAR'!I:I, MATCH(S195, 'CENTRO - CESAR'!K:K, 0), )</f>
        <v>30/10/2025 - Sectoristas - Operativo de acuerdo a lo informado por el presbítero</v>
      </c>
      <c r="J195" s="240">
        <f t="array" ref="J195">INDEX('CENTRO - CESAR'!J:J, MATCH(S195, 'CENTRO - CESAR'!K:K, 0), )</f>
        <v>0</v>
      </c>
      <c r="K195" s="156" t="str">
        <f t="array" ref="K195">INDEX('CENTRO - CESAR'!K:K, MATCH(S195, 'CENTRO - CESAR'!K:K, 0), )</f>
        <v>C - 65</v>
      </c>
      <c r="L195" s="250">
        <f t="array" ref="L195">INDEX('CENTRO - CESAR'!L:L, MATCH(S195, 'CENTRO - CESAR'!K:K, 0), )</f>
        <v>0</v>
      </c>
      <c r="M195" s="251">
        <f t="array" ref="M195">INDEX('CENTRO - CESAR'!M:M, MATCH(S195, 'CENTRO - CESAR'!K:K, 0), )</f>
        <v>0</v>
      </c>
      <c r="N195" s="252">
        <f t="array" ref="N195">INDEX('CENTRO - CESAR'!N:N, MATCH(S195, 'CENTRO - CESAR'!K:K, 0), )</f>
        <v>0</v>
      </c>
      <c r="O195" s="253">
        <f t="array" ref="O195">INDEX('CENTRO - CESAR'!O:O, MATCH(S195, 'CENTRO - CESAR'!K:K, 0), )</f>
        <v>0</v>
      </c>
      <c r="P195" s="236">
        <v>-11.158413888888889</v>
      </c>
      <c r="Q195" s="236">
        <v>-75.990638888888896</v>
      </c>
      <c r="R195" s="243" t="s">
        <v>1595</v>
      </c>
      <c r="S195" s="246" t="s">
        <v>1596</v>
      </c>
      <c r="U195" s="245"/>
    </row>
    <row r="196" spans="1:21" ht="17.25" customHeight="1">
      <c r="A196" s="236">
        <v>195</v>
      </c>
      <c r="B196" s="249" t="str">
        <f t="array" ref="B196">INDEX('CENTRO - CESAR'!B:B, MATCH(S196, 'CENTRO - CESAR'!K:K, 0), )</f>
        <v>La Merced</v>
      </c>
      <c r="C196" s="156" t="str">
        <f t="array" ref="C196">INDEX('CENTRO - CESAR'!C:C, MATCH(S196, 'CENTRO - CESAR'!K:K, 0), )</f>
        <v>Junin</v>
      </c>
      <c r="D196" s="156" t="str">
        <f t="array" ref="D196">INDEX('CENTRO - CESAR'!D:D, MATCH(S196, 'CENTRO - CESAR'!K:K, 0), )</f>
        <v>FM</v>
      </c>
      <c r="E196" s="156">
        <f t="array" ref="E196">INDEX('CENTRO - CESAR'!E:E, MATCH(S196, 'CENTRO - CESAR'!K:K, 0), )</f>
        <v>92.1</v>
      </c>
      <c r="F196" s="156">
        <f t="array" ref="F196">INDEX('CENTRO - CESAR'!F:F, MATCH(S196, 'CENTRO - CESAR'!K:K, 0), )</f>
        <v>74</v>
      </c>
      <c r="G196" s="159" t="str">
        <f t="array" ref="G196">INDEX('CENTRO - CESAR'!G:G, MATCH(S196, 'CENTRO - CESAR'!K:K, 0), )</f>
        <v>A.A</v>
      </c>
      <c r="H196" s="238" t="str">
        <f t="array" ref="H196">INDEX('CENTRO - CESAR'!H:H, MATCH(S196, 'CENTRO - CESAR'!K:K, 0), )</f>
        <v>LA MERCED</v>
      </c>
      <c r="I196" s="239" t="str">
        <f t="array" ref="I196">INDEX('CENTRO - CESAR'!I:I, MATCH(S196, 'CENTRO - CESAR'!K:K, 0), )</f>
        <v>5/09/2025 - Sectoristas - Operativo de acuerdo a lo informado por el presbítero (24 horas)</v>
      </c>
      <c r="J196" s="240">
        <f t="array" ref="J196">INDEX('CENTRO - CESAR'!J:J, MATCH(S196, 'CENTRO - CESAR'!K:K, 0), )</f>
        <v>0</v>
      </c>
      <c r="K196" s="156" t="str">
        <f t="array" ref="K196">INDEX('CENTRO - CESAR'!K:K, MATCH(S196, 'CENTRO - CESAR'!K:K, 0), )</f>
        <v>C - 66</v>
      </c>
      <c r="L196" s="250">
        <f t="array" ref="L196">INDEX('CENTRO - CESAR'!L:L, MATCH(S196, 'CENTRO - CESAR'!K:K, 0), )</f>
        <v>0</v>
      </c>
      <c r="M196" s="251">
        <f t="array" ref="M196">INDEX('CENTRO - CESAR'!M:M, MATCH(S196, 'CENTRO - CESAR'!K:K, 0), )</f>
        <v>0</v>
      </c>
      <c r="N196" s="252">
        <f t="array" ref="N196">INDEX('CENTRO - CESAR'!N:N, MATCH(S196, 'CENTRO - CESAR'!K:K, 0), )</f>
        <v>0</v>
      </c>
      <c r="O196" s="253">
        <f t="array" ref="O196">INDEX('CENTRO - CESAR'!O:O, MATCH(S196, 'CENTRO - CESAR'!K:K, 0), )</f>
        <v>0</v>
      </c>
      <c r="P196" s="236">
        <v>-11.077888888888889</v>
      </c>
      <c r="Q196" s="236">
        <v>-75.321138888888882</v>
      </c>
      <c r="R196" s="243" t="s">
        <v>1306</v>
      </c>
      <c r="S196" s="246" t="s">
        <v>1597</v>
      </c>
      <c r="U196" s="245"/>
    </row>
    <row r="197" spans="1:21" ht="17.25" customHeight="1">
      <c r="A197" s="236">
        <v>196</v>
      </c>
      <c r="B197" s="249" t="str">
        <f t="array" ref="B197">INDEX('CENTRO - CESAR'!B:B, MATCH(S197, 'CENTRO - CESAR'!K:K, 0), )</f>
        <v>La Oroya</v>
      </c>
      <c r="C197" s="156" t="str">
        <f t="array" ref="C197">INDEX('CENTRO - CESAR'!C:C, MATCH(S197, 'CENTRO - CESAR'!K:K, 0), )</f>
        <v>Junin</v>
      </c>
      <c r="D197" s="156" t="str">
        <f t="array" ref="D197">INDEX('CENTRO - CESAR'!D:D, MATCH(S197, 'CENTRO - CESAR'!K:K, 0), )</f>
        <v>FM</v>
      </c>
      <c r="E197" s="156">
        <f t="array" ref="E197">INDEX('CENTRO - CESAR'!E:E, MATCH(S197, 'CENTRO - CESAR'!K:K, 0), )</f>
        <v>90.9</v>
      </c>
      <c r="F197" s="156">
        <f t="array" ref="F197">INDEX('CENTRO - CESAR'!F:F, MATCH(S197, 'CENTRO - CESAR'!K:K, 0), )</f>
        <v>76</v>
      </c>
      <c r="G197" s="159" t="str">
        <f t="array" ref="G197">INDEX('CENTRO - CESAR'!G:G, MATCH(S197, 'CENTRO - CESAR'!K:K, 0), )</f>
        <v>A.A</v>
      </c>
      <c r="H197" s="238" t="str">
        <f t="array" ref="H197">INDEX('CENTRO - CESAR'!H:H, MATCH(S197, 'CENTRO - CESAR'!K:K, 0), )</f>
        <v>LA OROYA</v>
      </c>
      <c r="I197" s="239" t="str">
        <f t="array" ref="I197">INDEX('CENTRO - CESAR'!I:I, MATCH(S197, 'CENTRO - CESAR'!K:K, 0), )</f>
        <v>30/10/2025 - Sectoristas - Operativo de acuerdo a lo informado por el pastor de la zona</v>
      </c>
      <c r="J197" s="240">
        <f t="array" ref="J197">INDEX('CENTRO - CESAR'!J:J, MATCH(S197, 'CENTRO - CESAR'!K:K, 0), )</f>
        <v>0</v>
      </c>
      <c r="K197" s="156" t="str">
        <f t="array" ref="K197">INDEX('CENTRO - CESAR'!K:K, MATCH(S197, 'CENTRO - CESAR'!K:K, 0), )</f>
        <v>C - 67</v>
      </c>
      <c r="L197" s="250">
        <f t="array" ref="L197">INDEX('CENTRO - CESAR'!L:L, MATCH(S197, 'CENTRO - CESAR'!K:K, 0), )</f>
        <v>0</v>
      </c>
      <c r="M197" s="251">
        <f t="array" ref="M197">INDEX('CENTRO - CESAR'!M:M, MATCH(S197, 'CENTRO - CESAR'!K:K, 0), )</f>
        <v>0</v>
      </c>
      <c r="N197" s="252">
        <f t="array" ref="N197">INDEX('CENTRO - CESAR'!N:N, MATCH(S197, 'CENTRO - CESAR'!K:K, 0), )</f>
        <v>0</v>
      </c>
      <c r="O197" s="253">
        <f t="array" ref="O197">INDEX('CENTRO - CESAR'!O:O, MATCH(S197, 'CENTRO - CESAR'!K:K, 0), )</f>
        <v>0</v>
      </c>
      <c r="P197" s="236">
        <v>-11.518361111111112</v>
      </c>
      <c r="Q197" s="236">
        <v>-75.904000000000011</v>
      </c>
      <c r="R197" s="243" t="s">
        <v>1598</v>
      </c>
      <c r="S197" s="246" t="s">
        <v>1599</v>
      </c>
      <c r="U197" s="245"/>
    </row>
    <row r="198" spans="1:21" ht="17.25" customHeight="1">
      <c r="A198" s="236">
        <v>197</v>
      </c>
      <c r="B198" s="249" t="str">
        <f t="array" ref="B198">INDEX('CENTRO - CESAR'!B:B, MATCH(S198, 'CENTRO - CESAR'!K:K, 0), )</f>
        <v>La Union</v>
      </c>
      <c r="C198" s="156" t="str">
        <f t="array" ref="C198">INDEX('CENTRO - CESAR'!C:C, MATCH(S198, 'CENTRO - CESAR'!K:K, 0), )</f>
        <v>Huanuco</v>
      </c>
      <c r="D198" s="156" t="str">
        <f t="array" ref="D198">INDEX('CENTRO - CESAR'!D:D, MATCH(S198, 'CENTRO - CESAR'!K:K, 0), )</f>
        <v>FM</v>
      </c>
      <c r="E198" s="156">
        <f t="array" ref="E198">INDEX('CENTRO - CESAR'!E:E, MATCH(S198, 'CENTRO - CESAR'!K:K, 0), )</f>
        <v>94.7</v>
      </c>
      <c r="F198" s="156">
        <f t="array" ref="F198">INDEX('CENTRO - CESAR'!F:F, MATCH(S198, 'CENTRO - CESAR'!K:K, 0), )</f>
        <v>113</v>
      </c>
      <c r="G198" s="159" t="str">
        <f t="array" ref="G198">INDEX('CENTRO - CESAR'!G:G, MATCH(S198, 'CENTRO - CESAR'!K:K, 0), )</f>
        <v>A.A</v>
      </c>
      <c r="H198" s="238" t="str">
        <f t="array" ref="H198">INDEX('CENTRO - CESAR'!H:H, MATCH(S198, 'CENTRO - CESAR'!K:K, 0), )</f>
        <v>LA UNION</v>
      </c>
      <c r="I198" s="239" t="str">
        <f t="array" ref="I198">INDEX('CENTRO - CESAR'!I:I, MATCH(S198, 'CENTRO - CESAR'!K:K, 0), )</f>
        <v>1/12/2025 - Ingeniería - Con fecha sábado 29/11/25, el ps. Walter informa que se logró compra el estabilizador y con ello instaló el tx. La estación está nuevamente al aire.</v>
      </c>
      <c r="J198" s="240">
        <f t="array" ref="J198">INDEX('CENTRO - CESAR'!J:J, MATCH(S198, 'CENTRO - CESAR'!K:K, 0), )</f>
        <v>0</v>
      </c>
      <c r="K198" s="156" t="str">
        <f t="array" ref="K198">INDEX('CENTRO - CESAR'!K:K, MATCH(S198, 'CENTRO - CESAR'!K:K, 0), )</f>
        <v>C - 68</v>
      </c>
      <c r="L198" s="250" t="str">
        <f t="array" ref="L198">INDEX('CENTRO - CESAR'!L:L, MATCH(S198, 'CENTRO - CESAR'!K:K, 0), )</f>
        <v>Sectoristas</v>
      </c>
      <c r="M198" s="251" t="str">
        <f t="array" ref="M198">INDEX('CENTRO - CESAR'!M:M, MATCH(S198, 'CENTRO - CESAR'!K:K, 0), )</f>
        <v>Nivel 1</v>
      </c>
      <c r="N198" s="252">
        <f t="array" ref="N198">INDEX('CENTRO - CESAR'!N:N, MATCH(S198, 'CENTRO - CESAR'!K:K, 0), )</f>
        <v>0</v>
      </c>
      <c r="O198" s="253">
        <f t="array" ref="O198">INDEX('CENTRO - CESAR'!O:O, MATCH(S198, 'CENTRO - CESAR'!K:K, 0), )</f>
        <v>0</v>
      </c>
      <c r="P198" s="236">
        <v>-9.8252222222222212</v>
      </c>
      <c r="Q198" s="236">
        <v>-76.798000000000002</v>
      </c>
      <c r="R198" s="243" t="s">
        <v>1600</v>
      </c>
      <c r="S198" s="246" t="s">
        <v>1601</v>
      </c>
      <c r="U198" s="245"/>
    </row>
    <row r="199" spans="1:21" ht="17.25" customHeight="1">
      <c r="A199" s="236">
        <v>198</v>
      </c>
      <c r="B199" s="249" t="str">
        <f t="array" ref="B199">INDEX('CENTRO - CESAR'!B:B, MATCH(S199, 'CENTRO - CESAR'!K:K, 0), )</f>
        <v>Lagunas</v>
      </c>
      <c r="C199" s="156" t="str">
        <f t="array" ref="C199">INDEX('CENTRO - CESAR'!C:C, MATCH(S199, 'CENTRO - CESAR'!K:K, 0), )</f>
        <v>Loreto</v>
      </c>
      <c r="D199" s="156" t="str">
        <f t="array" ref="D199">INDEX('CENTRO - CESAR'!D:D, MATCH(S199, 'CENTRO - CESAR'!K:K, 0), )</f>
        <v>FM</v>
      </c>
      <c r="E199" s="156" t="str">
        <f t="array" ref="E199">INDEX('CENTRO - CESAR'!E:E, MATCH(S199, 'CENTRO - CESAR'!K:K, 0), )</f>
        <v>100.3</v>
      </c>
      <c r="F199" s="156">
        <f t="array" ref="F199">INDEX('CENTRO - CESAR'!F:F, MATCH(S199, 'CENTRO - CESAR'!K:K, 0), )</f>
        <v>79</v>
      </c>
      <c r="G199" s="159" t="str">
        <f t="array" ref="G199">INDEX('CENTRO - CESAR'!G:G, MATCH(S199, 'CENTRO - CESAR'!K:K, 0), )</f>
        <v>A.A</v>
      </c>
      <c r="H199" s="238" t="str">
        <f t="array" ref="H199">INDEX('CENTRO - CESAR'!H:H, MATCH(S199, 'CENTRO - CESAR'!K:K, 0), )</f>
        <v>LAGUNAS</v>
      </c>
      <c r="I199" s="239" t="str">
        <f t="array" ref="I199">INDEX('CENTRO - CESAR'!I:I, MATCH(S199, 'CENTRO - CESAR'!K:K, 0), )</f>
        <v>30/10/2025 - Sectoristas - Operativo de acuerdo a lo informado por el pastor responsable</v>
      </c>
      <c r="J199" s="240">
        <f t="array" ref="J199">INDEX('CENTRO - CESAR'!J:J, MATCH(S199, 'CENTRO - CESAR'!K:K, 0), )</f>
        <v>0</v>
      </c>
      <c r="K199" s="156" t="str">
        <f t="array" ref="K199">INDEX('CENTRO - CESAR'!K:K, MATCH(S199, 'CENTRO - CESAR'!K:K, 0), )</f>
        <v>C - 69</v>
      </c>
      <c r="L199" s="250">
        <f t="array" ref="L199">INDEX('CENTRO - CESAR'!L:L, MATCH(S199, 'CENTRO - CESAR'!K:K, 0), )</f>
        <v>0</v>
      </c>
      <c r="M199" s="251">
        <f t="array" ref="M199">INDEX('CENTRO - CESAR'!M:M, MATCH(S199, 'CENTRO - CESAR'!K:K, 0), )</f>
        <v>0</v>
      </c>
      <c r="N199" s="252">
        <f t="array" ref="N199">INDEX('CENTRO - CESAR'!N:N, MATCH(S199, 'CENTRO - CESAR'!K:K, 0), )</f>
        <v>0</v>
      </c>
      <c r="O199" s="253">
        <f t="array" ref="O199">INDEX('CENTRO - CESAR'!O:O, MATCH(S199, 'CENTRO - CESAR'!K:K, 0), )</f>
        <v>0</v>
      </c>
      <c r="P199" s="236">
        <v>-5.2255000000000003</v>
      </c>
      <c r="Q199" s="236">
        <v>-75.668666666666667</v>
      </c>
      <c r="R199" s="243" t="s">
        <v>1602</v>
      </c>
      <c r="S199" s="246" t="s">
        <v>1603</v>
      </c>
      <c r="U199" s="245"/>
    </row>
    <row r="200" spans="1:21" ht="17.25" customHeight="1">
      <c r="A200" s="236">
        <v>199</v>
      </c>
      <c r="B200" s="249" t="str">
        <f t="array" ref="B200">INDEX('CENTRO - CESAR'!B:B, MATCH(S200, 'CENTRO - CESAR'!K:K, 0), )</f>
        <v>Lima</v>
      </c>
      <c r="C200" s="156" t="str">
        <f t="array" ref="C200">INDEX('CENTRO - CESAR'!C:C, MATCH(S200, 'CENTRO - CESAR'!K:K, 0), )</f>
        <v>Lima</v>
      </c>
      <c r="D200" s="156" t="str">
        <f t="array" ref="D200">INDEX('CENTRO - CESAR'!D:D, MATCH(S200, 'CENTRO - CESAR'!K:K, 0), )</f>
        <v>UHF</v>
      </c>
      <c r="E200" s="156">
        <f t="array" ref="E200">INDEX('CENTRO - CESAR'!E:E, MATCH(S200, 'CENTRO - CESAR'!K:K, 0), )</f>
        <v>25</v>
      </c>
      <c r="F200" s="156">
        <f t="array" ref="F200">INDEX('CENTRO - CESAR'!F:F, MATCH(S200, 'CENTRO - CESAR'!K:K, 0), )</f>
        <v>1</v>
      </c>
      <c r="G200" s="159" t="str">
        <f t="array" ref="G200">INDEX('CENTRO - CESAR'!G:G, MATCH(S200, 'CENTRO - CESAR'!K:K, 0), )</f>
        <v>A.A</v>
      </c>
      <c r="H200" s="238" t="str">
        <f t="array" ref="H200">INDEX('CENTRO - CESAR'!H:H, MATCH(S200, 'CENTRO - CESAR'!K:K, 0), )</f>
        <v>LIMA</v>
      </c>
      <c r="I200" s="239" t="str">
        <f t="array" ref="I200">INDEX('CENTRO - CESAR'!I:I, MATCH(S200, 'CENTRO - CESAR'!K:K, 0), )</f>
        <v>31/10/2025 - Sectoristas - Operativo de acuerdo a lo informado por Hno. Manuel Alvarado</v>
      </c>
      <c r="J200" s="240">
        <f t="array" ref="J200">INDEX('CENTRO - CESAR'!J:J, MATCH(S200, 'CENTRO - CESAR'!K:K, 0), )</f>
        <v>0</v>
      </c>
      <c r="K200" s="156" t="str">
        <f t="array" ref="K200">INDEX('CENTRO - CESAR'!K:K, MATCH(S200, 'CENTRO - CESAR'!K:K, 0), )</f>
        <v>C - 70</v>
      </c>
      <c r="L200" s="250">
        <f t="array" ref="L200">INDEX('CENTRO - CESAR'!L:L, MATCH(S200, 'CENTRO - CESAR'!K:K, 0), )</f>
        <v>0</v>
      </c>
      <c r="M200" s="251">
        <f t="array" ref="M200">INDEX('CENTRO - CESAR'!M:M, MATCH(S200, 'CENTRO - CESAR'!K:K, 0), )</f>
        <v>0</v>
      </c>
      <c r="N200" s="252">
        <f t="array" ref="N200">INDEX('CENTRO - CESAR'!N:N, MATCH(S200, 'CENTRO - CESAR'!K:K, 0), )</f>
        <v>0</v>
      </c>
      <c r="O200" s="253">
        <f t="array" ref="O200">INDEX('CENTRO - CESAR'!O:O, MATCH(S200, 'CENTRO - CESAR'!K:K, 0), )</f>
        <v>0</v>
      </c>
      <c r="P200" s="236">
        <v>-12.181833333333334</v>
      </c>
      <c r="Q200" s="236">
        <v>-77.026388888888889</v>
      </c>
      <c r="R200" s="243" t="s">
        <v>1604</v>
      </c>
      <c r="S200" s="246" t="s">
        <v>1605</v>
      </c>
      <c r="U200" s="245"/>
    </row>
    <row r="201" spans="1:21" ht="17.25" customHeight="1">
      <c r="A201" s="236">
        <v>200</v>
      </c>
      <c r="B201" s="254" t="str">
        <f t="array" ref="B201">INDEX('CENTRO - CESAR'!B:B, MATCH(S201, 'CENTRO - CESAR'!K:K, 0), )</f>
        <v>Lima</v>
      </c>
      <c r="C201" s="156" t="str">
        <f t="array" ref="C201">INDEX('CENTRO - CESAR'!C:C, MATCH(S201, 'CENTRO - CESAR'!K:K, 0), )</f>
        <v>Lima</v>
      </c>
      <c r="D201" s="156" t="str">
        <f t="array" ref="D201">INDEX('CENTRO - CESAR'!D:D, MATCH(S201, 'CENTRO - CESAR'!K:K, 0), )</f>
        <v>AM</v>
      </c>
      <c r="E201" s="156">
        <f t="array" ref="E201">INDEX('CENTRO - CESAR'!E:E, MATCH(S201, 'CENTRO - CESAR'!K:K, 0), )</f>
        <v>660</v>
      </c>
      <c r="F201" s="156">
        <f t="array" ref="F201">INDEX('CENTRO - CESAR'!F:F, MATCH(S201, 'CENTRO - CESAR'!K:K, 0), )</f>
        <v>1</v>
      </c>
      <c r="G201" s="159" t="str">
        <f t="array" ref="G201">INDEX('CENTRO - CESAR'!G:G, MATCH(S201, 'CENTRO - CESAR'!K:K, 0), )</f>
        <v>A.A</v>
      </c>
      <c r="H201" s="255" t="str">
        <f t="array" ref="H201">INDEX('CENTRO - CESAR'!H:H, MATCH(S201, 'CENTRO - CESAR'!K:K, 0), )</f>
        <v>LIMA</v>
      </c>
      <c r="I201" s="239">
        <f t="array" ref="I201">INDEX('CENTRO - CESAR'!I:I, MATCH(S201, 'CENTRO - CESAR'!K:K, 0), )</f>
        <v>0</v>
      </c>
      <c r="J201" s="240">
        <f t="array" ref="J201">INDEX('CENTRO - CESAR'!J:J, MATCH(S201, 'CENTRO - CESAR'!K:K, 0), )</f>
        <v>0</v>
      </c>
      <c r="K201" s="156" t="str">
        <f t="array" ref="K201">INDEX('CENTRO - CESAR'!K:K, MATCH(S201, 'CENTRO - CESAR'!K:K, 0), )</f>
        <v>C - 71</v>
      </c>
      <c r="L201" s="250">
        <f t="array" ref="L201">INDEX('CENTRO - CESAR'!L:L, MATCH(S201, 'CENTRO - CESAR'!K:K, 0), )</f>
        <v>0</v>
      </c>
      <c r="M201" s="251">
        <f t="array" ref="M201">INDEX('CENTRO - CESAR'!M:M, MATCH(S201, 'CENTRO - CESAR'!K:K, 0), )</f>
        <v>0</v>
      </c>
      <c r="N201" s="252">
        <f t="array" ref="N201">INDEX('CENTRO - CESAR'!N:N, MATCH(S201, 'CENTRO - CESAR'!K:K, 0), )</f>
        <v>0</v>
      </c>
      <c r="O201" s="253">
        <f t="array" ref="O201">INDEX('CENTRO - CESAR'!O:O, MATCH(S201, 'CENTRO - CESAR'!K:K, 0), )</f>
        <v>0</v>
      </c>
      <c r="R201" s="248"/>
      <c r="S201" s="246" t="s">
        <v>1606</v>
      </c>
      <c r="U201" s="245"/>
    </row>
    <row r="202" spans="1:21" ht="17.25" customHeight="1">
      <c r="A202" s="236">
        <v>201</v>
      </c>
      <c r="B202" s="249" t="str">
        <f t="array" ref="B202">INDEX('CENTRO - CESAR'!B:B, MATCH(S202, 'CENTRO - CESAR'!K:K, 0), )</f>
        <v>Lima</v>
      </c>
      <c r="C202" s="156" t="str">
        <f t="array" ref="C202">INDEX('CENTRO - CESAR'!C:C, MATCH(S202, 'CENTRO - CESAR'!K:K, 0), )</f>
        <v>Lima</v>
      </c>
      <c r="D202" s="156" t="str">
        <f t="array" ref="D202">INDEX('CENTRO - CESAR'!D:D, MATCH(S202, 'CENTRO - CESAR'!K:K, 0), )</f>
        <v>FM</v>
      </c>
      <c r="E202" s="156" t="str">
        <f t="array" ref="E202">INDEX('CENTRO - CESAR'!E:E, MATCH(S202, 'CENTRO - CESAR'!K:K, 0), )</f>
        <v>100.1</v>
      </c>
      <c r="F202" s="156">
        <f t="array" ref="F202">INDEX('CENTRO - CESAR'!F:F, MATCH(S202, 'CENTRO - CESAR'!K:K, 0), )</f>
        <v>1</v>
      </c>
      <c r="G202" s="159" t="str">
        <f t="array" ref="G202">INDEX('CENTRO - CESAR'!G:G, MATCH(S202, 'CENTRO - CESAR'!K:K, 0), )</f>
        <v>A.A</v>
      </c>
      <c r="H202" s="238" t="str">
        <f t="array" ref="H202">INDEX('CENTRO - CESAR'!H:H, MATCH(S202, 'CENTRO - CESAR'!K:K, 0), )</f>
        <v>LIMA</v>
      </c>
      <c r="I202" s="239" t="str">
        <f t="array" ref="I202">INDEX('CENTRO - CESAR'!I:I, MATCH(S202, 'CENTRO - CESAR'!K:K, 0), )</f>
        <v>31/10/2025 - Sectoristas - Operativo de acuerdo a lo informado por Hno. Manuel Alvarado</v>
      </c>
      <c r="J202" s="240">
        <f t="array" ref="J202">INDEX('CENTRO - CESAR'!J:J, MATCH(S202, 'CENTRO - CESAR'!K:K, 0), )</f>
        <v>0</v>
      </c>
      <c r="K202" s="156" t="str">
        <f t="array" ref="K202">INDEX('CENTRO - CESAR'!K:K, MATCH(S202, 'CENTRO - CESAR'!K:K, 0), )</f>
        <v>C - 72</v>
      </c>
      <c r="L202" s="250">
        <f t="array" ref="L202">INDEX('CENTRO - CESAR'!L:L, MATCH(S202, 'CENTRO - CESAR'!K:K, 0), )</f>
        <v>0</v>
      </c>
      <c r="M202" s="251">
        <f t="array" ref="M202">INDEX('CENTRO - CESAR'!M:M, MATCH(S202, 'CENTRO - CESAR'!K:K, 0), )</f>
        <v>0</v>
      </c>
      <c r="N202" s="252">
        <f t="array" ref="N202">INDEX('CENTRO - CESAR'!N:N, MATCH(S202, 'CENTRO - CESAR'!K:K, 0), )</f>
        <v>0</v>
      </c>
      <c r="O202" s="253">
        <f t="array" ref="O202">INDEX('CENTRO - CESAR'!O:O, MATCH(S202, 'CENTRO - CESAR'!K:K, 0), )</f>
        <v>0</v>
      </c>
      <c r="P202" s="236">
        <v>-12.180388888888888</v>
      </c>
      <c r="Q202" s="236">
        <v>-77.030388888888893</v>
      </c>
      <c r="R202" s="243" t="s">
        <v>1607</v>
      </c>
      <c r="S202" s="246" t="s">
        <v>1608</v>
      </c>
      <c r="U202" s="245"/>
    </row>
    <row r="203" spans="1:21" ht="17.25" customHeight="1">
      <c r="A203" s="236">
        <v>202</v>
      </c>
      <c r="B203" s="254" t="str">
        <f t="array" ref="B203">INDEX('CENTRO - CESAR'!B:B, MATCH(S203, 'CENTRO - CESAR'!K:K, 0), )</f>
        <v>Lima</v>
      </c>
      <c r="C203" s="156" t="str">
        <f t="array" ref="C203">INDEX('CENTRO - CESAR'!C:C, MATCH(S203, 'CENTRO - CESAR'!K:K, 0), )</f>
        <v>Lima</v>
      </c>
      <c r="D203" s="156" t="str">
        <f t="array" ref="D203">INDEX('CENTRO - CESAR'!D:D, MATCH(S203, 'CENTRO - CESAR'!K:K, 0), )</f>
        <v>AM</v>
      </c>
      <c r="E203" s="156">
        <f t="array" ref="E203">INDEX('CENTRO - CESAR'!E:E, MATCH(S203, 'CENTRO - CESAR'!K:K, 0), )</f>
        <v>1570</v>
      </c>
      <c r="F203" s="156">
        <f t="array" ref="F203">INDEX('CENTRO - CESAR'!F:F, MATCH(S203, 'CENTRO - CESAR'!K:K, 0), )</f>
        <v>1</v>
      </c>
      <c r="G203" s="159" t="str">
        <f t="array" ref="G203">INDEX('CENTRO - CESAR'!G:G, MATCH(S203, 'CENTRO - CESAR'!K:K, 0), )</f>
        <v>N.I</v>
      </c>
      <c r="H203" s="255" t="str">
        <f t="array" ref="H203">INDEX('CENTRO - CESAR'!H:H, MATCH(S203, 'CENTRO - CESAR'!K:K, 0), )</f>
        <v>LIMA</v>
      </c>
      <c r="I203" s="239">
        <f t="array" ref="I203">INDEX('CENTRO - CESAR'!I:I, MATCH(S203, 'CENTRO - CESAR'!K:K, 0), )</f>
        <v>0</v>
      </c>
      <c r="J203" s="240">
        <f t="array" ref="J203">INDEX('CENTRO - CESAR'!J:J, MATCH(S203, 'CENTRO - CESAR'!K:K, 0), )</f>
        <v>0</v>
      </c>
      <c r="K203" s="156" t="str">
        <f t="array" ref="K203">INDEX('CENTRO - CESAR'!K:K, MATCH(S203, 'CENTRO - CESAR'!K:K, 0), )</f>
        <v>C - 73</v>
      </c>
      <c r="L203" s="250">
        <f t="array" ref="L203">INDEX('CENTRO - CESAR'!L:L, MATCH(S203, 'CENTRO - CESAR'!K:K, 0), )</f>
        <v>0</v>
      </c>
      <c r="M203" s="251">
        <f t="array" ref="M203">INDEX('CENTRO - CESAR'!M:M, MATCH(S203, 'CENTRO - CESAR'!K:K, 0), )</f>
        <v>0</v>
      </c>
      <c r="N203" s="252">
        <f t="array" ref="N203">INDEX('CENTRO - CESAR'!N:N, MATCH(S203, 'CENTRO - CESAR'!K:K, 0), )</f>
        <v>0</v>
      </c>
      <c r="O203" s="253">
        <f t="array" ref="O203">INDEX('CENTRO - CESAR'!O:O, MATCH(S203, 'CENTRO - CESAR'!K:K, 0), )</f>
        <v>0</v>
      </c>
      <c r="R203" s="248"/>
      <c r="S203" s="246" t="s">
        <v>1609</v>
      </c>
      <c r="U203" s="245"/>
    </row>
    <row r="204" spans="1:21" ht="17.25" customHeight="1">
      <c r="A204" s="236">
        <v>203</v>
      </c>
      <c r="B204" s="249" t="str">
        <f t="array" ref="B204">INDEX('CENTRO - CESAR'!B:B, MATCH(S204, 'CENTRO - CESAR'!K:K, 0), )</f>
        <v>Lircay</v>
      </c>
      <c r="C204" s="156" t="str">
        <f t="array" ref="C204">INDEX('CENTRO - CESAR'!C:C, MATCH(S204, 'CENTRO - CESAR'!K:K, 0), )</f>
        <v>Huancavelica</v>
      </c>
      <c r="D204" s="156" t="str">
        <f t="array" ref="D204">INDEX('CENTRO - CESAR'!D:D, MATCH(S204, 'CENTRO - CESAR'!K:K, 0), )</f>
        <v>FM</v>
      </c>
      <c r="E204" s="156">
        <f t="array" ref="E204">INDEX('CENTRO - CESAR'!E:E, MATCH(S204, 'CENTRO - CESAR'!K:K, 0), )</f>
        <v>106.3</v>
      </c>
      <c r="F204" s="156">
        <f t="array" ref="F204">INDEX('CENTRO - CESAR'!F:F, MATCH(S204, 'CENTRO - CESAR'!K:K, 0), )</f>
        <v>63</v>
      </c>
      <c r="G204" s="159" t="str">
        <f t="array" ref="G204">INDEX('CENTRO - CESAR'!G:G, MATCH(S204, 'CENTRO - CESAR'!K:K, 0), )</f>
        <v>A.A</v>
      </c>
      <c r="H204" s="238" t="str">
        <f t="array" ref="H204">INDEX('CENTRO - CESAR'!H:H, MATCH(S204, 'CENTRO - CESAR'!K:K, 0), )</f>
        <v>LIRCAY</v>
      </c>
      <c r="I204" s="239" t="str">
        <f t="array" ref="I204">INDEX('CENTRO - CESAR'!I:I, MATCH(S204, 'CENTRO - CESAR'!K:K, 0), )</f>
        <v>29/10/2025 - Sectoristas - Operativo de acuerdo a lo informado por el pastor</v>
      </c>
      <c r="J204" s="240">
        <f t="array" ref="J204">INDEX('CENTRO - CESAR'!J:J, MATCH(S204, 'CENTRO - CESAR'!K:K, 0), )</f>
        <v>0</v>
      </c>
      <c r="K204" s="156" t="str">
        <f t="array" ref="K204">INDEX('CENTRO - CESAR'!K:K, MATCH(S204, 'CENTRO - CESAR'!K:K, 0), )</f>
        <v>C - 74</v>
      </c>
      <c r="L204" s="250">
        <f t="array" ref="L204">INDEX('CENTRO - CESAR'!L:L, MATCH(S204, 'CENTRO - CESAR'!K:K, 0), )</f>
        <v>0</v>
      </c>
      <c r="M204" s="251">
        <f t="array" ref="M204">INDEX('CENTRO - CESAR'!M:M, MATCH(S204, 'CENTRO - CESAR'!K:K, 0), )</f>
        <v>0</v>
      </c>
      <c r="N204" s="252">
        <f t="array" ref="N204">INDEX('CENTRO - CESAR'!N:N, MATCH(S204, 'CENTRO - CESAR'!K:K, 0), )</f>
        <v>0</v>
      </c>
      <c r="O204" s="253">
        <f t="array" ref="O204">INDEX('CENTRO - CESAR'!O:O, MATCH(S204, 'CENTRO - CESAR'!K:K, 0), )</f>
        <v>0</v>
      </c>
      <c r="P204" s="236">
        <v>-12.987499999999999</v>
      </c>
      <c r="Q204" s="236">
        <v>-74.601666666666659</v>
      </c>
      <c r="R204" s="243" t="s">
        <v>1610</v>
      </c>
      <c r="S204" s="246" t="s">
        <v>1611</v>
      </c>
      <c r="U204" s="245"/>
    </row>
    <row r="205" spans="1:21" ht="17.25" customHeight="1">
      <c r="A205" s="236">
        <v>204</v>
      </c>
      <c r="B205" s="249" t="str">
        <f t="array" ref="B205">INDEX('CENTRO - CESAR'!B:B, MATCH(S205, 'CENTRO - CESAR'!K:K, 0), )</f>
        <v>Lunahuana</v>
      </c>
      <c r="C205" s="156" t="str">
        <f t="array" ref="C205">INDEX('CENTRO - CESAR'!C:C, MATCH(S205, 'CENTRO - CESAR'!K:K, 0), )</f>
        <v>Lima</v>
      </c>
      <c r="D205" s="156" t="str">
        <f t="array" ref="D205">INDEX('CENTRO - CESAR'!D:D, MATCH(S205, 'CENTRO - CESAR'!K:K, 0), )</f>
        <v>FM</v>
      </c>
      <c r="E205" s="156">
        <f t="array" ref="E205">INDEX('CENTRO - CESAR'!E:E, MATCH(S205, 'CENTRO - CESAR'!K:K, 0), )</f>
        <v>93.3</v>
      </c>
      <c r="F205" s="156">
        <f t="array" ref="F205">INDEX('CENTRO - CESAR'!F:F, MATCH(S205, 'CENTRO - CESAR'!K:K, 0), )</f>
        <v>85</v>
      </c>
      <c r="G205" s="159" t="str">
        <f t="array" ref="G205">INDEX('CENTRO - CESAR'!G:G, MATCH(S205, 'CENTRO - CESAR'!K:K, 0), )</f>
        <v>A.A</v>
      </c>
      <c r="H205" s="238" t="str">
        <f t="array" ref="H205">INDEX('CENTRO - CESAR'!H:H, MATCH(S205, 'CENTRO - CESAR'!K:K, 0), )</f>
        <v>LUNAHUANA</v>
      </c>
      <c r="I205" s="239" t="str">
        <f t="array" ref="I205">INDEX('CENTRO - CESAR'!I:I, MATCH(S205, 'CENTRO - CESAR'!K:K, 0), )</f>
        <v>30/10/2025 - Sectoristas - Operativo de acuerdo a lo informado por el pastor responsable</v>
      </c>
      <c r="J205" s="240">
        <f t="array" ref="J205">INDEX('CENTRO - CESAR'!J:J, MATCH(S205, 'CENTRO - CESAR'!K:K, 0), )</f>
        <v>0</v>
      </c>
      <c r="K205" s="156" t="str">
        <f t="array" ref="K205">INDEX('CENTRO - CESAR'!K:K, MATCH(S205, 'CENTRO - CESAR'!K:K, 0), )</f>
        <v>C - 75</v>
      </c>
      <c r="L205" s="250">
        <f t="array" ref="L205">INDEX('CENTRO - CESAR'!L:L, MATCH(S205, 'CENTRO - CESAR'!K:K, 0), )</f>
        <v>0</v>
      </c>
      <c r="M205" s="251">
        <f t="array" ref="M205">INDEX('CENTRO - CESAR'!M:M, MATCH(S205, 'CENTRO - CESAR'!K:K, 0), )</f>
        <v>0</v>
      </c>
      <c r="N205" s="252">
        <f t="array" ref="N205">INDEX('CENTRO - CESAR'!N:N, MATCH(S205, 'CENTRO - CESAR'!K:K, 0), )</f>
        <v>0</v>
      </c>
      <c r="O205" s="253">
        <f t="array" ref="O205">INDEX('CENTRO - CESAR'!O:O, MATCH(S205, 'CENTRO - CESAR'!K:K, 0), )</f>
        <v>0</v>
      </c>
      <c r="P205" s="236">
        <v>-12.976055555555556</v>
      </c>
      <c r="Q205" s="236">
        <v>-76.154805555555555</v>
      </c>
      <c r="R205" s="243" t="s">
        <v>1612</v>
      </c>
      <c r="S205" s="246" t="s">
        <v>1613</v>
      </c>
      <c r="U205" s="245"/>
    </row>
    <row r="206" spans="1:21" ht="17.25" customHeight="1">
      <c r="A206" s="236">
        <v>205</v>
      </c>
      <c r="B206" s="249" t="str">
        <f t="array" ref="B206">INDEX('CENTRO - CESAR'!B:B, MATCH(S206, 'CENTRO - CESAR'!K:K, 0), )</f>
        <v>Mala</v>
      </c>
      <c r="C206" s="156" t="str">
        <f t="array" ref="C206">INDEX('CENTRO - CESAR'!C:C, MATCH(S206, 'CENTRO - CESAR'!K:K, 0), )</f>
        <v>Lima</v>
      </c>
      <c r="D206" s="156" t="str">
        <f t="array" ref="D206">INDEX('CENTRO - CESAR'!D:D, MATCH(S206, 'CENTRO - CESAR'!K:K, 0), )</f>
        <v>FM</v>
      </c>
      <c r="E206" s="156">
        <f t="array" ref="E206">INDEX('CENTRO - CESAR'!E:E, MATCH(S206, 'CENTRO - CESAR'!K:K, 0), )</f>
        <v>97.7</v>
      </c>
      <c r="F206" s="156">
        <f t="array" ref="F206">INDEX('CENTRO - CESAR'!F:F, MATCH(S206, 'CENTRO - CESAR'!K:K, 0), )</f>
        <v>134</v>
      </c>
      <c r="G206" s="159" t="str">
        <f t="array" ref="G206">INDEX('CENTRO - CESAR'!G:G, MATCH(S206, 'CENTRO - CESAR'!K:K, 0), )</f>
        <v>A.A</v>
      </c>
      <c r="H206" s="238" t="str">
        <f t="array" ref="H206">INDEX('CENTRO - CESAR'!H:H, MATCH(S206, 'CENTRO - CESAR'!K:K, 0), )</f>
        <v>MALA</v>
      </c>
      <c r="I206" s="239" t="str">
        <f t="array" ref="I206">INDEX('CENTRO - CESAR'!I:I, MATCH(S206, 'CENTRO - CESAR'!K:K, 0), )</f>
        <v>31/10/2025 - Sectoristas - Operativo las 24 horas de acuerdo a lo informado por el pastor de la zona</v>
      </c>
      <c r="J206" s="240">
        <f t="array" ref="J206">INDEX('CENTRO - CESAR'!J:J, MATCH(S206, 'CENTRO - CESAR'!K:K, 0), )</f>
        <v>0</v>
      </c>
      <c r="K206" s="156" t="str">
        <f t="array" ref="K206">INDEX('CENTRO - CESAR'!K:K, MATCH(S206, 'CENTRO - CESAR'!K:K, 0), )</f>
        <v>C - 76</v>
      </c>
      <c r="L206" s="250">
        <f t="array" ref="L206">INDEX('CENTRO - CESAR'!L:L, MATCH(S206, 'CENTRO - CESAR'!K:K, 0), )</f>
        <v>0</v>
      </c>
      <c r="M206" s="251">
        <f t="array" ref="M206">INDEX('CENTRO - CESAR'!M:M, MATCH(S206, 'CENTRO - CESAR'!K:K, 0), )</f>
        <v>0</v>
      </c>
      <c r="N206" s="252">
        <f t="array" ref="N206">INDEX('CENTRO - CESAR'!N:N, MATCH(S206, 'CENTRO - CESAR'!K:K, 0), )</f>
        <v>0</v>
      </c>
      <c r="O206" s="253">
        <f t="array" ref="O206">INDEX('CENTRO - CESAR'!O:O, MATCH(S206, 'CENTRO - CESAR'!K:K, 0), )</f>
        <v>0</v>
      </c>
      <c r="P206" s="236">
        <v>-12.654611111111111</v>
      </c>
      <c r="Q206" s="236">
        <v>-76.630749999999992</v>
      </c>
      <c r="R206" s="243" t="s">
        <v>1614</v>
      </c>
      <c r="S206" s="246" t="s">
        <v>1615</v>
      </c>
      <c r="U206" s="245"/>
    </row>
    <row r="207" spans="1:21" ht="17.25" customHeight="1">
      <c r="A207" s="236">
        <v>206</v>
      </c>
      <c r="B207" s="249" t="str">
        <f t="array" ref="B207">INDEX('CENTRO - CESAR'!B:B, MATCH(S207, 'CENTRO - CESAR'!K:K, 0), )</f>
        <v>Marcas</v>
      </c>
      <c r="C207" s="156" t="str">
        <f t="array" ref="C207">INDEX('CENTRO - CESAR'!C:C, MATCH(S207, 'CENTRO - CESAR'!K:K, 0), )</f>
        <v>Huancavelica</v>
      </c>
      <c r="D207" s="156" t="str">
        <f t="array" ref="D207">INDEX('CENTRO - CESAR'!D:D, MATCH(S207, 'CENTRO - CESAR'!K:K, 0), )</f>
        <v>FM</v>
      </c>
      <c r="E207" s="156">
        <f t="array" ref="E207">INDEX('CENTRO - CESAR'!E:E, MATCH(S207, 'CENTRO - CESAR'!K:K, 0), )</f>
        <v>99.5</v>
      </c>
      <c r="F207" s="156">
        <f t="array" ref="F207">INDEX('CENTRO - CESAR'!F:F, MATCH(S207, 'CENTRO - CESAR'!K:K, 0), )</f>
        <v>63</v>
      </c>
      <c r="G207" s="159" t="str">
        <f t="array" ref="G207">INDEX('CENTRO - CESAR'!G:G, MATCH(S207, 'CENTRO - CESAR'!K:K, 0), )</f>
        <v>N.I</v>
      </c>
      <c r="H207" s="238" t="str">
        <f t="array" ref="H207">INDEX('CENTRO - CESAR'!H:H, MATCH(S207, 'CENTRO - CESAR'!K:K, 0), )</f>
        <v>MARCAS</v>
      </c>
      <c r="I207" s="239" t="str">
        <f t="array" ref="I207">INDEX('CENTRO - CESAR'!I:I, MATCH(S207, 'CENTRO - CESAR'!K:K, 0), )</f>
        <v>18/03/25 - Sectorista - A la fecha no contamos con una obra establecida y no cuneta con el presupuesto para su instalacion</v>
      </c>
      <c r="J207" s="240">
        <f t="array" ref="J207">INDEX('CENTRO - CESAR'!J:J, MATCH(S207, 'CENTRO - CESAR'!K:K, 0), )</f>
        <v>0</v>
      </c>
      <c r="K207" s="156" t="str">
        <f t="array" ref="K207">INDEX('CENTRO - CESAR'!K:K, MATCH(S207, 'CENTRO - CESAR'!K:K, 0), )</f>
        <v>C - 77</v>
      </c>
      <c r="L207" s="250">
        <f t="array" ref="L207">INDEX('CENTRO - CESAR'!L:L, MATCH(S207, 'CENTRO - CESAR'!K:K, 0), )</f>
        <v>0</v>
      </c>
      <c r="M207" s="251">
        <f t="array" ref="M207">INDEX('CENTRO - CESAR'!M:M, MATCH(S207, 'CENTRO - CESAR'!K:K, 0), )</f>
        <v>0</v>
      </c>
      <c r="N207" s="252">
        <f t="array" ref="N207">INDEX('CENTRO - CESAR'!N:N, MATCH(S207, 'CENTRO - CESAR'!K:K, 0), )</f>
        <v>0</v>
      </c>
      <c r="O207" s="253">
        <f t="array" ref="O207">INDEX('CENTRO - CESAR'!O:O, MATCH(S207, 'CENTRO - CESAR'!K:K, 0), )</f>
        <v>0</v>
      </c>
      <c r="P207" s="236">
        <v>-12.888466666666666</v>
      </c>
      <c r="Q207" s="236">
        <v>-74.409963888888896</v>
      </c>
      <c r="R207" s="243" t="s">
        <v>1616</v>
      </c>
      <c r="S207" s="246" t="s">
        <v>1617</v>
      </c>
      <c r="U207" s="245"/>
    </row>
    <row r="208" spans="1:21" ht="17.25" customHeight="1">
      <c r="A208" s="236">
        <v>207</v>
      </c>
      <c r="B208" s="249" t="str">
        <f t="array" ref="B208">INDEX('CENTRO - CESAR'!B:B, MATCH(S208, 'CENTRO - CESAR'!K:K, 0), )</f>
        <v>Masisea</v>
      </c>
      <c r="C208" s="156" t="str">
        <f t="array" ref="C208">INDEX('CENTRO - CESAR'!C:C, MATCH(S208, 'CENTRO - CESAR'!K:K, 0), )</f>
        <v>Ucayali</v>
      </c>
      <c r="D208" s="156" t="str">
        <f t="array" ref="D208">INDEX('CENTRO - CESAR'!D:D, MATCH(S208, 'CENTRO - CESAR'!K:K, 0), )</f>
        <v>FM</v>
      </c>
      <c r="E208" s="156">
        <f t="array" ref="E208">INDEX('CENTRO - CESAR'!E:E, MATCH(S208, 'CENTRO - CESAR'!K:K, 0), )</f>
        <v>99.7</v>
      </c>
      <c r="F208" s="156">
        <f t="array" ref="F208">INDEX('CENTRO - CESAR'!F:F, MATCH(S208, 'CENTRO - CESAR'!K:K, 0), )</f>
        <v>17</v>
      </c>
      <c r="G208" s="159" t="str">
        <f t="array" ref="G208">INDEX('CENTRO - CESAR'!G:G, MATCH(S208, 'CENTRO - CESAR'!K:K, 0), )</f>
        <v>A.A</v>
      </c>
      <c r="H208" s="238" t="str">
        <f t="array" ref="H208">INDEX('CENTRO - CESAR'!H:H, MATCH(S208, 'CENTRO - CESAR'!K:K, 0), )</f>
        <v>MASISEA</v>
      </c>
      <c r="I208" s="239" t="str">
        <f t="array" ref="I208">INDEX('CENTRO - CESAR'!I:I, MATCH(S208, 'CENTRO - CESAR'!K:K, 0), )</f>
        <v>3/10/2025 - Sectoristas - Operativo de acuerdo a lo informado por el presbítero de la zona</v>
      </c>
      <c r="J208" s="240">
        <f t="array" ref="J208">INDEX('CENTRO - CESAR'!J:J, MATCH(S208, 'CENTRO - CESAR'!K:K, 0), )</f>
        <v>0</v>
      </c>
      <c r="K208" s="156" t="str">
        <f t="array" ref="K208">INDEX('CENTRO - CESAR'!K:K, MATCH(S208, 'CENTRO - CESAR'!K:K, 0), )</f>
        <v>C - 78</v>
      </c>
      <c r="L208" s="250">
        <f t="array" ref="L208">INDEX('CENTRO - CESAR'!L:L, MATCH(S208, 'CENTRO - CESAR'!K:K, 0), )</f>
        <v>0</v>
      </c>
      <c r="M208" s="251">
        <f t="array" ref="M208">INDEX('CENTRO - CESAR'!M:M, MATCH(S208, 'CENTRO - CESAR'!K:K, 0), )</f>
        <v>0</v>
      </c>
      <c r="N208" s="252">
        <f t="array" ref="N208">INDEX('CENTRO - CESAR'!N:N, MATCH(S208, 'CENTRO - CESAR'!K:K, 0), )</f>
        <v>0</v>
      </c>
      <c r="O208" s="253">
        <f t="array" ref="O208">INDEX('CENTRO - CESAR'!O:O, MATCH(S208, 'CENTRO - CESAR'!K:K, 0), )</f>
        <v>0</v>
      </c>
      <c r="P208" s="236">
        <v>-8.6038888888888891</v>
      </c>
      <c r="Q208" s="236">
        <v>-74.30749999999999</v>
      </c>
      <c r="R208" s="243" t="s">
        <v>1618</v>
      </c>
      <c r="S208" s="246" t="s">
        <v>1619</v>
      </c>
      <c r="U208" s="245"/>
    </row>
    <row r="209" spans="1:21" ht="17.25" customHeight="1">
      <c r="A209" s="236">
        <v>208</v>
      </c>
      <c r="B209" s="249" t="str">
        <f t="array" ref="B209">INDEX('CENTRO - CESAR'!B:B, MATCH(S209, 'CENTRO - CESAR'!K:K, 0), )</f>
        <v>Mazamari</v>
      </c>
      <c r="C209" s="156" t="str">
        <f t="array" ref="C209">INDEX('CENTRO - CESAR'!C:C, MATCH(S209, 'CENTRO - CESAR'!K:K, 0), )</f>
        <v>Junin</v>
      </c>
      <c r="D209" s="156" t="str">
        <f t="array" ref="D209">INDEX('CENTRO - CESAR'!D:D, MATCH(S209, 'CENTRO - CESAR'!K:K, 0), )</f>
        <v>FM</v>
      </c>
      <c r="E209" s="156">
        <f t="array" ref="E209">INDEX('CENTRO - CESAR'!E:E, MATCH(S209, 'CENTRO - CESAR'!K:K, 0), )</f>
        <v>104.5</v>
      </c>
      <c r="F209" s="156">
        <f t="array" ref="F209">INDEX('CENTRO - CESAR'!F:F, MATCH(S209, 'CENTRO - CESAR'!K:K, 0), )</f>
        <v>75</v>
      </c>
      <c r="G209" s="159" t="str">
        <f t="array" ref="G209">INDEX('CENTRO - CESAR'!G:G, MATCH(S209, 'CENTRO - CESAR'!K:K, 0), )</f>
        <v>A.A</v>
      </c>
      <c r="H209" s="238" t="str">
        <f t="array" ref="H209">INDEX('CENTRO - CESAR'!H:H, MATCH(S209, 'CENTRO - CESAR'!K:K, 0), )</f>
        <v>MAZAMARI</v>
      </c>
      <c r="I209" s="239" t="str">
        <f t="array" ref="I209">INDEX('CENTRO - CESAR'!I:I, MATCH(S209, 'CENTRO - CESAR'!K:K, 0), )</f>
        <v>30/10/2025 - Sectoristas - Operativo de acuerdo a lo informado por el pastor de la zona</v>
      </c>
      <c r="J209" s="240">
        <f t="array" ref="J209">INDEX('CENTRO - CESAR'!J:J, MATCH(S209, 'CENTRO - CESAR'!K:K, 0), )</f>
        <v>0</v>
      </c>
      <c r="K209" s="156" t="str">
        <f t="array" ref="K209">INDEX('CENTRO - CESAR'!K:K, MATCH(S209, 'CENTRO - CESAR'!K:K, 0), )</f>
        <v>C - 79</v>
      </c>
      <c r="L209" s="250">
        <f t="array" ref="L209">INDEX('CENTRO - CESAR'!L:L, MATCH(S209, 'CENTRO - CESAR'!K:K, 0), )</f>
        <v>0</v>
      </c>
      <c r="M209" s="251">
        <f t="array" ref="M209">INDEX('CENTRO - CESAR'!M:M, MATCH(S209, 'CENTRO - CESAR'!K:K, 0), )</f>
        <v>0</v>
      </c>
      <c r="N209" s="252">
        <f t="array" ref="N209">INDEX('CENTRO - CESAR'!N:N, MATCH(S209, 'CENTRO - CESAR'!K:K, 0), )</f>
        <v>0</v>
      </c>
      <c r="O209" s="253">
        <f t="array" ref="O209">INDEX('CENTRO - CESAR'!O:O, MATCH(S209, 'CENTRO - CESAR'!K:K, 0), )</f>
        <v>0</v>
      </c>
      <c r="P209" s="236">
        <v>-11.332527777777777</v>
      </c>
      <c r="Q209" s="236">
        <v>-74.529111111111106</v>
      </c>
      <c r="R209" s="243" t="s">
        <v>1620</v>
      </c>
      <c r="S209" s="246" t="s">
        <v>1621</v>
      </c>
      <c r="U209" s="245"/>
    </row>
    <row r="210" spans="1:21" ht="17.25" customHeight="1">
      <c r="A210" s="236">
        <v>209</v>
      </c>
      <c r="B210" s="249" t="str">
        <f t="array" ref="B210">INDEX('CENTRO - CESAR'!B:B, MATCH(S210, 'CENTRO - CESAR'!K:K, 0), )</f>
        <v>Mazamari</v>
      </c>
      <c r="C210" s="156" t="str">
        <f t="array" ref="C210">INDEX('CENTRO - CESAR'!C:C, MATCH(S210, 'CENTRO - CESAR'!K:K, 0), )</f>
        <v>Junin</v>
      </c>
      <c r="D210" s="156" t="str">
        <f t="array" ref="D210">INDEX('CENTRO - CESAR'!D:D, MATCH(S210, 'CENTRO - CESAR'!K:K, 0), )</f>
        <v>VHF</v>
      </c>
      <c r="E210" s="156">
        <f t="array" ref="E210">INDEX('CENTRO - CESAR'!E:E, MATCH(S210, 'CENTRO - CESAR'!K:K, 0), )</f>
        <v>10</v>
      </c>
      <c r="F210" s="156">
        <f t="array" ref="F210">INDEX('CENTRO - CESAR'!F:F, MATCH(S210, 'CENTRO - CESAR'!K:K, 0), )</f>
        <v>75</v>
      </c>
      <c r="G210" s="159" t="str">
        <f t="array" ref="G210">INDEX('CENTRO - CESAR'!G:G, MATCH(S210, 'CENTRO - CESAR'!K:K, 0), )</f>
        <v>A.A</v>
      </c>
      <c r="H210" s="238" t="str">
        <f t="array" ref="H210">INDEX('CENTRO - CESAR'!H:H, MATCH(S210, 'CENTRO - CESAR'!K:K, 0), )</f>
        <v>MAZAMARI</v>
      </c>
      <c r="I210" s="239" t="str">
        <f t="array" ref="I210">INDEX('CENTRO - CESAR'!I:I, MATCH(S210, 'CENTRO - CESAR'!K:K, 0), )</f>
        <v>30/10/2025 - Sectoristas - Operativo de acuerdo a lo informado por el pastor de la zona</v>
      </c>
      <c r="J210" s="240">
        <f t="array" ref="J210">INDEX('CENTRO - CESAR'!J:J, MATCH(S210, 'CENTRO - CESAR'!K:K, 0), )</f>
        <v>0</v>
      </c>
      <c r="K210" s="156" t="str">
        <f t="array" ref="K210">INDEX('CENTRO - CESAR'!K:K, MATCH(S210, 'CENTRO - CESAR'!K:K, 0), )</f>
        <v>C - 80</v>
      </c>
      <c r="L210" s="250">
        <f t="array" ref="L210">INDEX('CENTRO - CESAR'!L:L, MATCH(S210, 'CENTRO - CESAR'!K:K, 0), )</f>
        <v>0</v>
      </c>
      <c r="M210" s="251">
        <f t="array" ref="M210">INDEX('CENTRO - CESAR'!M:M, MATCH(S210, 'CENTRO - CESAR'!K:K, 0), )</f>
        <v>0</v>
      </c>
      <c r="N210" s="252">
        <f t="array" ref="N210">INDEX('CENTRO - CESAR'!N:N, MATCH(S210, 'CENTRO - CESAR'!K:K, 0), )</f>
        <v>0</v>
      </c>
      <c r="O210" s="253">
        <f t="array" ref="O210">INDEX('CENTRO - CESAR'!O:O, MATCH(S210, 'CENTRO - CESAR'!K:K, 0), )</f>
        <v>0</v>
      </c>
      <c r="P210" s="236">
        <v>-11.33613888888889</v>
      </c>
      <c r="Q210" s="236">
        <v>-74.525944444444448</v>
      </c>
      <c r="R210" s="243" t="s">
        <v>1622</v>
      </c>
      <c r="S210" s="246" t="s">
        <v>1623</v>
      </c>
      <c r="U210" s="245"/>
    </row>
    <row r="211" spans="1:21" ht="17.25" customHeight="1">
      <c r="A211" s="236">
        <v>210</v>
      </c>
      <c r="B211" s="249" t="str">
        <f t="array" ref="B211">INDEX('CENTRO - CESAR'!B:B, MATCH(S211, 'CENTRO - CESAR'!K:K, 0), )</f>
        <v>Mazan</v>
      </c>
      <c r="C211" s="156" t="str">
        <f t="array" ref="C211">INDEX('CENTRO - CESAR'!C:C, MATCH(S211, 'CENTRO - CESAR'!K:K, 0), )</f>
        <v>Loreto</v>
      </c>
      <c r="D211" s="156" t="str">
        <f t="array" ref="D211">INDEX('CENTRO - CESAR'!D:D, MATCH(S211, 'CENTRO - CESAR'!K:K, 0), )</f>
        <v>FM</v>
      </c>
      <c r="E211" s="156">
        <f t="array" ref="E211">INDEX('CENTRO - CESAR'!E:E, MATCH(S211, 'CENTRO - CESAR'!K:K, 0), )</f>
        <v>98.5</v>
      </c>
      <c r="F211" s="156">
        <f t="array" ref="F211">INDEX('CENTRO - CESAR'!F:F, MATCH(S211, 'CENTRO - CESAR'!K:K, 0), )</f>
        <v>103</v>
      </c>
      <c r="G211" s="159" t="str">
        <f t="array" ref="G211">INDEX('CENTRO - CESAR'!G:G, MATCH(S211, 'CENTRO - CESAR'!K:K, 0), )</f>
        <v>A.A</v>
      </c>
      <c r="H211" s="238" t="str">
        <f t="array" ref="H211">INDEX('CENTRO - CESAR'!H:H, MATCH(S211, 'CENTRO - CESAR'!K:K, 0), )</f>
        <v>MAZAN</v>
      </c>
      <c r="I211" s="239" t="str">
        <f t="array" ref="I211">INDEX('CENTRO - CESAR'!I:I, MATCH(S211, 'CENTRO - CESAR'!K:K, 0), )</f>
        <v>30/10/2025 - Sectoristas - Operativo de acuerdo a lo informado por el pasto de la zona</v>
      </c>
      <c r="J211" s="240">
        <f t="array" ref="J211">INDEX('CENTRO - CESAR'!J:J, MATCH(S211, 'CENTRO - CESAR'!K:K, 0), )</f>
        <v>0</v>
      </c>
      <c r="K211" s="156" t="str">
        <f t="array" ref="K211">INDEX('CENTRO - CESAR'!K:K, MATCH(S211, 'CENTRO - CESAR'!K:K, 0), )</f>
        <v>C - 81</v>
      </c>
      <c r="L211" s="250">
        <f t="array" ref="L211">INDEX('CENTRO - CESAR'!L:L, MATCH(S211, 'CENTRO - CESAR'!K:K, 0), )</f>
        <v>0</v>
      </c>
      <c r="M211" s="251">
        <f t="array" ref="M211">INDEX('CENTRO - CESAR'!M:M, MATCH(S211, 'CENTRO - CESAR'!K:K, 0), )</f>
        <v>0</v>
      </c>
      <c r="N211" s="252">
        <f t="array" ref="N211">INDEX('CENTRO - CESAR'!N:N, MATCH(S211, 'CENTRO - CESAR'!K:K, 0), )</f>
        <v>0</v>
      </c>
      <c r="O211" s="253">
        <f t="array" ref="O211">INDEX('CENTRO - CESAR'!O:O, MATCH(S211, 'CENTRO - CESAR'!K:K, 0), )</f>
        <v>0</v>
      </c>
      <c r="P211" s="236">
        <v>-3.4978166666666666</v>
      </c>
      <c r="Q211" s="236">
        <v>-73.087222222222223</v>
      </c>
      <c r="R211" s="243" t="s">
        <v>1624</v>
      </c>
      <c r="S211" s="246" t="s">
        <v>1625</v>
      </c>
      <c r="U211" s="245"/>
    </row>
    <row r="212" spans="1:21" ht="17.25" customHeight="1">
      <c r="A212" s="236">
        <v>211</v>
      </c>
      <c r="B212" s="249" t="str">
        <f t="array" ref="B212">INDEX('CENTRO - CESAR'!B:B, MATCH(S212, 'CENTRO - CESAR'!K:K, 0), )</f>
        <v>Monzon</v>
      </c>
      <c r="C212" s="156" t="str">
        <f t="array" ref="C212">INDEX('CENTRO - CESAR'!C:C, MATCH(S212, 'CENTRO - CESAR'!K:K, 0), )</f>
        <v>Huanuco</v>
      </c>
      <c r="D212" s="156" t="str">
        <f t="array" ref="D212">INDEX('CENTRO - CESAR'!D:D, MATCH(S212, 'CENTRO - CESAR'!K:K, 0), )</f>
        <v>FM</v>
      </c>
      <c r="E212" s="156" t="str">
        <f t="array" ref="E212">INDEX('CENTRO - CESAR'!E:E, MATCH(S212, 'CENTRO - CESAR'!K:K, 0), )</f>
        <v>104.7</v>
      </c>
      <c r="F212" s="156">
        <f t="array" ref="F212">INDEX('CENTRO - CESAR'!F:F, MATCH(S212, 'CENTRO - CESAR'!K:K, 0), )</f>
        <v>28</v>
      </c>
      <c r="G212" s="159" t="str">
        <f t="array" ref="G212">INDEX('CENTRO - CESAR'!G:G, MATCH(S212, 'CENTRO - CESAR'!K:K, 0), )</f>
        <v>A.A</v>
      </c>
      <c r="H212" s="238" t="str">
        <f t="array" ref="H212">INDEX('CENTRO - CESAR'!H:H, MATCH(S212, 'CENTRO - CESAR'!K:K, 0), )</f>
        <v>MONZON</v>
      </c>
      <c r="I212" s="239" t="str">
        <f t="array" ref="I212">INDEX('CENTRO - CESAR'!I:I, MATCH(S212, 'CENTRO - CESAR'!K:K, 0), )</f>
        <v>3/10/2025 - Sectoristas - Operativo de acuerdo a lo informado por el hno Nilo</v>
      </c>
      <c r="J212" s="240">
        <f t="array" ref="J212">INDEX('CENTRO - CESAR'!J:J, MATCH(S212, 'CENTRO - CESAR'!K:K, 0), )</f>
        <v>0</v>
      </c>
      <c r="K212" s="156" t="str">
        <f t="array" ref="K212">INDEX('CENTRO - CESAR'!K:K, MATCH(S212, 'CENTRO - CESAR'!K:K, 0), )</f>
        <v>C - 82</v>
      </c>
      <c r="L212" s="250">
        <f t="array" ref="L212">INDEX('CENTRO - CESAR'!L:L, MATCH(S212, 'CENTRO - CESAR'!K:K, 0), )</f>
        <v>0</v>
      </c>
      <c r="M212" s="251">
        <f t="array" ref="M212">INDEX('CENTRO - CESAR'!M:M, MATCH(S212, 'CENTRO - CESAR'!K:K, 0), )</f>
        <v>0</v>
      </c>
      <c r="N212" s="252">
        <f t="array" ref="N212">INDEX('CENTRO - CESAR'!N:N, MATCH(S212, 'CENTRO - CESAR'!K:K, 0), )</f>
        <v>0</v>
      </c>
      <c r="O212" s="253">
        <f t="array" ref="O212">INDEX('CENTRO - CESAR'!O:O, MATCH(S212, 'CENTRO - CESAR'!K:K, 0), )</f>
        <v>0</v>
      </c>
      <c r="P212" s="236">
        <v>-9.3007500000000007</v>
      </c>
      <c r="Q212" s="236">
        <v>-75.992750000000001</v>
      </c>
      <c r="R212" s="243" t="s">
        <v>1626</v>
      </c>
      <c r="S212" s="246" t="s">
        <v>1627</v>
      </c>
      <c r="U212" s="245"/>
    </row>
    <row r="213" spans="1:21" ht="17.25" customHeight="1">
      <c r="A213" s="236">
        <v>212</v>
      </c>
      <c r="B213" s="249" t="str">
        <f t="array" ref="B213">INDEX('CENTRO - CESAR'!B:B, MATCH(S213, 'CENTRO - CESAR'!K:K, 0), )</f>
        <v>Nauta</v>
      </c>
      <c r="C213" s="156" t="str">
        <f t="array" ref="C213">INDEX('CENTRO - CESAR'!C:C, MATCH(S213, 'CENTRO - CESAR'!K:K, 0), )</f>
        <v>Loreto</v>
      </c>
      <c r="D213" s="156" t="str">
        <f t="array" ref="D213">INDEX('CENTRO - CESAR'!D:D, MATCH(S213, 'CENTRO - CESAR'!K:K, 0), )</f>
        <v>FM</v>
      </c>
      <c r="E213" s="156">
        <f t="array" ref="E213">INDEX('CENTRO - CESAR'!E:E, MATCH(S213, 'CENTRO - CESAR'!K:K, 0), )</f>
        <v>93.3</v>
      </c>
      <c r="F213" s="156">
        <f t="array" ref="F213">INDEX('CENTRO - CESAR'!F:F, MATCH(S213, 'CENTRO - CESAR'!K:K, 0), )</f>
        <v>45</v>
      </c>
      <c r="G213" s="159" t="str">
        <f t="array" ref="G213">INDEX('CENTRO - CESAR'!G:G, MATCH(S213, 'CENTRO - CESAR'!K:K, 0), )</f>
        <v>A.A</v>
      </c>
      <c r="H213" s="238" t="str">
        <f t="array" ref="H213">INDEX('CENTRO - CESAR'!H:H, MATCH(S213, 'CENTRO - CESAR'!K:K, 0), )</f>
        <v>NAUTA</v>
      </c>
      <c r="I213" s="239" t="str">
        <f t="array" ref="I213">INDEX('CENTRO - CESAR'!I:I, MATCH(S213, 'CENTRO - CESAR'!K:K, 0), )</f>
        <v>28/10/2025 - Sectoristas - Operativo de acuerdo a lo informado por el pastor de la zona</v>
      </c>
      <c r="J213" s="240">
        <f t="array" ref="J213">INDEX('CENTRO - CESAR'!J:J, MATCH(S213, 'CENTRO - CESAR'!K:K, 0), )</f>
        <v>0</v>
      </c>
      <c r="K213" s="156" t="str">
        <f t="array" ref="K213">INDEX('CENTRO - CESAR'!K:K, MATCH(S213, 'CENTRO - CESAR'!K:K, 0), )</f>
        <v>C - 83</v>
      </c>
      <c r="L213" s="250">
        <f t="array" ref="L213">INDEX('CENTRO - CESAR'!L:L, MATCH(S213, 'CENTRO - CESAR'!K:K, 0), )</f>
        <v>0</v>
      </c>
      <c r="M213" s="251">
        <f t="array" ref="M213">INDEX('CENTRO - CESAR'!M:M, MATCH(S213, 'CENTRO - CESAR'!K:K, 0), )</f>
        <v>0</v>
      </c>
      <c r="N213" s="252">
        <f t="array" ref="N213">INDEX('CENTRO - CESAR'!N:N, MATCH(S213, 'CENTRO - CESAR'!K:K, 0), )</f>
        <v>0</v>
      </c>
      <c r="O213" s="253">
        <f t="array" ref="O213">INDEX('CENTRO - CESAR'!O:O, MATCH(S213, 'CENTRO - CESAR'!K:K, 0), )</f>
        <v>0</v>
      </c>
      <c r="P213" s="236">
        <v>-4.502416666666667</v>
      </c>
      <c r="Q213" s="236">
        <v>-73.570138888888891</v>
      </c>
      <c r="R213" s="243" t="s">
        <v>1628</v>
      </c>
      <c r="S213" s="246" t="s">
        <v>1629</v>
      </c>
      <c r="U213" s="245"/>
    </row>
    <row r="214" spans="1:21" ht="17.25" customHeight="1">
      <c r="A214" s="236">
        <v>213</v>
      </c>
      <c r="B214" s="249" t="str">
        <f t="array" ref="B214">INDEX('CENTRO - CESAR'!B:B, MATCH(S214, 'CENTRO - CESAR'!K:K, 0), )</f>
        <v>Nueva Requena</v>
      </c>
      <c r="C214" s="156" t="str">
        <f t="array" ref="C214">INDEX('CENTRO - CESAR'!C:C, MATCH(S214, 'CENTRO - CESAR'!K:K, 0), )</f>
        <v>Ucayali</v>
      </c>
      <c r="D214" s="156" t="str">
        <f t="array" ref="D214">INDEX('CENTRO - CESAR'!D:D, MATCH(S214, 'CENTRO - CESAR'!K:K, 0), )</f>
        <v>FM</v>
      </c>
      <c r="E214" s="156">
        <f t="array" ref="E214">INDEX('CENTRO - CESAR'!E:E, MATCH(S214, 'CENTRO - CESAR'!K:K, 0), )</f>
        <v>98.1</v>
      </c>
      <c r="F214" s="156">
        <f t="array" ref="F214">INDEX('CENTRO - CESAR'!F:F, MATCH(S214, 'CENTRO - CESAR'!K:K, 0), )</f>
        <v>136</v>
      </c>
      <c r="G214" s="159" t="str">
        <f t="array" ref="G214">INDEX('CENTRO - CESAR'!G:G, MATCH(S214, 'CENTRO - CESAR'!K:K, 0), )</f>
        <v>A.A</v>
      </c>
      <c r="H214" s="238" t="str">
        <f t="array" ref="H214">INDEX('CENTRO - CESAR'!H:H, MATCH(S214, 'CENTRO - CESAR'!K:K, 0), )</f>
        <v>NUEVA REQUENA</v>
      </c>
      <c r="I214" s="239" t="str">
        <f t="array" ref="I214">INDEX('CENTRO - CESAR'!I:I, MATCH(S214, 'CENTRO - CESAR'!K:K, 0), )</f>
        <v>31/10/2025 - Sectoristas - Operativo de acuerdo a lo informado por el pastor de la zona opera las 24 horas del día</v>
      </c>
      <c r="J214" s="240" t="str">
        <f t="array" ref="J214">INDEX('CENTRO - CESAR'!J:J, MATCH(S214, 'CENTRO - CESAR'!K:K, 0), )</f>
        <v>T</v>
      </c>
      <c r="K214" s="156" t="str">
        <f t="array" ref="K214">INDEX('CENTRO - CESAR'!K:K, MATCH(S214, 'CENTRO - CESAR'!K:K, 0), )</f>
        <v>C - 84</v>
      </c>
      <c r="L214" s="250">
        <f t="array" ref="L214">INDEX('CENTRO - CESAR'!L:L, MATCH(S214, 'CENTRO - CESAR'!K:K, 0), )</f>
        <v>0</v>
      </c>
      <c r="M214" s="251">
        <f t="array" ref="M214">INDEX('CENTRO - CESAR'!M:M, MATCH(S214, 'CENTRO - CESAR'!K:K, 0), )</f>
        <v>0</v>
      </c>
      <c r="N214" s="252">
        <f t="array" ref="N214">INDEX('CENTRO - CESAR'!N:N, MATCH(S214, 'CENTRO - CESAR'!K:K, 0), )</f>
        <v>0</v>
      </c>
      <c r="O214" s="253">
        <f t="array" ref="O214">INDEX('CENTRO - CESAR'!O:O, MATCH(S214, 'CENTRO - CESAR'!K:K, 0), )</f>
        <v>0</v>
      </c>
      <c r="P214" s="236">
        <v>-8.3212666666666664</v>
      </c>
      <c r="Q214" s="236">
        <v>-74.853908333333322</v>
      </c>
      <c r="R214" s="243" t="s">
        <v>1630</v>
      </c>
      <c r="S214" s="246" t="s">
        <v>1631</v>
      </c>
      <c r="U214" s="245"/>
    </row>
    <row r="215" spans="1:21" ht="17.25" customHeight="1">
      <c r="A215" s="236">
        <v>214</v>
      </c>
      <c r="B215" s="249" t="str">
        <f t="array" ref="B215">INDEX('CENTRO - CESAR'!B:B, MATCH(S215, 'CENTRO - CESAR'!K:K, 0), )</f>
        <v>Oxapampa</v>
      </c>
      <c r="C215" s="156" t="str">
        <f t="array" ref="C215">INDEX('CENTRO - CESAR'!C:C, MATCH(S215, 'CENTRO - CESAR'!K:K, 0), )</f>
        <v>Pasco</v>
      </c>
      <c r="D215" s="156" t="str">
        <f t="array" ref="D215">INDEX('CENTRO - CESAR'!D:D, MATCH(S215, 'CENTRO - CESAR'!K:K, 0), )</f>
        <v>FM</v>
      </c>
      <c r="E215" s="156">
        <f t="array" ref="E215">INDEX('CENTRO - CESAR'!E:E, MATCH(S215, 'CENTRO - CESAR'!K:K, 0), )</f>
        <v>106.5</v>
      </c>
      <c r="F215" s="156">
        <f t="array" ref="F215">INDEX('CENTRO - CESAR'!F:F, MATCH(S215, 'CENTRO - CESAR'!K:K, 0), )</f>
        <v>118</v>
      </c>
      <c r="G215" s="159" t="str">
        <f t="array" ref="G215">INDEX('CENTRO - CESAR'!G:G, MATCH(S215, 'CENTRO - CESAR'!K:K, 0), )</f>
        <v>A.A</v>
      </c>
      <c r="H215" s="238" t="str">
        <f t="array" ref="H215">INDEX('CENTRO - CESAR'!H:H, MATCH(S215, 'CENTRO - CESAR'!K:K, 0), )</f>
        <v>OXAPAMPA</v>
      </c>
      <c r="I215" s="239" t="str">
        <f t="array" ref="I215">INDEX('CENTRO - CESAR'!I:I, MATCH(S215, 'CENTRO - CESAR'!K:K, 0), )</f>
        <v>31/10/2025 - Sectoristas - Operativo nuevamente de acuerdo a lo informado por el pastor</v>
      </c>
      <c r="J215" s="240">
        <f t="array" ref="J215">INDEX('CENTRO - CESAR'!J:J, MATCH(S215, 'CENTRO - CESAR'!K:K, 0), )</f>
        <v>0</v>
      </c>
      <c r="K215" s="156" t="str">
        <f t="array" ref="K215">INDEX('CENTRO - CESAR'!K:K, MATCH(S215, 'CENTRO - CESAR'!K:K, 0), )</f>
        <v>C - 85</v>
      </c>
      <c r="L215" s="250">
        <f t="array" ref="L215">INDEX('CENTRO - CESAR'!L:L, MATCH(S215, 'CENTRO - CESAR'!K:K, 0), )</f>
        <v>0</v>
      </c>
      <c r="M215" s="251">
        <f t="array" ref="M215">INDEX('CENTRO - CESAR'!M:M, MATCH(S215, 'CENTRO - CESAR'!K:K, 0), )</f>
        <v>0</v>
      </c>
      <c r="N215" s="252">
        <f t="array" ref="N215">INDEX('CENTRO - CESAR'!N:N, MATCH(S215, 'CENTRO - CESAR'!K:K, 0), )</f>
        <v>0</v>
      </c>
      <c r="O215" s="253">
        <f t="array" ref="O215">INDEX('CENTRO - CESAR'!O:O, MATCH(S215, 'CENTRO - CESAR'!K:K, 0), )</f>
        <v>0</v>
      </c>
      <c r="P215" s="236">
        <v>-10.580388888888889</v>
      </c>
      <c r="Q215" s="236">
        <v>-75.406583333333344</v>
      </c>
      <c r="R215" s="243" t="s">
        <v>1632</v>
      </c>
      <c r="S215" s="246" t="s">
        <v>1633</v>
      </c>
      <c r="U215" s="245"/>
    </row>
    <row r="216" spans="1:21" ht="17.25" customHeight="1">
      <c r="A216" s="236">
        <v>215</v>
      </c>
      <c r="B216" s="249" t="str">
        <f t="array" ref="B216">INDEX('CENTRO - CESAR'!B:B, MATCH(S216, 'CENTRO - CESAR'!K:K, 0), )</f>
        <v>Oyon</v>
      </c>
      <c r="C216" s="156" t="str">
        <f t="array" ref="C216">INDEX('CENTRO - CESAR'!C:C, MATCH(S216, 'CENTRO - CESAR'!K:K, 0), )</f>
        <v>Lima</v>
      </c>
      <c r="D216" s="156" t="str">
        <f t="array" ref="D216">INDEX('CENTRO - CESAR'!D:D, MATCH(S216, 'CENTRO - CESAR'!K:K, 0), )</f>
        <v>FM</v>
      </c>
      <c r="E216" s="156">
        <f t="array" ref="E216">INDEX('CENTRO - CESAR'!E:E, MATCH(S216, 'CENTRO - CESAR'!K:K, 0), )</f>
        <v>95.3</v>
      </c>
      <c r="F216" s="156">
        <f t="array" ref="F216">INDEX('CENTRO - CESAR'!F:F, MATCH(S216, 'CENTRO - CESAR'!K:K, 0), )</f>
        <v>147</v>
      </c>
      <c r="G216" s="159" t="str">
        <f t="array" ref="G216">INDEX('CENTRO - CESAR'!G:G, MATCH(S216, 'CENTRO - CESAR'!K:K, 0), )</f>
        <v>A.A</v>
      </c>
      <c r="H216" s="238" t="str">
        <f t="array" ref="H216">INDEX('CENTRO - CESAR'!H:H, MATCH(S216, 'CENTRO - CESAR'!K:K, 0), )</f>
        <v>OYON</v>
      </c>
      <c r="I216" s="239" t="str">
        <f t="array" ref="I216">INDEX('CENTRO - CESAR'!I:I, MATCH(S216, 'CENTRO - CESAR'!K:K, 0), )</f>
        <v>12/11/2025 - Sectoristas - El dia de hoy 12 de noviembre el hno Israel quien visito la estacion confirma que dejaron la radio operativa.</v>
      </c>
      <c r="J216" s="240">
        <f t="array" ref="J216">INDEX('CENTRO - CESAR'!J:J, MATCH(S216, 'CENTRO - CESAR'!K:K, 0), )</f>
        <v>0</v>
      </c>
      <c r="K216" s="156" t="str">
        <f t="array" ref="K216">INDEX('CENTRO - CESAR'!K:K, MATCH(S216, 'CENTRO - CESAR'!K:K, 0), )</f>
        <v>C - 86</v>
      </c>
      <c r="L216" s="250">
        <f t="array" ref="L216">INDEX('CENTRO - CESAR'!L:L, MATCH(S216, 'CENTRO - CESAR'!K:K, 0), )</f>
        <v>0</v>
      </c>
      <c r="M216" s="251">
        <f t="array" ref="M216">INDEX('CENTRO - CESAR'!M:M, MATCH(S216, 'CENTRO - CESAR'!K:K, 0), )</f>
        <v>0</v>
      </c>
      <c r="N216" s="252">
        <f t="array" ref="N216">INDEX('CENTRO - CESAR'!N:N, MATCH(S216, 'CENTRO - CESAR'!K:K, 0), )</f>
        <v>0</v>
      </c>
      <c r="O216" s="253">
        <f t="array" ref="O216">INDEX('CENTRO - CESAR'!O:O, MATCH(S216, 'CENTRO - CESAR'!K:K, 0), )</f>
        <v>0</v>
      </c>
      <c r="P216" s="236">
        <v>-10.665944444444445</v>
      </c>
      <c r="Q216" s="236">
        <v>-76.768972222222217</v>
      </c>
      <c r="R216" s="243" t="s">
        <v>1634</v>
      </c>
      <c r="S216" s="246" t="s">
        <v>1635</v>
      </c>
      <c r="U216" s="245"/>
    </row>
    <row r="217" spans="1:21" ht="17.25" customHeight="1">
      <c r="A217" s="236">
        <v>216</v>
      </c>
      <c r="B217" s="249" t="str">
        <f t="array" ref="B217">INDEX('CENTRO - CESAR'!B:B, MATCH(S217, 'CENTRO - CESAR'!K:K, 0), )</f>
        <v>Palca</v>
      </c>
      <c r="C217" s="156" t="str">
        <f t="array" ref="C217">INDEX('CENTRO - CESAR'!C:C, MATCH(S217, 'CENTRO - CESAR'!K:K, 0), )</f>
        <v>Junin</v>
      </c>
      <c r="D217" s="156" t="str">
        <f t="array" ref="D217">INDEX('CENTRO - CESAR'!D:D, MATCH(S217, 'CENTRO - CESAR'!K:K, 0), )</f>
        <v>FM</v>
      </c>
      <c r="E217" s="156">
        <f t="array" ref="E217">INDEX('CENTRO - CESAR'!E:E, MATCH(S217, 'CENTRO - CESAR'!K:K, 0), )</f>
        <v>100.9</v>
      </c>
      <c r="F217" s="156">
        <f t="array" ref="F217">INDEX('CENTRO - CESAR'!F:F, MATCH(S217, 'CENTRO - CESAR'!K:K, 0), )</f>
        <v>76</v>
      </c>
      <c r="G217" s="159" t="str">
        <f t="array" ref="G217">INDEX('CENTRO - CESAR'!G:G, MATCH(S217, 'CENTRO - CESAR'!K:K, 0), )</f>
        <v>A.A</v>
      </c>
      <c r="H217" s="238" t="str">
        <f t="array" ref="H217">INDEX('CENTRO - CESAR'!H:H, MATCH(S217, 'CENTRO - CESAR'!K:K, 0), )</f>
        <v>PALCA</v>
      </c>
      <c r="I217" s="239" t="str">
        <f t="array" ref="I217">INDEX('CENTRO - CESAR'!I:I, MATCH(S217, 'CENTRO - CESAR'!K:K, 0), )</f>
        <v>30/10/2025 - Sectoristas - Operativo de acuerdo a lo informado por el pastor de la zona</v>
      </c>
      <c r="J217" s="240">
        <f t="array" ref="J217">INDEX('CENTRO - CESAR'!J:J, MATCH(S217, 'CENTRO - CESAR'!K:K, 0), )</f>
        <v>0</v>
      </c>
      <c r="K217" s="156" t="str">
        <f t="array" ref="K217">INDEX('CENTRO - CESAR'!K:K, MATCH(S217, 'CENTRO - CESAR'!K:K, 0), )</f>
        <v>C - 87</v>
      </c>
      <c r="L217" s="250">
        <f t="array" ref="L217">INDEX('CENTRO - CESAR'!L:L, MATCH(S217, 'CENTRO - CESAR'!K:K, 0), )</f>
        <v>0</v>
      </c>
      <c r="M217" s="251">
        <f t="array" ref="M217">INDEX('CENTRO - CESAR'!M:M, MATCH(S217, 'CENTRO - CESAR'!K:K, 0), )</f>
        <v>0</v>
      </c>
      <c r="N217" s="252">
        <f t="array" ref="N217">INDEX('CENTRO - CESAR'!N:N, MATCH(S217, 'CENTRO - CESAR'!K:K, 0), )</f>
        <v>0</v>
      </c>
      <c r="O217" s="253">
        <f t="array" ref="O217">INDEX('CENTRO - CESAR'!O:O, MATCH(S217, 'CENTRO - CESAR'!K:K, 0), )</f>
        <v>0</v>
      </c>
      <c r="P217" s="236">
        <v>-11.342972222222222</v>
      </c>
      <c r="Q217" s="236">
        <v>-75.566277777777771</v>
      </c>
      <c r="R217" s="243" t="s">
        <v>1636</v>
      </c>
      <c r="S217" s="246" t="s">
        <v>1637</v>
      </c>
      <c r="U217" s="245"/>
    </row>
    <row r="218" spans="1:21" ht="17.25" customHeight="1">
      <c r="A218" s="236">
        <v>217</v>
      </c>
      <c r="B218" s="249" t="str">
        <f t="array" ref="B218">INDEX('CENTRO - CESAR'!B:B, MATCH(S218, 'CENTRO - CESAR'!K:K, 0), )</f>
        <v>Palcazu</v>
      </c>
      <c r="C218" s="156" t="str">
        <f t="array" ref="C218">INDEX('CENTRO - CESAR'!C:C, MATCH(S218, 'CENTRO - CESAR'!K:K, 0), )</f>
        <v>Pasco</v>
      </c>
      <c r="D218" s="156" t="str">
        <f t="array" ref="D218">INDEX('CENTRO - CESAR'!D:D, MATCH(S218, 'CENTRO - CESAR'!K:K, 0), )</f>
        <v>FM</v>
      </c>
      <c r="E218" s="156">
        <f t="array" ref="E218">INDEX('CENTRO - CESAR'!E:E, MATCH(S218, 'CENTRO - CESAR'!K:K, 0), )</f>
        <v>97.7</v>
      </c>
      <c r="F218" s="156">
        <f t="array" ref="F218">INDEX('CENTRO - CESAR'!F:F, MATCH(S218, 'CENTRO - CESAR'!K:K, 0), )</f>
        <v>32</v>
      </c>
      <c r="G218" s="159" t="str">
        <f t="array" ref="G218">INDEX('CENTRO - CESAR'!G:G, MATCH(S218, 'CENTRO - CESAR'!K:K, 0), )</f>
        <v>A.A</v>
      </c>
      <c r="H218" s="238" t="str">
        <f t="array" ref="H218">INDEX('CENTRO - CESAR'!H:H, MATCH(S218, 'CENTRO - CESAR'!K:K, 0), )</f>
        <v>PALCAZU</v>
      </c>
      <c r="I218" s="239" t="str">
        <f t="array" ref="I218">INDEX('CENTRO - CESAR'!I:I, MATCH(S218, 'CENTRO - CESAR'!K:K, 0), )</f>
        <v>27/10/2025 - Sectoristas - Operativo de acuerdo a lo informado por el pastor de la zona, solo opera con una antena los otros están inoperativo</v>
      </c>
      <c r="J218" s="240">
        <f t="array" ref="J218">INDEX('CENTRO - CESAR'!J:J, MATCH(S218, 'CENTRO - CESAR'!K:K, 0), )</f>
        <v>0</v>
      </c>
      <c r="K218" s="156" t="str">
        <f t="array" ref="K218">INDEX('CENTRO - CESAR'!K:K, MATCH(S218, 'CENTRO - CESAR'!K:K, 0), )</f>
        <v>C - 88</v>
      </c>
      <c r="L218" s="250">
        <f t="array" ref="L218">INDEX('CENTRO - CESAR'!L:L, MATCH(S218, 'CENTRO - CESAR'!K:K, 0), )</f>
        <v>0</v>
      </c>
      <c r="M218" s="251">
        <f t="array" ref="M218">INDEX('CENTRO - CESAR'!M:M, MATCH(S218, 'CENTRO - CESAR'!K:K, 0), )</f>
        <v>0</v>
      </c>
      <c r="N218" s="252">
        <f t="array" ref="N218">INDEX('CENTRO - CESAR'!N:N, MATCH(S218, 'CENTRO - CESAR'!K:K, 0), )</f>
        <v>0</v>
      </c>
      <c r="O218" s="253">
        <f t="array" ref="O218">INDEX('CENTRO - CESAR'!O:O, MATCH(S218, 'CENTRO - CESAR'!K:K, 0), )</f>
        <v>0</v>
      </c>
      <c r="P218" s="236">
        <v>-10.180833333333332</v>
      </c>
      <c r="Q218" s="236">
        <v>-75.148972222222227</v>
      </c>
      <c r="R218" s="243" t="s">
        <v>1638</v>
      </c>
      <c r="S218" s="246" t="s">
        <v>1639</v>
      </c>
      <c r="U218" s="245"/>
    </row>
    <row r="219" spans="1:21" ht="17.25" customHeight="1">
      <c r="A219" s="236">
        <v>218</v>
      </c>
      <c r="B219" s="249" t="str">
        <f t="array" ref="B219">INDEX('CENTRO - CESAR'!B:B, MATCH(S219, 'CENTRO - CESAR'!K:K, 0), )</f>
        <v>Pampa Cangallo - Los Morochucos</v>
      </c>
      <c r="C219" s="156" t="str">
        <f t="array" ref="C219">INDEX('CENTRO - CESAR'!C:C, MATCH(S219, 'CENTRO - CESAR'!K:K, 0), )</f>
        <v>Ayacucho</v>
      </c>
      <c r="D219" s="156" t="str">
        <f t="array" ref="D219">INDEX('CENTRO - CESAR'!D:D, MATCH(S219, 'CENTRO - CESAR'!K:K, 0), )</f>
        <v>FM</v>
      </c>
      <c r="E219" s="156">
        <f t="array" ref="E219">INDEX('CENTRO - CESAR'!E:E, MATCH(S219, 'CENTRO - CESAR'!K:K, 0), )</f>
        <v>98.1</v>
      </c>
      <c r="F219" s="156">
        <f t="array" ref="F219">INDEX('CENTRO - CESAR'!F:F, MATCH(S219, 'CENTRO - CESAR'!K:K, 0), )</f>
        <v>13</v>
      </c>
      <c r="G219" s="159" t="str">
        <f t="array" ref="G219">INDEX('CENTRO - CESAR'!G:G, MATCH(S219, 'CENTRO - CESAR'!K:K, 0), )</f>
        <v>A.A</v>
      </c>
      <c r="H219" s="238" t="str">
        <f t="array" ref="H219">INDEX('CENTRO - CESAR'!H:H, MATCH(S219, 'CENTRO - CESAR'!K:K, 0), )</f>
        <v>PAMPA CANGALLO</v>
      </c>
      <c r="I219" s="239" t="str">
        <f t="array" ref="I219">INDEX('CENTRO - CESAR'!I:I, MATCH(S219, 'CENTRO - CESAR'!K:K, 0), )</f>
        <v>23/11/2025 - Ingeniería - Con el apoyo del equipo técnico zonal de Ayacucho, se puso al aire nuevamente la estación. Información facilitada por el hno. Abel Oré.</v>
      </c>
      <c r="J219" s="240">
        <f t="array" ref="J219">INDEX('CENTRO - CESAR'!J:J, MATCH(S219, 'CENTRO - CESAR'!K:K, 0), )</f>
        <v>0</v>
      </c>
      <c r="K219" s="156" t="str">
        <f t="array" ref="K219">INDEX('CENTRO - CESAR'!K:K, MATCH(S219, 'CENTRO - CESAR'!K:K, 0), )</f>
        <v>C - 89</v>
      </c>
      <c r="L219" s="250" t="str">
        <f t="array" ref="L219">INDEX('CENTRO - CESAR'!L:L, MATCH(S219, 'CENTRO - CESAR'!K:K, 0), )</f>
        <v>Sectoristas</v>
      </c>
      <c r="M219" s="251" t="str">
        <f t="array" ref="M219">INDEX('CENTRO - CESAR'!M:M, MATCH(S219, 'CENTRO - CESAR'!K:K, 0), )</f>
        <v>Nivel 1</v>
      </c>
      <c r="N219" s="252">
        <f t="array" ref="N219">INDEX('CENTRO - CESAR'!N:N, MATCH(S219, 'CENTRO - CESAR'!K:K, 0), )</f>
        <v>0</v>
      </c>
      <c r="O219" s="253">
        <f t="array" ref="O219">INDEX('CENTRO - CESAR'!O:O, MATCH(S219, 'CENTRO - CESAR'!K:K, 0), )</f>
        <v>0</v>
      </c>
      <c r="P219" s="236">
        <v>-13.509313888888888</v>
      </c>
      <c r="Q219" s="236">
        <v>-74.193413888888898</v>
      </c>
      <c r="R219" s="243" t="s">
        <v>1502</v>
      </c>
      <c r="S219" s="246" t="s">
        <v>1640</v>
      </c>
      <c r="U219" s="245"/>
    </row>
    <row r="220" spans="1:21" ht="17.25" customHeight="1">
      <c r="A220" s="236">
        <v>219</v>
      </c>
      <c r="B220" s="249" t="str">
        <f t="array" ref="B220">INDEX('CENTRO - CESAR'!B:B, MATCH(S220, 'CENTRO - CESAR'!K:K, 0), )</f>
        <v>Pampas</v>
      </c>
      <c r="C220" s="156" t="str">
        <f t="array" ref="C220">INDEX('CENTRO - CESAR'!C:C, MATCH(S220, 'CENTRO - CESAR'!K:K, 0), )</f>
        <v>Huancavelica</v>
      </c>
      <c r="D220" s="156" t="str">
        <f t="array" ref="D220">INDEX('CENTRO - CESAR'!D:D, MATCH(S220, 'CENTRO - CESAR'!K:K, 0), )</f>
        <v>FM</v>
      </c>
      <c r="E220" s="156">
        <f t="array" ref="E220">INDEX('CENTRO - CESAR'!E:E, MATCH(S220, 'CENTRO - CESAR'!K:K, 0), )</f>
        <v>101.9</v>
      </c>
      <c r="F220" s="156">
        <f t="array" ref="F220">INDEX('CENTRO - CESAR'!F:F, MATCH(S220, 'CENTRO - CESAR'!K:K, 0), )</f>
        <v>96</v>
      </c>
      <c r="G220" s="159" t="str">
        <f t="array" ref="G220">INDEX('CENTRO - CESAR'!G:G, MATCH(S220, 'CENTRO - CESAR'!K:K, 0), )</f>
        <v>A.A</v>
      </c>
      <c r="H220" s="238" t="str">
        <f t="array" ref="H220">INDEX('CENTRO - CESAR'!H:H, MATCH(S220, 'CENTRO - CESAR'!K:K, 0), )</f>
        <v>PAMPAS 101.9</v>
      </c>
      <c r="I220" s="239" t="str">
        <f t="array" ref="I220">INDEX('CENTRO - CESAR'!I:I, MATCH(S220, 'CENTRO - CESAR'!K:K, 0), )</f>
        <v>30/10/2025 - Sectoristas - Operativo de acuerdo a lo informado por el presbítero</v>
      </c>
      <c r="J220" s="240">
        <f t="array" ref="J220">INDEX('CENTRO - CESAR'!J:J, MATCH(S220, 'CENTRO - CESAR'!K:K, 0), )</f>
        <v>0</v>
      </c>
      <c r="K220" s="156" t="str">
        <f t="array" ref="K220">INDEX('CENTRO - CESAR'!K:K, MATCH(S220, 'CENTRO - CESAR'!K:K, 0), )</f>
        <v>C - 90</v>
      </c>
      <c r="L220" s="250">
        <f t="array" ref="L220">INDEX('CENTRO - CESAR'!L:L, MATCH(S220, 'CENTRO - CESAR'!K:K, 0), )</f>
        <v>0</v>
      </c>
      <c r="M220" s="251">
        <f t="array" ref="M220">INDEX('CENTRO - CESAR'!M:M, MATCH(S220, 'CENTRO - CESAR'!K:K, 0), )</f>
        <v>0</v>
      </c>
      <c r="N220" s="252">
        <f t="array" ref="N220">INDEX('CENTRO - CESAR'!N:N, MATCH(S220, 'CENTRO - CESAR'!K:K, 0), )</f>
        <v>0</v>
      </c>
      <c r="O220" s="253">
        <f t="array" ref="O220">INDEX('CENTRO - CESAR'!O:O, MATCH(S220, 'CENTRO - CESAR'!K:K, 0), )</f>
        <v>0</v>
      </c>
      <c r="P220" s="236">
        <v>-12.324083333333332</v>
      </c>
      <c r="Q220" s="236">
        <v>-74.81753333333333</v>
      </c>
      <c r="R220" s="243" t="s">
        <v>1641</v>
      </c>
      <c r="S220" s="246" t="s">
        <v>1642</v>
      </c>
      <c r="U220" s="245"/>
    </row>
    <row r="221" spans="1:21" ht="17.25" customHeight="1">
      <c r="A221" s="236">
        <v>220</v>
      </c>
      <c r="B221" s="249" t="str">
        <f t="array" ref="B221">INDEX('CENTRO - CESAR'!B:B, MATCH(S221, 'CENTRO - CESAR'!K:K, 0), )</f>
        <v>Pampas</v>
      </c>
      <c r="C221" s="156" t="str">
        <f t="array" ref="C221">INDEX('CENTRO - CESAR'!C:C, MATCH(S221, 'CENTRO - CESAR'!K:K, 0), )</f>
        <v>Huancavelica</v>
      </c>
      <c r="D221" s="156" t="str">
        <f t="array" ref="D221">INDEX('CENTRO - CESAR'!D:D, MATCH(S221, 'CENTRO - CESAR'!K:K, 0), )</f>
        <v>VHF</v>
      </c>
      <c r="E221" s="156">
        <f t="array" ref="E221">INDEX('CENTRO - CESAR'!E:E, MATCH(S221, 'CENTRO - CESAR'!K:K, 0), )</f>
        <v>2</v>
      </c>
      <c r="F221" s="156">
        <f t="array" ref="F221">INDEX('CENTRO - CESAR'!F:F, MATCH(S221, 'CENTRO - CESAR'!K:K, 0), )</f>
        <v>96</v>
      </c>
      <c r="G221" s="159" t="str">
        <f t="array" ref="G221">INDEX('CENTRO - CESAR'!G:G, MATCH(S221, 'CENTRO - CESAR'!K:K, 0), )</f>
        <v>A.A</v>
      </c>
      <c r="H221" s="238" t="str">
        <f t="array" ref="H221">INDEX('CENTRO - CESAR'!H:H, MATCH(S221, 'CENTRO - CESAR'!K:K, 0), )</f>
        <v>PAMPAS</v>
      </c>
      <c r="I221" s="239" t="str">
        <f t="array" ref="I221">INDEX('CENTRO - CESAR'!I:I, MATCH(S221, 'CENTRO - CESAR'!K:K, 0), )</f>
        <v>30/10/2025 - Sectoristas - Operativo de acuerdo a lo informado por el presbítero</v>
      </c>
      <c r="J221" s="240">
        <f t="array" ref="J221">INDEX('CENTRO - CESAR'!J:J, MATCH(S221, 'CENTRO - CESAR'!K:K, 0), )</f>
        <v>0</v>
      </c>
      <c r="K221" s="156" t="str">
        <f t="array" ref="K221">INDEX('CENTRO - CESAR'!K:K, MATCH(S221, 'CENTRO - CESAR'!K:K, 0), )</f>
        <v>C - 91</v>
      </c>
      <c r="L221" s="250">
        <f t="array" ref="L221">INDEX('CENTRO - CESAR'!L:L, MATCH(S221, 'CENTRO - CESAR'!K:K, 0), )</f>
        <v>0</v>
      </c>
      <c r="M221" s="251">
        <f t="array" ref="M221">INDEX('CENTRO - CESAR'!M:M, MATCH(S221, 'CENTRO - CESAR'!K:K, 0), )</f>
        <v>0</v>
      </c>
      <c r="N221" s="252">
        <f t="array" ref="N221">INDEX('CENTRO - CESAR'!N:N, MATCH(S221, 'CENTRO - CESAR'!K:K, 0), )</f>
        <v>0</v>
      </c>
      <c r="O221" s="253">
        <f t="array" ref="O221">INDEX('CENTRO - CESAR'!O:O, MATCH(S221, 'CENTRO - CESAR'!K:K, 0), )</f>
        <v>0</v>
      </c>
      <c r="P221" s="236">
        <v>-12.395027777777777</v>
      </c>
      <c r="Q221" s="236">
        <v>-74.86122222222221</v>
      </c>
      <c r="R221" s="243" t="s">
        <v>1643</v>
      </c>
      <c r="S221" s="246" t="s">
        <v>1644</v>
      </c>
      <c r="U221" s="245"/>
    </row>
    <row r="222" spans="1:21" ht="17.25" customHeight="1">
      <c r="A222" s="236">
        <v>221</v>
      </c>
      <c r="B222" s="249" t="str">
        <f t="array" ref="B222">INDEX('CENTRO - CESAR'!B:B, MATCH(S222, 'CENTRO - CESAR'!K:K, 0), )</f>
        <v>Pampas - Daniel Hernandez</v>
      </c>
      <c r="C222" s="156" t="str">
        <f t="array" ref="C222">INDEX('CENTRO - CESAR'!C:C, MATCH(S222, 'CENTRO - CESAR'!K:K, 0), )</f>
        <v>Huancavelica</v>
      </c>
      <c r="D222" s="156" t="str">
        <f t="array" ref="D222">INDEX('CENTRO - CESAR'!D:D, MATCH(S222, 'CENTRO - CESAR'!K:K, 0), )</f>
        <v>FM</v>
      </c>
      <c r="E222" s="156">
        <f t="array" ref="E222">INDEX('CENTRO - CESAR'!E:E, MATCH(S222, 'CENTRO - CESAR'!K:K, 0), )</f>
        <v>96.3</v>
      </c>
      <c r="F222" s="156">
        <f t="array" ref="F222">INDEX('CENTRO - CESAR'!F:F, MATCH(S222, 'CENTRO - CESAR'!K:K, 0), )</f>
        <v>96</v>
      </c>
      <c r="G222" s="159" t="str">
        <f t="array" ref="G222">INDEX('CENTRO - CESAR'!G:G, MATCH(S222, 'CENTRO - CESAR'!K:K, 0), )</f>
        <v>A.A</v>
      </c>
      <c r="H222" s="238" t="str">
        <f t="array" ref="H222">INDEX('CENTRO - CESAR'!H:H, MATCH(S222, 'CENTRO - CESAR'!K:K, 0), )</f>
        <v>PAMPAS 96.3</v>
      </c>
      <c r="I222" s="239" t="str">
        <f t="array" ref="I222">INDEX('CENTRO - CESAR'!I:I, MATCH(S222, 'CENTRO - CESAR'!K:K, 0), )</f>
        <v>30/10/2025 - Sectoristas - Operativo de acuerdo a lo informado por el presbítero</v>
      </c>
      <c r="J222" s="240">
        <f t="array" ref="J222">INDEX('CENTRO - CESAR'!J:J, MATCH(S222, 'CENTRO - CESAR'!K:K, 0), )</f>
        <v>0</v>
      </c>
      <c r="K222" s="156" t="str">
        <f t="array" ref="K222">INDEX('CENTRO - CESAR'!K:K, MATCH(S222, 'CENTRO - CESAR'!K:K, 0), )</f>
        <v>C - 92</v>
      </c>
      <c r="L222" s="250">
        <f t="array" ref="L222">INDEX('CENTRO - CESAR'!L:L, MATCH(S222, 'CENTRO - CESAR'!K:K, 0), )</f>
        <v>0</v>
      </c>
      <c r="M222" s="251">
        <f t="array" ref="M222">INDEX('CENTRO - CESAR'!M:M, MATCH(S222, 'CENTRO - CESAR'!K:K, 0), )</f>
        <v>0</v>
      </c>
      <c r="N222" s="252">
        <f t="array" ref="N222">INDEX('CENTRO - CESAR'!N:N, MATCH(S222, 'CENTRO - CESAR'!K:K, 0), )</f>
        <v>0</v>
      </c>
      <c r="O222" s="253">
        <f t="array" ref="O222">INDEX('CENTRO - CESAR'!O:O, MATCH(S222, 'CENTRO - CESAR'!K:K, 0), )</f>
        <v>0</v>
      </c>
      <c r="P222" s="236">
        <v>-12.395027777777777</v>
      </c>
      <c r="Q222" s="236">
        <v>-74.86122222222221</v>
      </c>
      <c r="R222" s="243" t="s">
        <v>1643</v>
      </c>
      <c r="S222" s="246" t="s">
        <v>1645</v>
      </c>
      <c r="U222" s="245"/>
    </row>
    <row r="223" spans="1:21" ht="17.25" customHeight="1">
      <c r="A223" s="236">
        <v>222</v>
      </c>
      <c r="B223" s="249" t="str">
        <f t="array" ref="B223">INDEX('CENTRO - CESAR'!B:B, MATCH(S223, 'CENTRO - CESAR'!K:K, 0), )</f>
        <v>Pangoa</v>
      </c>
      <c r="C223" s="156" t="str">
        <f t="array" ref="C223">INDEX('CENTRO - CESAR'!C:C, MATCH(S223, 'CENTRO - CESAR'!K:K, 0), )</f>
        <v>Junin</v>
      </c>
      <c r="D223" s="156" t="str">
        <f t="array" ref="D223">INDEX('CENTRO - CESAR'!D:D, MATCH(S223, 'CENTRO - CESAR'!K:K, 0), )</f>
        <v>FM</v>
      </c>
      <c r="E223" s="156">
        <f t="array" ref="E223">INDEX('CENTRO - CESAR'!E:E, MATCH(S223, 'CENTRO - CESAR'!K:K, 0), )</f>
        <v>90.9</v>
      </c>
      <c r="F223" s="156">
        <f t="array" ref="F223">INDEX('CENTRO - CESAR'!F:F, MATCH(S223, 'CENTRO - CESAR'!K:K, 0), )</f>
        <v>75</v>
      </c>
      <c r="G223" s="159" t="str">
        <f t="array" ref="G223">INDEX('CENTRO - CESAR'!G:G, MATCH(S223, 'CENTRO - CESAR'!K:K, 0), )</f>
        <v>F.A</v>
      </c>
      <c r="H223" s="238" t="str">
        <f t="array" ref="H223">INDEX('CENTRO - CESAR'!H:H, MATCH(S223, 'CENTRO - CESAR'!K:K, 0), )</f>
        <v>PANGOA</v>
      </c>
      <c r="I223" s="239" t="str">
        <f t="array" ref="I223">INDEX('CENTRO - CESAR'!I:I, MATCH(S223, 'CENTRO - CESAR'!K:K, 0), )</f>
        <v>21/11/2025 - Ingeniería - Se le facilitó al pastor el presupuesto completo de la Radio y Canal, a la espera del depósito.</v>
      </c>
      <c r="J223" s="240">
        <f t="array" ref="J223">INDEX('CENTRO - CESAR'!J:J, MATCH(S223, 'CENTRO - CESAR'!K:K, 0), )</f>
        <v>0</v>
      </c>
      <c r="K223" s="156" t="str">
        <f t="array" ref="K223">INDEX('CENTRO - CESAR'!K:K, MATCH(S223, 'CENTRO - CESAR'!K:K, 0), )</f>
        <v>C - 93</v>
      </c>
      <c r="L223" s="250" t="str">
        <f t="array" ref="L223">INDEX('CENTRO - CESAR'!L:L, MATCH(S223, 'CENTRO - CESAR'!K:K, 0), )</f>
        <v>Sectoristas</v>
      </c>
      <c r="M223" s="251" t="str">
        <f t="array" ref="M223">INDEX('CENTRO - CESAR'!M:M, MATCH(S223, 'CENTRO - CESAR'!K:K, 0), )</f>
        <v>Nivel 1</v>
      </c>
      <c r="N223" s="252">
        <f t="array" ref="N223">INDEX('CENTRO - CESAR'!N:N, MATCH(S223, 'CENTRO - CESAR'!K:K, 0), )</f>
        <v>11200</v>
      </c>
      <c r="O223" s="253">
        <f t="array" ref="O223">INDEX('CENTRO - CESAR'!O:O, MATCH(S223, 'CENTRO - CESAR'!K:K, 0), )</f>
        <v>0</v>
      </c>
      <c r="P223" s="236">
        <v>-11.423</v>
      </c>
      <c r="Q223" s="236">
        <v>-74.504249999999999</v>
      </c>
      <c r="R223" s="243" t="s">
        <v>1646</v>
      </c>
      <c r="S223" s="246" t="s">
        <v>1216</v>
      </c>
      <c r="U223" s="245"/>
    </row>
    <row r="224" spans="1:21" ht="17.25" customHeight="1">
      <c r="A224" s="236">
        <v>223</v>
      </c>
      <c r="B224" s="249" t="str">
        <f t="array" ref="B224">INDEX('CENTRO - CESAR'!B:B, MATCH(S224, 'CENTRO - CESAR'!K:K, 0), )</f>
        <v>Pangoa</v>
      </c>
      <c r="C224" s="156" t="str">
        <f t="array" ref="C224">INDEX('CENTRO - CESAR'!C:C, MATCH(S224, 'CENTRO - CESAR'!K:K, 0), )</f>
        <v>Junin</v>
      </c>
      <c r="D224" s="156" t="str">
        <f t="array" ref="D224">INDEX('CENTRO - CESAR'!D:D, MATCH(S224, 'CENTRO - CESAR'!K:K, 0), )</f>
        <v>VHF</v>
      </c>
      <c r="E224" s="156">
        <f t="array" ref="E224">INDEX('CENTRO - CESAR'!E:E, MATCH(S224, 'CENTRO - CESAR'!K:K, 0), )</f>
        <v>7</v>
      </c>
      <c r="F224" s="156">
        <f t="array" ref="F224">INDEX('CENTRO - CESAR'!F:F, MATCH(S224, 'CENTRO - CESAR'!K:K, 0), )</f>
        <v>75</v>
      </c>
      <c r="G224" s="159" t="str">
        <f t="array" ref="G224">INDEX('CENTRO - CESAR'!G:G, MATCH(S224, 'CENTRO - CESAR'!K:K, 0), )</f>
        <v>F.A</v>
      </c>
      <c r="H224" s="238" t="str">
        <f t="array" ref="H224">INDEX('CENTRO - CESAR'!H:H, MATCH(S224, 'CENTRO - CESAR'!K:K, 0), )</f>
        <v>PANGOA</v>
      </c>
      <c r="I224" s="239" t="str">
        <f t="array" ref="I224">INDEX('CENTRO - CESAR'!I:I, MATCH(S224, 'CENTRO - CESAR'!K:K, 0), )</f>
        <v>11/09/2025 - Sectoristas - A la fecha se esta acondicionando la nueva ubicación para su instalación</v>
      </c>
      <c r="J224" s="240">
        <f t="array" ref="J224">INDEX('CENTRO - CESAR'!J:J, MATCH(S224, 'CENTRO - CESAR'!K:K, 0), )</f>
        <v>0</v>
      </c>
      <c r="K224" s="156" t="str">
        <f t="array" ref="K224">INDEX('CENTRO - CESAR'!K:K, MATCH(S224, 'CENTRO - CESAR'!K:K, 0), )</f>
        <v>C - 94</v>
      </c>
      <c r="L224" s="250">
        <f t="array" ref="L224">INDEX('CENTRO - CESAR'!L:L, MATCH(S224, 'CENTRO - CESAR'!K:K, 0), )</f>
        <v>0</v>
      </c>
      <c r="M224" s="251">
        <f t="array" ref="M224">INDEX('CENTRO - CESAR'!M:M, MATCH(S224, 'CENTRO - CESAR'!K:K, 0), )</f>
        <v>0</v>
      </c>
      <c r="N224" s="252">
        <f t="array" ref="N224">INDEX('CENTRO - CESAR'!N:N, MATCH(S224, 'CENTRO - CESAR'!K:K, 0), )</f>
        <v>0</v>
      </c>
      <c r="O224" s="253">
        <f t="array" ref="O224">INDEX('CENTRO - CESAR'!O:O, MATCH(S224, 'CENTRO - CESAR'!K:K, 0), )</f>
        <v>0</v>
      </c>
      <c r="P224" s="236">
        <v>-11.423</v>
      </c>
      <c r="Q224" s="236">
        <v>-74.504249999999999</v>
      </c>
      <c r="R224" s="243" t="s">
        <v>1646</v>
      </c>
      <c r="S224" s="246" t="s">
        <v>1217</v>
      </c>
      <c r="U224" s="245"/>
    </row>
    <row r="225" spans="1:21" ht="17.25" customHeight="1">
      <c r="A225" s="236">
        <v>224</v>
      </c>
      <c r="B225" s="249" t="str">
        <f t="array" ref="B225">INDEX('CENTRO - CESAR'!B:B, MATCH(S225, 'CENTRO - CESAR'!K:K, 0), )</f>
        <v>Pasco - Chaupimarca</v>
      </c>
      <c r="C225" s="156" t="str">
        <f t="array" ref="C225">INDEX('CENTRO - CESAR'!C:C, MATCH(S225, 'CENTRO - CESAR'!K:K, 0), )</f>
        <v>Pasco</v>
      </c>
      <c r="D225" s="156" t="str">
        <f t="array" ref="D225">INDEX('CENTRO - CESAR'!D:D, MATCH(S225, 'CENTRO - CESAR'!K:K, 0), )</f>
        <v>FM</v>
      </c>
      <c r="E225" s="156">
        <f t="array" ref="E225">INDEX('CENTRO - CESAR'!E:E, MATCH(S225, 'CENTRO - CESAR'!K:K, 0), )</f>
        <v>88.9</v>
      </c>
      <c r="F225" s="156">
        <f t="array" ref="F225">INDEX('CENTRO - CESAR'!F:F, MATCH(S225, 'CENTRO - CESAR'!K:K, 0), )</f>
        <v>71</v>
      </c>
      <c r="G225" s="159" t="str">
        <f t="array" ref="G225">INDEX('CENTRO - CESAR'!G:G, MATCH(S225, 'CENTRO - CESAR'!K:K, 0), )</f>
        <v>A.A</v>
      </c>
      <c r="H225" s="238" t="str">
        <f t="array" ref="H225">INDEX('CENTRO - CESAR'!H:H, MATCH(S225, 'CENTRO - CESAR'!K:K, 0), )</f>
        <v>PASCO</v>
      </c>
      <c r="I225" s="239" t="str">
        <f t="array" ref="I225">INDEX('CENTRO - CESAR'!I:I, MATCH(S225, 'CENTRO - CESAR'!K:K, 0), )</f>
        <v>30/10/2025 - Sectoristas - Operativo de acuerdo a lo informado por el presbítero</v>
      </c>
      <c r="J225" s="240">
        <f t="array" ref="J225">INDEX('CENTRO - CESAR'!J:J, MATCH(S225, 'CENTRO - CESAR'!K:K, 0), )</f>
        <v>0</v>
      </c>
      <c r="K225" s="156" t="str">
        <f t="array" ref="K225">INDEX('CENTRO - CESAR'!K:K, MATCH(S225, 'CENTRO - CESAR'!K:K, 0), )</f>
        <v>C - 95</v>
      </c>
      <c r="L225" s="250">
        <f t="array" ref="L225">INDEX('CENTRO - CESAR'!L:L, MATCH(S225, 'CENTRO - CESAR'!K:K, 0), )</f>
        <v>0</v>
      </c>
      <c r="M225" s="251">
        <f t="array" ref="M225">INDEX('CENTRO - CESAR'!M:M, MATCH(S225, 'CENTRO - CESAR'!K:K, 0), )</f>
        <v>0</v>
      </c>
      <c r="N225" s="252">
        <f t="array" ref="N225">INDEX('CENTRO - CESAR'!N:N, MATCH(S225, 'CENTRO - CESAR'!K:K, 0), )</f>
        <v>0</v>
      </c>
      <c r="O225" s="253">
        <f t="array" ref="O225">INDEX('CENTRO - CESAR'!O:O, MATCH(S225, 'CENTRO - CESAR'!K:K, 0), )</f>
        <v>0</v>
      </c>
      <c r="P225" s="236">
        <v>-10.694097222222222</v>
      </c>
      <c r="Q225" s="236">
        <v>-76.261761111111113</v>
      </c>
      <c r="R225" s="243" t="s">
        <v>1647</v>
      </c>
      <c r="S225" s="246" t="s">
        <v>1648</v>
      </c>
      <c r="U225" s="245"/>
    </row>
    <row r="226" spans="1:21" ht="17.25" customHeight="1">
      <c r="A226" s="236">
        <v>225</v>
      </c>
      <c r="B226" s="249" t="str">
        <f t="array" ref="B226">INDEX('CENTRO - CESAR'!B:B, MATCH(S226, 'CENTRO - CESAR'!K:K, 0), )</f>
        <v>Paucartambo - Huamayaco</v>
      </c>
      <c r="C226" s="156" t="str">
        <f t="array" ref="C226">INDEX('CENTRO - CESAR'!C:C, MATCH(S226, 'CENTRO - CESAR'!K:K, 0), )</f>
        <v>Pasco</v>
      </c>
      <c r="D226" s="156" t="str">
        <f t="array" ref="D226">INDEX('CENTRO - CESAR'!D:D, MATCH(S226, 'CENTRO - CESAR'!K:K, 0), )</f>
        <v>VHF</v>
      </c>
      <c r="E226" s="156">
        <f t="array" ref="E226">INDEX('CENTRO - CESAR'!E:E, MATCH(S226, 'CENTRO - CESAR'!K:K, 0), )</f>
        <v>9</v>
      </c>
      <c r="F226" s="156">
        <f t="array" ref="F226">INDEX('CENTRO - CESAR'!F:F, MATCH(S226, 'CENTRO - CESAR'!K:K, 0), )</f>
        <v>71</v>
      </c>
      <c r="G226" s="159" t="str">
        <f t="array" ref="G226">INDEX('CENTRO - CESAR'!G:G, MATCH(S226, 'CENTRO - CESAR'!K:K, 0), )</f>
        <v>A.A</v>
      </c>
      <c r="H226" s="238" t="str">
        <f t="array" ref="H226">INDEX('CENTRO - CESAR'!H:H, MATCH(S226, 'CENTRO - CESAR'!K:K, 0), )</f>
        <v>PAUCARTAMBO</v>
      </c>
      <c r="I226" s="239" t="str">
        <f t="array" ref="I226">INDEX('CENTRO - CESAR'!I:I, MATCH(S226, 'CENTRO - CESAR'!K:K, 0), )</f>
        <v>30/10/2025 - Sectoristas - Operativo de acuerdo a lo informado por el presbítero</v>
      </c>
      <c r="J226" s="240">
        <f t="array" ref="J226">INDEX('CENTRO - CESAR'!J:J, MATCH(S226, 'CENTRO - CESAR'!K:K, 0), )</f>
        <v>0</v>
      </c>
      <c r="K226" s="156" t="str">
        <f t="array" ref="K226">INDEX('CENTRO - CESAR'!K:K, MATCH(S226, 'CENTRO - CESAR'!K:K, 0), )</f>
        <v>C - 96</v>
      </c>
      <c r="L226" s="250">
        <f t="array" ref="L226">INDEX('CENTRO - CESAR'!L:L, MATCH(S226, 'CENTRO - CESAR'!K:K, 0), )</f>
        <v>0</v>
      </c>
      <c r="M226" s="251">
        <f t="array" ref="M226">INDEX('CENTRO - CESAR'!M:M, MATCH(S226, 'CENTRO - CESAR'!K:K, 0), )</f>
        <v>0</v>
      </c>
      <c r="N226" s="252">
        <f t="array" ref="N226">INDEX('CENTRO - CESAR'!N:N, MATCH(S226, 'CENTRO - CESAR'!K:K, 0), )</f>
        <v>0</v>
      </c>
      <c r="O226" s="253">
        <f t="array" ref="O226">INDEX('CENTRO - CESAR'!O:O, MATCH(S226, 'CENTRO - CESAR'!K:K, 0), )</f>
        <v>0</v>
      </c>
      <c r="P226" s="236">
        <v>-10.772</v>
      </c>
      <c r="Q226" s="236">
        <v>-75.815333333333328</v>
      </c>
      <c r="R226" s="243" t="s">
        <v>1649</v>
      </c>
      <c r="S226" s="246" t="s">
        <v>1650</v>
      </c>
      <c r="U226" s="245"/>
    </row>
    <row r="227" spans="1:21" ht="17.25" customHeight="1">
      <c r="A227" s="236">
        <v>226</v>
      </c>
      <c r="B227" s="249" t="str">
        <f t="array" ref="B227">INDEX('CENTRO - CESAR'!B:B, MATCH(S227, 'CENTRO - CESAR'!K:K, 0), )</f>
        <v>Paucartambo - Huamayaco</v>
      </c>
      <c r="C227" s="156" t="str">
        <f t="array" ref="C227">INDEX('CENTRO - CESAR'!C:C, MATCH(S227, 'CENTRO - CESAR'!K:K, 0), )</f>
        <v>Pasco</v>
      </c>
      <c r="D227" s="156" t="str">
        <f t="array" ref="D227">INDEX('CENTRO - CESAR'!D:D, MATCH(S227, 'CENTRO - CESAR'!K:K, 0), )</f>
        <v>FM</v>
      </c>
      <c r="E227" s="156">
        <f t="array" ref="E227">INDEX('CENTRO - CESAR'!E:E, MATCH(S227, 'CENTRO - CESAR'!K:K, 0), )</f>
        <v>95.7</v>
      </c>
      <c r="F227" s="156">
        <f t="array" ref="F227">INDEX('CENTRO - CESAR'!F:F, MATCH(S227, 'CENTRO - CESAR'!K:K, 0), )</f>
        <v>71</v>
      </c>
      <c r="G227" s="159" t="str">
        <f t="array" ref="G227">INDEX('CENTRO - CESAR'!G:G, MATCH(S227, 'CENTRO - CESAR'!K:K, 0), )</f>
        <v>A.A</v>
      </c>
      <c r="H227" s="238" t="str">
        <f t="array" ref="H227">INDEX('CENTRO - CESAR'!H:H, MATCH(S227, 'CENTRO - CESAR'!K:K, 0), )</f>
        <v>PAUCARTAMBO</v>
      </c>
      <c r="I227" s="239" t="str">
        <f t="array" ref="I227">INDEX('CENTRO - CESAR'!I:I, MATCH(S227, 'CENTRO - CESAR'!K:K, 0), )</f>
        <v>30/10/2025 - Sectoristas - Operativo de acuerdo a lo informado por el presbítero</v>
      </c>
      <c r="J227" s="240">
        <f t="array" ref="J227">INDEX('CENTRO - CESAR'!J:J, MATCH(S227, 'CENTRO - CESAR'!K:K, 0), )</f>
        <v>0</v>
      </c>
      <c r="K227" s="156" t="str">
        <f t="array" ref="K227">INDEX('CENTRO - CESAR'!K:K, MATCH(S227, 'CENTRO - CESAR'!K:K, 0), )</f>
        <v>C - 97</v>
      </c>
      <c r="L227" s="250">
        <f t="array" ref="L227">INDEX('CENTRO - CESAR'!L:L, MATCH(S227, 'CENTRO - CESAR'!K:K, 0), )</f>
        <v>0</v>
      </c>
      <c r="M227" s="251">
        <f t="array" ref="M227">INDEX('CENTRO - CESAR'!M:M, MATCH(S227, 'CENTRO - CESAR'!K:K, 0), )</f>
        <v>0</v>
      </c>
      <c r="N227" s="252">
        <f t="array" ref="N227">INDEX('CENTRO - CESAR'!N:N, MATCH(S227, 'CENTRO - CESAR'!K:K, 0), )</f>
        <v>0</v>
      </c>
      <c r="O227" s="253">
        <f t="array" ref="O227">INDEX('CENTRO - CESAR'!O:O, MATCH(S227, 'CENTRO - CESAR'!K:K, 0), )</f>
        <v>0</v>
      </c>
      <c r="P227" s="236">
        <v>-10.772</v>
      </c>
      <c r="Q227" s="236">
        <v>-75.815333333333328</v>
      </c>
      <c r="R227" s="243" t="s">
        <v>1649</v>
      </c>
      <c r="S227" s="246" t="s">
        <v>1651</v>
      </c>
      <c r="U227" s="245"/>
    </row>
    <row r="228" spans="1:21" ht="17.25" customHeight="1">
      <c r="A228" s="236">
        <v>227</v>
      </c>
      <c r="B228" s="249" t="str">
        <f t="array" ref="B228">INDEX('CENTRO - CESAR'!B:B, MATCH(S228, 'CENTRO - CESAR'!K:K, 0), )</f>
        <v>Pausa</v>
      </c>
      <c r="C228" s="156" t="str">
        <f t="array" ref="C228">INDEX('CENTRO - CESAR'!C:C, MATCH(S228, 'CENTRO - CESAR'!K:K, 0), )</f>
        <v>Ayacucho</v>
      </c>
      <c r="D228" s="156" t="str">
        <f t="array" ref="D228">INDEX('CENTRO - CESAR'!D:D, MATCH(S228, 'CENTRO - CESAR'!K:K, 0), )</f>
        <v>FM</v>
      </c>
      <c r="E228" s="156">
        <f t="array" ref="E228">INDEX('CENTRO - CESAR'!E:E, MATCH(S228, 'CENTRO - CESAR'!K:K, 0), )</f>
        <v>96.1</v>
      </c>
      <c r="F228" s="156">
        <f t="array" ref="F228">INDEX('CENTRO - CESAR'!F:F, MATCH(S228, 'CENTRO - CESAR'!K:K, 0), )</f>
        <v>99</v>
      </c>
      <c r="G228" s="159" t="str">
        <f t="array" ref="G228">INDEX('CENTRO - CESAR'!G:G, MATCH(S228, 'CENTRO - CESAR'!K:K, 0), )</f>
        <v>F.A</v>
      </c>
      <c r="H228" s="238" t="str">
        <f t="array" ref="H228">INDEX('CENTRO - CESAR'!H:H, MATCH(S228, 'CENTRO - CESAR'!K:K, 0), )</f>
        <v>PAUSA</v>
      </c>
      <c r="I228" s="239" t="str">
        <f t="array" ref="I228">INDEX('CENTRO - CESAR'!I:I, MATCH(S228, 'CENTRO - CESAR'!K:K, 0), )</f>
        <v>8/09/2025 - Sectoristas - Inoperativo TX malogrado se esta proyectando reparar después de la convención de Tacna</v>
      </c>
      <c r="J228" s="240">
        <f t="array" ref="J228">INDEX('CENTRO - CESAR'!J:J, MATCH(S228, 'CENTRO - CESAR'!K:K, 0), )</f>
        <v>0</v>
      </c>
      <c r="K228" s="156" t="str">
        <f t="array" ref="K228">INDEX('CENTRO - CESAR'!K:K, MATCH(S228, 'CENTRO - CESAR'!K:K, 0), )</f>
        <v>C - 98</v>
      </c>
      <c r="L228" s="250">
        <f t="array" ref="L228">INDEX('CENTRO - CESAR'!L:L, MATCH(S228, 'CENTRO - CESAR'!K:K, 0), )</f>
        <v>0</v>
      </c>
      <c r="M228" s="251">
        <f t="array" ref="M228">INDEX('CENTRO - CESAR'!M:M, MATCH(S228, 'CENTRO - CESAR'!K:K, 0), )</f>
        <v>0</v>
      </c>
      <c r="N228" s="252">
        <f t="array" ref="N228">INDEX('CENTRO - CESAR'!N:N, MATCH(S228, 'CENTRO - CESAR'!K:K, 0), )</f>
        <v>0</v>
      </c>
      <c r="O228" s="253">
        <f t="array" ref="O228">INDEX('CENTRO - CESAR'!O:O, MATCH(S228, 'CENTRO - CESAR'!K:K, 0), )</f>
        <v>0</v>
      </c>
      <c r="P228" s="236">
        <v>-15.282888888888889</v>
      </c>
      <c r="Q228" s="236">
        <v>-73.344999999999999</v>
      </c>
      <c r="R228" s="243" t="s">
        <v>1652</v>
      </c>
      <c r="S228" s="246" t="s">
        <v>1222</v>
      </c>
      <c r="U228" s="245"/>
    </row>
    <row r="229" spans="1:21" ht="17.25" customHeight="1">
      <c r="A229" s="236">
        <v>228</v>
      </c>
      <c r="B229" s="249" t="str">
        <f t="array" ref="B229">INDEX('CENTRO - CESAR'!B:B, MATCH(S229, 'CENTRO - CESAR'!K:K, 0), )</f>
        <v>Pazos</v>
      </c>
      <c r="C229" s="156" t="str">
        <f t="array" ref="C229">INDEX('CENTRO - CESAR'!C:C, MATCH(S229, 'CENTRO - CESAR'!K:K, 0), )</f>
        <v>Huancavelica</v>
      </c>
      <c r="D229" s="156" t="str">
        <f t="array" ref="D229">INDEX('CENTRO - CESAR'!D:D, MATCH(S229, 'CENTRO - CESAR'!K:K, 0), )</f>
        <v>FM</v>
      </c>
      <c r="E229" s="156">
        <f t="array" ref="E229">INDEX('CENTRO - CESAR'!E:E, MATCH(S229, 'CENTRO - CESAR'!K:K, 0), )</f>
        <v>94.7</v>
      </c>
      <c r="F229" s="156">
        <f t="array" ref="F229">INDEX('CENTRO - CESAR'!F:F, MATCH(S229, 'CENTRO - CESAR'!K:K, 0), )</f>
        <v>15</v>
      </c>
      <c r="G229" s="159" t="str">
        <f t="array" ref="G229">INDEX('CENTRO - CESAR'!G:G, MATCH(S229, 'CENTRO - CESAR'!K:K, 0), )</f>
        <v>A.A</v>
      </c>
      <c r="H229" s="238" t="str">
        <f t="array" ref="H229">INDEX('CENTRO - CESAR'!H:H, MATCH(S229, 'CENTRO - CESAR'!K:K, 0), )</f>
        <v>PAZOS</v>
      </c>
      <c r="I229" s="239" t="str">
        <f t="array" ref="I229">INDEX('CENTRO - CESAR'!I:I, MATCH(S229, 'CENTRO - CESAR'!K:K, 0), )</f>
        <v>3/10/2025 - Sectoristas - Operativo de acuerdo a lo informado por el presbítero de la zona</v>
      </c>
      <c r="J229" s="240">
        <f t="array" ref="J229">INDEX('CENTRO - CESAR'!J:J, MATCH(S229, 'CENTRO - CESAR'!K:K, 0), )</f>
        <v>0</v>
      </c>
      <c r="K229" s="156" t="str">
        <f t="array" ref="K229">INDEX('CENTRO - CESAR'!K:K, MATCH(S229, 'CENTRO - CESAR'!K:K, 0), )</f>
        <v>C - 99</v>
      </c>
      <c r="L229" s="250">
        <f t="array" ref="L229">INDEX('CENTRO - CESAR'!L:L, MATCH(S229, 'CENTRO - CESAR'!K:K, 0), )</f>
        <v>0</v>
      </c>
      <c r="M229" s="251">
        <f t="array" ref="M229">INDEX('CENTRO - CESAR'!M:M, MATCH(S229, 'CENTRO - CESAR'!K:K, 0), )</f>
        <v>0</v>
      </c>
      <c r="N229" s="252">
        <f t="array" ref="N229">INDEX('CENTRO - CESAR'!N:N, MATCH(S229, 'CENTRO - CESAR'!K:K, 0), )</f>
        <v>0</v>
      </c>
      <c r="O229" s="253">
        <f t="array" ref="O229">INDEX('CENTRO - CESAR'!O:O, MATCH(S229, 'CENTRO - CESAR'!K:K, 0), )</f>
        <v>0</v>
      </c>
      <c r="P229" s="236">
        <v>-12.259822222222223</v>
      </c>
      <c r="Q229" s="236">
        <v>-75.072877777777776</v>
      </c>
      <c r="R229" s="243" t="s">
        <v>1653</v>
      </c>
      <c r="S229" s="246" t="s">
        <v>1654</v>
      </c>
      <c r="U229" s="245"/>
    </row>
    <row r="230" spans="1:21" ht="17.25" customHeight="1">
      <c r="A230" s="236">
        <v>229</v>
      </c>
      <c r="B230" s="249" t="str">
        <f t="array" ref="B230">INDEX('CENTRO - CESAR'!B:B, MATCH(S230, 'CENTRO - CESAR'!K:K, 0), )</f>
        <v>Pebas</v>
      </c>
      <c r="C230" s="156" t="str">
        <f t="array" ref="C230">INDEX('CENTRO - CESAR'!C:C, MATCH(S230, 'CENTRO - CESAR'!K:K, 0), )</f>
        <v>Loreto</v>
      </c>
      <c r="D230" s="156" t="str">
        <f t="array" ref="D230">INDEX('CENTRO - CESAR'!D:D, MATCH(S230, 'CENTRO - CESAR'!K:K, 0), )</f>
        <v>FM</v>
      </c>
      <c r="E230" s="156" t="str">
        <f t="array" ref="E230">INDEX('CENTRO - CESAR'!E:E, MATCH(S230, 'CENTRO - CESAR'!K:K, 0), )</f>
        <v>95.9</v>
      </c>
      <c r="F230" s="156">
        <f t="array" ref="F230">INDEX('CENTRO - CESAR'!F:F, MATCH(S230, 'CENTRO - CESAR'!K:K, 0), )</f>
        <v>103</v>
      </c>
      <c r="G230" s="159" t="str">
        <f t="array" ref="G230">INDEX('CENTRO - CESAR'!G:G, MATCH(S230, 'CENTRO - CESAR'!K:K, 0), )</f>
        <v>A.A</v>
      </c>
      <c r="H230" s="238" t="str">
        <f t="array" ref="H230">INDEX('CENTRO - CESAR'!H:H, MATCH(S230, 'CENTRO - CESAR'!K:K, 0), )</f>
        <v>PEBAS</v>
      </c>
      <c r="I230" s="239" t="str">
        <f t="array" ref="I230">INDEX('CENTRO - CESAR'!I:I, MATCH(S230, 'CENTRO - CESAR'!K:K, 0), )</f>
        <v>30/10/2025 - Sectoristas - Operativo de acuerdo a lo informado por el pasto de la zona</v>
      </c>
      <c r="J230" s="240">
        <f t="array" ref="J230">INDEX('CENTRO - CESAR'!J:J, MATCH(S230, 'CENTRO - CESAR'!K:K, 0), )</f>
        <v>0</v>
      </c>
      <c r="K230" s="156" t="str">
        <f t="array" ref="K230">INDEX('CENTRO - CESAR'!K:K, MATCH(S230, 'CENTRO - CESAR'!K:K, 0), )</f>
        <v>C - 100</v>
      </c>
      <c r="L230" s="250">
        <f t="array" ref="L230">INDEX('CENTRO - CESAR'!L:L, MATCH(S230, 'CENTRO - CESAR'!K:K, 0), )</f>
        <v>0</v>
      </c>
      <c r="M230" s="251">
        <f t="array" ref="M230">INDEX('CENTRO - CESAR'!M:M, MATCH(S230, 'CENTRO - CESAR'!K:K, 0), )</f>
        <v>0</v>
      </c>
      <c r="N230" s="252">
        <f t="array" ref="N230">INDEX('CENTRO - CESAR'!N:N, MATCH(S230, 'CENTRO - CESAR'!K:K, 0), )</f>
        <v>0</v>
      </c>
      <c r="O230" s="253">
        <f t="array" ref="O230">INDEX('CENTRO - CESAR'!O:O, MATCH(S230, 'CENTRO - CESAR'!K:K, 0), )</f>
        <v>0</v>
      </c>
      <c r="P230" s="236">
        <v>-3.3190277777777775</v>
      </c>
      <c r="Q230" s="236">
        <v>-71.857194444444445</v>
      </c>
      <c r="R230" s="243" t="s">
        <v>1655</v>
      </c>
      <c r="S230" s="246" t="s">
        <v>1656</v>
      </c>
      <c r="U230" s="245"/>
    </row>
    <row r="231" spans="1:21" ht="17.25" customHeight="1">
      <c r="A231" s="236">
        <v>230</v>
      </c>
      <c r="B231" s="249" t="str">
        <f t="array" ref="B231">INDEX('CENTRO - CESAR'!B:B, MATCH(S231, 'CENTRO - CESAR'!K:K, 0), )</f>
        <v>Perene</v>
      </c>
      <c r="C231" s="156" t="str">
        <f t="array" ref="C231">INDEX('CENTRO - CESAR'!C:C, MATCH(S231, 'CENTRO - CESAR'!K:K, 0), )</f>
        <v>Junin</v>
      </c>
      <c r="D231" s="156" t="str">
        <f t="array" ref="D231">INDEX('CENTRO - CESAR'!D:D, MATCH(S231, 'CENTRO - CESAR'!K:K, 0), )</f>
        <v>FM</v>
      </c>
      <c r="E231" s="156">
        <f t="array" ref="E231">INDEX('CENTRO - CESAR'!E:E, MATCH(S231, 'CENTRO - CESAR'!K:K, 0), )</f>
        <v>100.1</v>
      </c>
      <c r="F231" s="156">
        <f t="array" ref="F231">INDEX('CENTRO - CESAR'!F:F, MATCH(S231, 'CENTRO - CESAR'!K:K, 0), )</f>
        <v>74</v>
      </c>
      <c r="G231" s="159" t="str">
        <f t="array" ref="G231">INDEX('CENTRO - CESAR'!G:G, MATCH(S231, 'CENTRO - CESAR'!K:K, 0), )</f>
        <v>A.A</v>
      </c>
      <c r="H231" s="238" t="str">
        <f t="array" ref="H231">INDEX('CENTRO - CESAR'!H:H, MATCH(S231, 'CENTRO - CESAR'!K:K, 0), )</f>
        <v>PERENE</v>
      </c>
      <c r="I231" s="239" t="str">
        <f t="array" ref="I231">INDEX('CENTRO - CESAR'!I:I, MATCH(S231, 'CENTRO - CESAR'!K:K, 0), )</f>
        <v>5/09/2025 - Sectoristas - Operativo de acuerdo a lo informado por el presbítero (24 horas)</v>
      </c>
      <c r="J231" s="240">
        <f t="array" ref="J231">INDEX('CENTRO - CESAR'!J:J, MATCH(S231, 'CENTRO - CESAR'!K:K, 0), )</f>
        <v>0</v>
      </c>
      <c r="K231" s="156" t="str">
        <f t="array" ref="K231">INDEX('CENTRO - CESAR'!K:K, MATCH(S231, 'CENTRO - CESAR'!K:K, 0), )</f>
        <v>C - 101</v>
      </c>
      <c r="L231" s="250">
        <f t="array" ref="L231">INDEX('CENTRO - CESAR'!L:L, MATCH(S231, 'CENTRO - CESAR'!K:K, 0), )</f>
        <v>0</v>
      </c>
      <c r="M231" s="251">
        <f t="array" ref="M231">INDEX('CENTRO - CESAR'!M:M, MATCH(S231, 'CENTRO - CESAR'!K:K, 0), )</f>
        <v>0</v>
      </c>
      <c r="N231" s="252">
        <f t="array" ref="N231">INDEX('CENTRO - CESAR'!N:N, MATCH(S231, 'CENTRO - CESAR'!K:K, 0), )</f>
        <v>0</v>
      </c>
      <c r="O231" s="253">
        <f t="array" ref="O231">INDEX('CENTRO - CESAR'!O:O, MATCH(S231, 'CENTRO - CESAR'!K:K, 0), )</f>
        <v>0</v>
      </c>
      <c r="P231" s="236">
        <v>-10.942777777777778</v>
      </c>
      <c r="Q231" s="236">
        <v>-75.231111111111119</v>
      </c>
      <c r="R231" s="243" t="s">
        <v>1657</v>
      </c>
      <c r="S231" s="246" t="s">
        <v>1658</v>
      </c>
      <c r="U231" s="245"/>
    </row>
    <row r="232" spans="1:21" ht="17.25" customHeight="1">
      <c r="A232" s="236">
        <v>231</v>
      </c>
      <c r="B232" s="249" t="str">
        <f t="array" ref="B232">INDEX('CENTRO - CESAR'!B:B, MATCH(S232, 'CENTRO - CESAR'!K:K, 0), )</f>
        <v>Perene</v>
      </c>
      <c r="C232" s="156" t="str">
        <f t="array" ref="C232">INDEX('CENTRO - CESAR'!C:C, MATCH(S232, 'CENTRO - CESAR'!K:K, 0), )</f>
        <v>Junin</v>
      </c>
      <c r="D232" s="156" t="str">
        <f t="array" ref="D232">INDEX('CENTRO - CESAR'!D:D, MATCH(S232, 'CENTRO - CESAR'!K:K, 0), )</f>
        <v>VHF</v>
      </c>
      <c r="E232" s="156">
        <f t="array" ref="E232">INDEX('CENTRO - CESAR'!E:E, MATCH(S232, 'CENTRO - CESAR'!K:K, 0), )</f>
        <v>10</v>
      </c>
      <c r="F232" s="156">
        <f t="array" ref="F232">INDEX('CENTRO - CESAR'!F:F, MATCH(S232, 'CENTRO - CESAR'!K:K, 0), )</f>
        <v>74</v>
      </c>
      <c r="G232" s="159" t="str">
        <f t="array" ref="G232">INDEX('CENTRO - CESAR'!G:G, MATCH(S232, 'CENTRO - CESAR'!K:K, 0), )</f>
        <v>A.A</v>
      </c>
      <c r="H232" s="238" t="str">
        <f t="array" ref="H232">INDEX('CENTRO - CESAR'!H:H, MATCH(S232, 'CENTRO - CESAR'!K:K, 0), )</f>
        <v>PERENÉ</v>
      </c>
      <c r="I232" s="239" t="str">
        <f t="array" ref="I232">INDEX('CENTRO - CESAR'!I:I, MATCH(S232, 'CENTRO - CESAR'!K:K, 0), )</f>
        <v>5/09/2025 - Sectoristas - Operativo de acuerdo a lo informado por el presbítero (24 horas)</v>
      </c>
      <c r="J232" s="240">
        <f t="array" ref="J232">INDEX('CENTRO - CESAR'!J:J, MATCH(S232, 'CENTRO - CESAR'!K:K, 0), )</f>
        <v>0</v>
      </c>
      <c r="K232" s="156" t="str">
        <f t="array" ref="K232">INDEX('CENTRO - CESAR'!K:K, MATCH(S232, 'CENTRO - CESAR'!K:K, 0), )</f>
        <v>C - 102</v>
      </c>
      <c r="L232" s="250">
        <f t="array" ref="L232">INDEX('CENTRO - CESAR'!L:L, MATCH(S232, 'CENTRO - CESAR'!K:K, 0), )</f>
        <v>0</v>
      </c>
      <c r="M232" s="251">
        <f t="array" ref="M232">INDEX('CENTRO - CESAR'!M:M, MATCH(S232, 'CENTRO - CESAR'!K:K, 0), )</f>
        <v>0</v>
      </c>
      <c r="N232" s="252">
        <f t="array" ref="N232">INDEX('CENTRO - CESAR'!N:N, MATCH(S232, 'CENTRO - CESAR'!K:K, 0), )</f>
        <v>0</v>
      </c>
      <c r="O232" s="253">
        <f t="array" ref="O232">INDEX('CENTRO - CESAR'!O:O, MATCH(S232, 'CENTRO - CESAR'!K:K, 0), )</f>
        <v>0</v>
      </c>
      <c r="P232" s="236">
        <v>-10.942777777777778</v>
      </c>
      <c r="Q232" s="236">
        <v>-75.231111111111119</v>
      </c>
      <c r="R232" s="243" t="s">
        <v>1657</v>
      </c>
      <c r="S232" s="246" t="s">
        <v>1659</v>
      </c>
      <c r="U232" s="245"/>
    </row>
    <row r="233" spans="1:21" ht="17.25" customHeight="1">
      <c r="A233" s="236">
        <v>232</v>
      </c>
      <c r="B233" s="249" t="str">
        <f t="array" ref="B233">INDEX('CENTRO - CESAR'!B:B, MATCH(S233, 'CENTRO - CESAR'!K:K, 0), )</f>
        <v>Pichanaki</v>
      </c>
      <c r="C233" s="156" t="str">
        <f t="array" ref="C233">INDEX('CENTRO - CESAR'!C:C, MATCH(S233, 'CENTRO - CESAR'!K:K, 0), )</f>
        <v>Junin</v>
      </c>
      <c r="D233" s="156" t="str">
        <f t="array" ref="D233">INDEX('CENTRO - CESAR'!D:D, MATCH(S233, 'CENTRO - CESAR'!K:K, 0), )</f>
        <v>FM</v>
      </c>
      <c r="E233" s="156">
        <f t="array" ref="E233">INDEX('CENTRO - CESAR'!E:E, MATCH(S233, 'CENTRO - CESAR'!K:K, 0), )</f>
        <v>97.9</v>
      </c>
      <c r="F233" s="156">
        <f t="array" ref="F233">INDEX('CENTRO - CESAR'!F:F, MATCH(S233, 'CENTRO - CESAR'!K:K, 0), )</f>
        <v>30</v>
      </c>
      <c r="G233" s="159" t="str">
        <f t="array" ref="G233">INDEX('CENTRO - CESAR'!G:G, MATCH(S233, 'CENTRO - CESAR'!K:K, 0), )</f>
        <v>A.A</v>
      </c>
      <c r="H233" s="238" t="str">
        <f t="array" ref="H233">INDEX('CENTRO - CESAR'!H:H, MATCH(S233, 'CENTRO - CESAR'!K:K, 0), )</f>
        <v>PICHANAKI</v>
      </c>
      <c r="I233" s="239" t="str">
        <f t="array" ref="I233">INDEX('CENTRO - CESAR'!I:I, MATCH(S233, 'CENTRO - CESAR'!K:K, 0), )</f>
        <v>23/10/2025 - Sectoristas - Operativo de acuerdo a lo informado por el pastor de la zona</v>
      </c>
      <c r="J233" s="240">
        <f t="array" ref="J233">INDEX('CENTRO - CESAR'!J:J, MATCH(S233, 'CENTRO - CESAR'!K:K, 0), )</f>
        <v>0</v>
      </c>
      <c r="K233" s="156" t="str">
        <f t="array" ref="K233">INDEX('CENTRO - CESAR'!K:K, MATCH(S233, 'CENTRO - CESAR'!K:K, 0), )</f>
        <v>C - 103</v>
      </c>
      <c r="L233" s="250">
        <f t="array" ref="L233">INDEX('CENTRO - CESAR'!L:L, MATCH(S233, 'CENTRO - CESAR'!K:K, 0), )</f>
        <v>0</v>
      </c>
      <c r="M233" s="251">
        <f t="array" ref="M233">INDEX('CENTRO - CESAR'!M:M, MATCH(S233, 'CENTRO - CESAR'!K:K, 0), )</f>
        <v>0</v>
      </c>
      <c r="N233" s="252">
        <f t="array" ref="N233">INDEX('CENTRO - CESAR'!N:N, MATCH(S233, 'CENTRO - CESAR'!K:K, 0), )</f>
        <v>0</v>
      </c>
      <c r="O233" s="253">
        <f t="array" ref="O233">INDEX('CENTRO - CESAR'!O:O, MATCH(S233, 'CENTRO - CESAR'!K:K, 0), )</f>
        <v>0</v>
      </c>
      <c r="P233" s="236">
        <v>-10.934916666666666</v>
      </c>
      <c r="Q233" s="236">
        <v>-74.878583333333324</v>
      </c>
      <c r="R233" s="243" t="s">
        <v>1660</v>
      </c>
      <c r="S233" s="246" t="s">
        <v>1661</v>
      </c>
      <c r="U233" s="245"/>
    </row>
    <row r="234" spans="1:21" ht="17.25" customHeight="1">
      <c r="A234" s="236">
        <v>233</v>
      </c>
      <c r="B234" s="249" t="str">
        <f t="array" ref="B234">INDEX('CENTRO - CESAR'!B:B, MATCH(S234, 'CENTRO - CESAR'!K:K, 0), )</f>
        <v>Pozuzo</v>
      </c>
      <c r="C234" s="156" t="str">
        <f t="array" ref="C234">INDEX('CENTRO - CESAR'!C:C, MATCH(S234, 'CENTRO - CESAR'!K:K, 0), )</f>
        <v>Pasco</v>
      </c>
      <c r="D234" s="156" t="str">
        <f t="array" ref="D234">INDEX('CENTRO - CESAR'!D:D, MATCH(S234, 'CENTRO - CESAR'!K:K, 0), )</f>
        <v>FM</v>
      </c>
      <c r="E234" s="156">
        <f t="array" ref="E234">INDEX('CENTRO - CESAR'!E:E, MATCH(S234, 'CENTRO - CESAR'!K:K, 0), )</f>
        <v>97.9</v>
      </c>
      <c r="F234" s="156">
        <f t="array" ref="F234">INDEX('CENTRO - CESAR'!F:F, MATCH(S234, 'CENTRO - CESAR'!K:K, 0), )</f>
        <v>118</v>
      </c>
      <c r="G234" s="159" t="str">
        <f t="array" ref="G234">INDEX('CENTRO - CESAR'!G:G, MATCH(S234, 'CENTRO - CESAR'!K:K, 0), )</f>
        <v>A.A</v>
      </c>
      <c r="H234" s="238" t="str">
        <f t="array" ref="H234">INDEX('CENTRO - CESAR'!H:H, MATCH(S234, 'CENTRO - CESAR'!K:K, 0), )</f>
        <v>POZUZO</v>
      </c>
      <c r="I234" s="239" t="str">
        <f t="array" ref="I234">INDEX('CENTRO - CESAR'!I:I, MATCH(S234, 'CENTRO - CESAR'!K:K, 0), )</f>
        <v>31/10/2025 - Sectoristas - Operativo nuevamente de acuerdo a lo informado por el pastor</v>
      </c>
      <c r="J234" s="240">
        <f t="array" ref="J234">INDEX('CENTRO - CESAR'!J:J, MATCH(S234, 'CENTRO - CESAR'!K:K, 0), )</f>
        <v>0</v>
      </c>
      <c r="K234" s="156" t="str">
        <f t="array" ref="K234">INDEX('CENTRO - CESAR'!K:K, MATCH(S234, 'CENTRO - CESAR'!K:K, 0), )</f>
        <v>C - 104</v>
      </c>
      <c r="L234" s="250">
        <f t="array" ref="L234">INDEX('CENTRO - CESAR'!L:L, MATCH(S234, 'CENTRO - CESAR'!K:K, 0), )</f>
        <v>0</v>
      </c>
      <c r="M234" s="251">
        <f t="array" ref="M234">INDEX('CENTRO - CESAR'!M:M, MATCH(S234, 'CENTRO - CESAR'!K:K, 0), )</f>
        <v>0</v>
      </c>
      <c r="N234" s="252">
        <f t="array" ref="N234">INDEX('CENTRO - CESAR'!N:N, MATCH(S234, 'CENTRO - CESAR'!K:K, 0), )</f>
        <v>0</v>
      </c>
      <c r="O234" s="253">
        <f t="array" ref="O234">INDEX('CENTRO - CESAR'!O:O, MATCH(S234, 'CENTRO - CESAR'!K:K, 0), )</f>
        <v>0</v>
      </c>
      <c r="P234" s="236">
        <v>-10.071811111111112</v>
      </c>
      <c r="Q234" s="236">
        <v>-75.549711111111108</v>
      </c>
      <c r="R234" s="243" t="s">
        <v>1662</v>
      </c>
      <c r="S234" s="246" t="s">
        <v>1663</v>
      </c>
      <c r="U234" s="245"/>
    </row>
    <row r="235" spans="1:21" ht="17.25" customHeight="1">
      <c r="A235" s="236">
        <v>234</v>
      </c>
      <c r="B235" s="249" t="str">
        <f t="array" ref="B235">INDEX('CENTRO - CESAR'!B:B, MATCH(S235, 'CENTRO - CESAR'!K:K, 0), )</f>
        <v>Pucallpa</v>
      </c>
      <c r="C235" s="156" t="str">
        <f t="array" ref="C235">INDEX('CENTRO - CESAR'!C:C, MATCH(S235, 'CENTRO - CESAR'!K:K, 0), )</f>
        <v>Ucayali</v>
      </c>
      <c r="D235" s="156" t="str">
        <f t="array" ref="D235">INDEX('CENTRO - CESAR'!D:D, MATCH(S235, 'CENTRO - CESAR'!K:K, 0), )</f>
        <v>UHF</v>
      </c>
      <c r="E235" s="156">
        <f t="array" ref="E235">INDEX('CENTRO - CESAR'!E:E, MATCH(S235, 'CENTRO - CESAR'!K:K, 0), )</f>
        <v>39</v>
      </c>
      <c r="F235" s="156">
        <f t="array" ref="F235">INDEX('CENTRO - CESAR'!F:F, MATCH(S235, 'CENTRO - CESAR'!K:K, 0), )</f>
        <v>17</v>
      </c>
      <c r="G235" s="159" t="str">
        <f t="array" ref="G235">INDEX('CENTRO - CESAR'!G:G, MATCH(S235, 'CENTRO - CESAR'!K:K, 0), )</f>
        <v>A.A</v>
      </c>
      <c r="H235" s="238" t="str">
        <f t="array" ref="H235">INDEX('CENTRO - CESAR'!H:H, MATCH(S235, 'CENTRO - CESAR'!K:K, 0), )</f>
        <v>PUCALLPA</v>
      </c>
      <c r="I235" s="239" t="str">
        <f t="array" ref="I235">INDEX('CENTRO - CESAR'!I:I, MATCH(S235, 'CENTRO - CESAR'!K:K, 0), )</f>
        <v>3/10/2025 - Sectoristas - Operativo de acuerdo a lo informado por el presbítero de la zona</v>
      </c>
      <c r="J235" s="240">
        <f t="array" ref="J235">INDEX('CENTRO - CESAR'!J:J, MATCH(S235, 'CENTRO - CESAR'!K:K, 0), )</f>
        <v>0</v>
      </c>
      <c r="K235" s="156" t="str">
        <f t="array" ref="K235">INDEX('CENTRO - CESAR'!K:K, MATCH(S235, 'CENTRO - CESAR'!K:K, 0), )</f>
        <v>C - 105</v>
      </c>
      <c r="L235" s="250">
        <f t="array" ref="L235">INDEX('CENTRO - CESAR'!L:L, MATCH(S235, 'CENTRO - CESAR'!K:K, 0), )</f>
        <v>0</v>
      </c>
      <c r="M235" s="251">
        <f t="array" ref="M235">INDEX('CENTRO - CESAR'!M:M, MATCH(S235, 'CENTRO - CESAR'!K:K, 0), )</f>
        <v>0</v>
      </c>
      <c r="N235" s="252">
        <f t="array" ref="N235">INDEX('CENTRO - CESAR'!N:N, MATCH(S235, 'CENTRO - CESAR'!K:K, 0), )</f>
        <v>0</v>
      </c>
      <c r="O235" s="253">
        <f t="array" ref="O235">INDEX('CENTRO - CESAR'!O:O, MATCH(S235, 'CENTRO - CESAR'!K:K, 0), )</f>
        <v>0</v>
      </c>
      <c r="P235" s="236">
        <v>-8.3831249999999997</v>
      </c>
      <c r="Q235" s="236">
        <v>-74.533722222222224</v>
      </c>
      <c r="R235" s="243" t="s">
        <v>1664</v>
      </c>
      <c r="S235" s="246" t="s">
        <v>1665</v>
      </c>
      <c r="U235" s="245"/>
    </row>
    <row r="236" spans="1:21" ht="17.25" customHeight="1">
      <c r="A236" s="236">
        <v>235</v>
      </c>
      <c r="B236" s="249" t="str">
        <f t="array" ref="B236">INDEX('CENTRO - CESAR'!B:B, MATCH(S236, 'CENTRO - CESAR'!K:K, 0), )</f>
        <v>Pucallpa - Calleria</v>
      </c>
      <c r="C236" s="156" t="str">
        <f t="array" ref="C236">INDEX('CENTRO - CESAR'!C:C, MATCH(S236, 'CENTRO - CESAR'!K:K, 0), )</f>
        <v>Ucayali</v>
      </c>
      <c r="D236" s="156" t="str">
        <f t="array" ref="D236">INDEX('CENTRO - CESAR'!D:D, MATCH(S236, 'CENTRO - CESAR'!K:K, 0), )</f>
        <v>FM</v>
      </c>
      <c r="E236" s="156">
        <f t="array" ref="E236">INDEX('CENTRO - CESAR'!E:E, MATCH(S236, 'CENTRO - CESAR'!K:K, 0), )</f>
        <v>101.3</v>
      </c>
      <c r="F236" s="156">
        <f t="array" ref="F236">INDEX('CENTRO - CESAR'!F:F, MATCH(S236, 'CENTRO - CESAR'!K:K, 0), )</f>
        <v>17</v>
      </c>
      <c r="G236" s="159" t="str">
        <f t="array" ref="G236">INDEX('CENTRO - CESAR'!G:G, MATCH(S236, 'CENTRO - CESAR'!K:K, 0), )</f>
        <v>A.A</v>
      </c>
      <c r="H236" s="238" t="str">
        <f t="array" ref="H236">INDEX('CENTRO - CESAR'!H:H, MATCH(S236, 'CENTRO - CESAR'!K:K, 0), )</f>
        <v>PUCALLPA</v>
      </c>
      <c r="I236" s="239" t="str">
        <f t="array" ref="I236">INDEX('CENTRO - CESAR'!I:I, MATCH(S236, 'CENTRO - CESAR'!K:K, 0), )</f>
        <v>3/10/2025 - Sectoristas - Operativo de acuerdo a lo informado por el pastor de la zona</v>
      </c>
      <c r="J236" s="240">
        <f t="array" ref="J236">INDEX('CENTRO - CESAR'!J:J, MATCH(S236, 'CENTRO - CESAR'!K:K, 0), )</f>
        <v>0</v>
      </c>
      <c r="K236" s="156" t="str">
        <f t="array" ref="K236">INDEX('CENTRO - CESAR'!K:K, MATCH(S236, 'CENTRO - CESAR'!K:K, 0), )</f>
        <v>C - 106</v>
      </c>
      <c r="L236" s="250">
        <f t="array" ref="L236">INDEX('CENTRO - CESAR'!L:L, MATCH(S236, 'CENTRO - CESAR'!K:K, 0), )</f>
        <v>0</v>
      </c>
      <c r="M236" s="251">
        <f t="array" ref="M236">INDEX('CENTRO - CESAR'!M:M, MATCH(S236, 'CENTRO - CESAR'!K:K, 0), )</f>
        <v>0</v>
      </c>
      <c r="N236" s="252">
        <f t="array" ref="N236">INDEX('CENTRO - CESAR'!N:N, MATCH(S236, 'CENTRO - CESAR'!K:K, 0), )</f>
        <v>0</v>
      </c>
      <c r="O236" s="253">
        <f t="array" ref="O236">INDEX('CENTRO - CESAR'!O:O, MATCH(S236, 'CENTRO - CESAR'!K:K, 0), )</f>
        <v>0</v>
      </c>
      <c r="P236" s="236">
        <v>-8.3831944444444453</v>
      </c>
      <c r="Q236" s="236">
        <v>-74.533722222222224</v>
      </c>
      <c r="R236" s="243" t="s">
        <v>1666</v>
      </c>
      <c r="S236" s="246" t="s">
        <v>1667</v>
      </c>
      <c r="U236" s="245"/>
    </row>
    <row r="237" spans="1:21" ht="17.25" customHeight="1">
      <c r="A237" s="236">
        <v>236</v>
      </c>
      <c r="B237" s="249" t="str">
        <f t="array" ref="B237">INDEX('CENTRO - CESAR'!B:B, MATCH(S237, 'CENTRO - CESAR'!K:K, 0), )</f>
        <v>Puerto Bermudez</v>
      </c>
      <c r="C237" s="156" t="str">
        <f t="array" ref="C237">INDEX('CENTRO - CESAR'!C:C, MATCH(S237, 'CENTRO - CESAR'!K:K, 0), )</f>
        <v>Pasco</v>
      </c>
      <c r="D237" s="156" t="str">
        <f t="array" ref="D237">INDEX('CENTRO - CESAR'!D:D, MATCH(S237, 'CENTRO - CESAR'!K:K, 0), )</f>
        <v>FM</v>
      </c>
      <c r="E237" s="156">
        <f t="array" ref="E237">INDEX('CENTRO - CESAR'!E:E, MATCH(S237, 'CENTRO - CESAR'!K:K, 0), )</f>
        <v>93.7</v>
      </c>
      <c r="F237" s="156">
        <f t="array" ref="F237">INDEX('CENTRO - CESAR'!F:F, MATCH(S237, 'CENTRO - CESAR'!K:K, 0), )</f>
        <v>32</v>
      </c>
      <c r="G237" s="159" t="str">
        <f t="array" ref="G237">INDEX('CENTRO - CESAR'!G:G, MATCH(S237, 'CENTRO - CESAR'!K:K, 0), )</f>
        <v>F.A</v>
      </c>
      <c r="H237" s="238" t="str">
        <f t="array" ref="H237">INDEX('CENTRO - CESAR'!H:H, MATCH(S237, 'CENTRO - CESAR'!K:K, 0), )</f>
        <v>PUERTO BERMUDEZ</v>
      </c>
      <c r="I237" s="239" t="str">
        <f t="array" ref="I237">INDEX('CENTRO - CESAR'!I:I, MATCH(S237, 'CENTRO - CESAR'!K:K, 0), )</f>
        <v>1/12/2025 - Telecomunicaciones - Posible falla en la fuente del transmisor Importado Marca "Harris". el Ps enviará el Tx a Lima</v>
      </c>
      <c r="J237" s="240">
        <f t="array" ref="J237">INDEX('CENTRO - CESAR'!J:J, MATCH(S237, 'CENTRO - CESAR'!K:K, 0), )</f>
        <v>0</v>
      </c>
      <c r="K237" s="156" t="str">
        <f t="array" ref="K237">INDEX('CENTRO - CESAR'!K:K, MATCH(S237, 'CENTRO - CESAR'!K:K, 0), )</f>
        <v>C - 107</v>
      </c>
      <c r="L237" s="250" t="str">
        <f t="array" ref="L237">INDEX('CENTRO - CESAR'!L:L, MATCH(S237, 'CENTRO - CESAR'!K:K, 0), )</f>
        <v>Laboratorio</v>
      </c>
      <c r="M237" s="251" t="str">
        <f t="array" ref="M237">INDEX('CENTRO - CESAR'!M:M, MATCH(S237, 'CENTRO - CESAR'!K:K, 0), )</f>
        <v>Nivel 1</v>
      </c>
      <c r="N237" s="252">
        <f t="array" ref="N237">INDEX('CENTRO - CESAR'!N:N, MATCH(S237, 'CENTRO - CESAR'!K:K, 0), )</f>
        <v>0</v>
      </c>
      <c r="O237" s="253">
        <f t="array" ref="O237">INDEX('CENTRO - CESAR'!O:O, MATCH(S237, 'CENTRO - CESAR'!K:K, 0), )</f>
        <v>0</v>
      </c>
      <c r="P237" s="236">
        <v>-15.031694444444446</v>
      </c>
      <c r="Q237" s="236">
        <v>-74.335972222222225</v>
      </c>
      <c r="R237" s="243" t="s">
        <v>1668</v>
      </c>
      <c r="S237" s="246" t="s">
        <v>1213</v>
      </c>
      <c r="U237" s="245"/>
    </row>
    <row r="238" spans="1:21" ht="17.25" customHeight="1">
      <c r="A238" s="236">
        <v>237</v>
      </c>
      <c r="B238" s="249" t="str">
        <f t="array" ref="B238">INDEX('CENTRO - CESAR'!B:B, MATCH(S238, 'CENTRO - CESAR'!K:K, 0), )</f>
        <v>Puerto Inca</v>
      </c>
      <c r="C238" s="156" t="str">
        <f t="array" ref="C238">INDEX('CENTRO - CESAR'!C:C, MATCH(S238, 'CENTRO - CESAR'!K:K, 0), )</f>
        <v>Huanuco</v>
      </c>
      <c r="D238" s="156" t="str">
        <f t="array" ref="D238">INDEX('CENTRO - CESAR'!D:D, MATCH(S238, 'CENTRO - CESAR'!K:K, 0), )</f>
        <v>FM</v>
      </c>
      <c r="E238" s="156" t="str">
        <f t="array" ref="E238">INDEX('CENTRO - CESAR'!E:E, MATCH(S238, 'CENTRO - CESAR'!K:K, 0), )</f>
        <v>101.7</v>
      </c>
      <c r="F238" s="156">
        <f t="array" ref="F238">INDEX('CENTRO - CESAR'!F:F, MATCH(S238, 'CENTRO - CESAR'!K:K, 0), )</f>
        <v>32</v>
      </c>
      <c r="G238" s="159" t="str">
        <f t="array" ref="G238">INDEX('CENTRO - CESAR'!G:G, MATCH(S238, 'CENTRO - CESAR'!K:K, 0), )</f>
        <v>A.A</v>
      </c>
      <c r="H238" s="238" t="str">
        <f t="array" ref="H238">INDEX('CENTRO - CESAR'!H:H, MATCH(S238, 'CENTRO - CESAR'!K:K, 0), )</f>
        <v>PUERTO INCA</v>
      </c>
      <c r="I238" s="239" t="str">
        <f t="array" ref="I238">INDEX('CENTRO - CESAR'!I:I, MATCH(S238, 'CENTRO - CESAR'!K:K, 0), )</f>
        <v>23/10/2025 - Sectoristas - Operativo de acuerdo a lo informado por el pastor de la zona</v>
      </c>
      <c r="J238" s="240">
        <f t="array" ref="J238">INDEX('CENTRO - CESAR'!J:J, MATCH(S238, 'CENTRO - CESAR'!K:K, 0), )</f>
        <v>0</v>
      </c>
      <c r="K238" s="156" t="str">
        <f t="array" ref="K238">INDEX('CENTRO - CESAR'!K:K, MATCH(S238, 'CENTRO - CESAR'!K:K, 0), )</f>
        <v>C - 108</v>
      </c>
      <c r="L238" s="250">
        <f t="array" ref="L238">INDEX('CENTRO - CESAR'!L:L, MATCH(S238, 'CENTRO - CESAR'!K:K, 0), )</f>
        <v>0</v>
      </c>
      <c r="M238" s="251">
        <f t="array" ref="M238">INDEX('CENTRO - CESAR'!M:M, MATCH(S238, 'CENTRO - CESAR'!K:K, 0), )</f>
        <v>0</v>
      </c>
      <c r="N238" s="252">
        <f t="array" ref="N238">INDEX('CENTRO - CESAR'!N:N, MATCH(S238, 'CENTRO - CESAR'!K:K, 0), )</f>
        <v>0</v>
      </c>
      <c r="O238" s="253">
        <f t="array" ref="O238">INDEX('CENTRO - CESAR'!O:O, MATCH(S238, 'CENTRO - CESAR'!K:K, 0), )</f>
        <v>0</v>
      </c>
      <c r="P238" s="236">
        <v>-9.3752722222222236</v>
      </c>
      <c r="Q238" s="236">
        <v>-74.960266666666669</v>
      </c>
      <c r="R238" s="243" t="s">
        <v>1669</v>
      </c>
      <c r="S238" s="246" t="s">
        <v>1670</v>
      </c>
      <c r="U238" s="245"/>
    </row>
    <row r="239" spans="1:21" ht="17.25" customHeight="1">
      <c r="A239" s="236">
        <v>238</v>
      </c>
      <c r="B239" s="249" t="str">
        <f t="array" ref="B239">INDEX('CENTRO - CESAR'!B:B, MATCH(S239, 'CENTRO - CESAR'!K:K, 0), )</f>
        <v>Puerto Ocopa - Rio Tambo</v>
      </c>
      <c r="C239" s="156" t="str">
        <f t="array" ref="C239">INDEX('CENTRO - CESAR'!C:C, MATCH(S239, 'CENTRO - CESAR'!K:K, 0), )</f>
        <v>Junin</v>
      </c>
      <c r="D239" s="156" t="str">
        <f t="array" ref="D239">INDEX('CENTRO - CESAR'!D:D, MATCH(S239, 'CENTRO - CESAR'!K:K, 0), )</f>
        <v>FM</v>
      </c>
      <c r="E239" s="156">
        <f t="array" ref="E239">INDEX('CENTRO - CESAR'!E:E, MATCH(S239, 'CENTRO - CESAR'!K:K, 0), )</f>
        <v>96.7</v>
      </c>
      <c r="F239" s="156">
        <f t="array" ref="F239">INDEX('CENTRO - CESAR'!F:F, MATCH(S239, 'CENTRO - CESAR'!K:K, 0), )</f>
        <v>75</v>
      </c>
      <c r="G239" s="159" t="str">
        <f t="array" ref="G239">INDEX('CENTRO - CESAR'!G:G, MATCH(S239, 'CENTRO - CESAR'!K:K, 0), )</f>
        <v>A.A</v>
      </c>
      <c r="H239" s="238" t="str">
        <f t="array" ref="H239">INDEX('CENTRO - CESAR'!H:H, MATCH(S239, 'CENTRO - CESAR'!K:K, 0), )</f>
        <v>PUERTO OCOPA</v>
      </c>
      <c r="I239" s="239" t="str">
        <f t="array" ref="I239">INDEX('CENTRO - CESAR'!I:I, MATCH(S239, 'CENTRO - CESAR'!K:K, 0), )</f>
        <v>31/10/2025 - Sectoristas - Operativo de acuerdo a lo informado por el pastor de la zona (04 am a 12 pm)</v>
      </c>
      <c r="J239" s="240">
        <f t="array" ref="J239">INDEX('CENTRO - CESAR'!J:J, MATCH(S239, 'CENTRO - CESAR'!K:K, 0), )</f>
        <v>0</v>
      </c>
      <c r="K239" s="156" t="str">
        <f t="array" ref="K239">INDEX('CENTRO - CESAR'!K:K, MATCH(S239, 'CENTRO - CESAR'!K:K, 0), )</f>
        <v>C - 109</v>
      </c>
      <c r="L239" s="250">
        <f t="array" ref="L239">INDEX('CENTRO - CESAR'!L:L, MATCH(S239, 'CENTRO - CESAR'!K:K, 0), )</f>
        <v>0</v>
      </c>
      <c r="M239" s="251">
        <f t="array" ref="M239">INDEX('CENTRO - CESAR'!M:M, MATCH(S239, 'CENTRO - CESAR'!K:K, 0), )</f>
        <v>0</v>
      </c>
      <c r="N239" s="252">
        <f t="array" ref="N239">INDEX('CENTRO - CESAR'!N:N, MATCH(S239, 'CENTRO - CESAR'!K:K, 0), )</f>
        <v>0</v>
      </c>
      <c r="O239" s="253">
        <f t="array" ref="O239">INDEX('CENTRO - CESAR'!O:O, MATCH(S239, 'CENTRO - CESAR'!K:K, 0), )</f>
        <v>0</v>
      </c>
      <c r="P239" s="236">
        <v>-11.109661111111111</v>
      </c>
      <c r="Q239" s="236">
        <v>-74.291177777777776</v>
      </c>
      <c r="R239" s="243" t="s">
        <v>1671</v>
      </c>
      <c r="S239" s="246" t="s">
        <v>1672</v>
      </c>
      <c r="U239" s="245"/>
    </row>
    <row r="240" spans="1:21" ht="17.25" customHeight="1">
      <c r="A240" s="236">
        <v>239</v>
      </c>
      <c r="B240" s="249" t="str">
        <f t="array" ref="B240">INDEX('CENTRO - CESAR'!B:B, MATCH(S240, 'CENTRO - CESAR'!K:K, 0), )</f>
        <v>Puquio</v>
      </c>
      <c r="C240" s="156" t="str">
        <f t="array" ref="C240">INDEX('CENTRO - CESAR'!C:C, MATCH(S240, 'CENTRO - CESAR'!K:K, 0), )</f>
        <v>Ayacucho</v>
      </c>
      <c r="D240" s="156" t="str">
        <f t="array" ref="D240">INDEX('CENTRO - CESAR'!D:D, MATCH(S240, 'CENTRO - CESAR'!K:K, 0), )</f>
        <v>FM</v>
      </c>
      <c r="E240" s="156">
        <f t="array" ref="E240">INDEX('CENTRO - CESAR'!E:E, MATCH(S240, 'CENTRO - CESAR'!K:K, 0), )</f>
        <v>99.3</v>
      </c>
      <c r="F240" s="156">
        <f t="array" ref="F240">INDEX('CENTRO - CESAR'!F:F, MATCH(S240, 'CENTRO - CESAR'!K:K, 0), )</f>
        <v>99</v>
      </c>
      <c r="G240" s="159" t="str">
        <f t="array" ref="G240">INDEX('CENTRO - CESAR'!G:G, MATCH(S240, 'CENTRO - CESAR'!K:K, 0), )</f>
        <v>A.A</v>
      </c>
      <c r="H240" s="238" t="str">
        <f t="array" ref="H240">INDEX('CENTRO - CESAR'!H:H, MATCH(S240, 'CENTRO - CESAR'!K:K, 0), )</f>
        <v>PUQUIO</v>
      </c>
      <c r="I240" s="239" t="str">
        <f t="array" ref="I240">INDEX('CENTRO - CESAR'!I:I, MATCH(S240, 'CENTRO - CESAR'!K:K, 0), )</f>
        <v>8/09/2025 - Sectoristas - Operativo de acuerdo a lo informado por el presbítero</v>
      </c>
      <c r="J240" s="240">
        <f t="array" ref="J240">INDEX('CENTRO - CESAR'!J:J, MATCH(S240, 'CENTRO - CESAR'!K:K, 0), )</f>
        <v>0</v>
      </c>
      <c r="K240" s="156" t="str">
        <f t="array" ref="K240">INDEX('CENTRO - CESAR'!K:K, MATCH(S240, 'CENTRO - CESAR'!K:K, 0), )</f>
        <v>C - 110</v>
      </c>
      <c r="L240" s="250">
        <f t="array" ref="L240">INDEX('CENTRO - CESAR'!L:L, MATCH(S240, 'CENTRO - CESAR'!K:K, 0), )</f>
        <v>0</v>
      </c>
      <c r="M240" s="251">
        <f t="array" ref="M240">INDEX('CENTRO - CESAR'!M:M, MATCH(S240, 'CENTRO - CESAR'!K:K, 0), )</f>
        <v>0</v>
      </c>
      <c r="N240" s="252">
        <f t="array" ref="N240">INDEX('CENTRO - CESAR'!N:N, MATCH(S240, 'CENTRO - CESAR'!K:K, 0), )</f>
        <v>0</v>
      </c>
      <c r="O240" s="253">
        <f t="array" ref="O240">INDEX('CENTRO - CESAR'!O:O, MATCH(S240, 'CENTRO - CESAR'!K:K, 0), )</f>
        <v>0</v>
      </c>
      <c r="P240" s="236">
        <v>-14.68805</v>
      </c>
      <c r="Q240" s="236">
        <v>-74.130305555555552</v>
      </c>
      <c r="R240" s="243" t="s">
        <v>1673</v>
      </c>
      <c r="S240" s="246" t="s">
        <v>1674</v>
      </c>
      <c r="U240" s="245"/>
    </row>
    <row r="241" spans="1:21" ht="17.25" customHeight="1">
      <c r="A241" s="236">
        <v>240</v>
      </c>
      <c r="B241" s="249" t="str">
        <f t="array" ref="B241">INDEX('CENTRO - CESAR'!B:B, MATCH(S241, 'CENTRO - CESAR'!K:K, 0), )</f>
        <v>Requena</v>
      </c>
      <c r="C241" s="156" t="str">
        <f t="array" ref="C241">INDEX('CENTRO - CESAR'!C:C, MATCH(S241, 'CENTRO - CESAR'!K:K, 0), )</f>
        <v>Loreto</v>
      </c>
      <c r="D241" s="156" t="str">
        <f t="array" ref="D241">INDEX('CENTRO - CESAR'!D:D, MATCH(S241, 'CENTRO - CESAR'!K:K, 0), )</f>
        <v>FM</v>
      </c>
      <c r="E241" s="156">
        <f t="array" ref="E241">INDEX('CENTRO - CESAR'!E:E, MATCH(S241, 'CENTRO - CESAR'!K:K, 0), )</f>
        <v>96.7</v>
      </c>
      <c r="F241" s="156">
        <f t="array" ref="F241">INDEX('CENTRO - CESAR'!F:F, MATCH(S241, 'CENTRO - CESAR'!K:K, 0), )</f>
        <v>44</v>
      </c>
      <c r="G241" s="159" t="str">
        <f t="array" ref="G241">INDEX('CENTRO - CESAR'!G:G, MATCH(S241, 'CENTRO - CESAR'!K:K, 0), )</f>
        <v>A.A</v>
      </c>
      <c r="H241" s="238" t="str">
        <f t="array" ref="H241">INDEX('CENTRO - CESAR'!H:H, MATCH(S241, 'CENTRO - CESAR'!K:K, 0), )</f>
        <v>REQUENA</v>
      </c>
      <c r="I241" s="239" t="str">
        <f t="array" ref="I241">INDEX('CENTRO - CESAR'!I:I, MATCH(S241, 'CENTRO - CESAR'!K:K, 0), )</f>
        <v>9/08/2025 - Ingeniería - La estación se puso nuevamente al aire, después de haber reparado su tx</v>
      </c>
      <c r="J241" s="240">
        <f t="array" ref="J241">INDEX('CENTRO - CESAR'!J:J, MATCH(S241, 'CENTRO - CESAR'!K:K, 0), )</f>
        <v>0</v>
      </c>
      <c r="K241" s="156" t="str">
        <f t="array" ref="K241">INDEX('CENTRO - CESAR'!K:K, MATCH(S241, 'CENTRO - CESAR'!K:K, 0), )</f>
        <v>C - 111</v>
      </c>
      <c r="L241" s="250">
        <f t="array" ref="L241">INDEX('CENTRO - CESAR'!L:L, MATCH(S241, 'CENTRO - CESAR'!K:K, 0), )</f>
        <v>0</v>
      </c>
      <c r="M241" s="251">
        <f t="array" ref="M241">INDEX('CENTRO - CESAR'!M:M, MATCH(S241, 'CENTRO - CESAR'!K:K, 0), )</f>
        <v>0</v>
      </c>
      <c r="N241" s="252">
        <f t="array" ref="N241">INDEX('CENTRO - CESAR'!N:N, MATCH(S241, 'CENTRO - CESAR'!K:K, 0), )</f>
        <v>0</v>
      </c>
      <c r="O241" s="253">
        <f t="array" ref="O241">INDEX('CENTRO - CESAR'!O:O, MATCH(S241, 'CENTRO - CESAR'!K:K, 0), )</f>
        <v>0</v>
      </c>
      <c r="P241" s="236">
        <v>-5.0651388888888889</v>
      </c>
      <c r="Q241" s="236">
        <v>-73.846722222222212</v>
      </c>
      <c r="R241" s="243" t="s">
        <v>1675</v>
      </c>
      <c r="S241" s="246" t="s">
        <v>1676</v>
      </c>
      <c r="U241" s="245"/>
    </row>
    <row r="242" spans="1:21" ht="17.25" customHeight="1">
      <c r="A242" s="236">
        <v>241</v>
      </c>
      <c r="B242" s="249" t="str">
        <f t="array" ref="B242">INDEX('CENTRO - CESAR'!B:B, MATCH(S242, 'CENTRO - CESAR'!K:K, 0), )</f>
        <v>San Alejandro - Irazola</v>
      </c>
      <c r="C242" s="156" t="str">
        <f t="array" ref="C242">INDEX('CENTRO - CESAR'!C:C, MATCH(S242, 'CENTRO - CESAR'!K:K, 0), )</f>
        <v>Ucayali</v>
      </c>
      <c r="D242" s="156" t="str">
        <f t="array" ref="D242">INDEX('CENTRO - CESAR'!D:D, MATCH(S242, 'CENTRO - CESAR'!K:K, 0), )</f>
        <v>FM</v>
      </c>
      <c r="E242" s="156">
        <f t="array" ref="E242">INDEX('CENTRO - CESAR'!E:E, MATCH(S242, 'CENTRO - CESAR'!K:K, 0), )</f>
        <v>92.1</v>
      </c>
      <c r="F242" s="156">
        <f t="array" ref="F242">INDEX('CENTRO - CESAR'!F:F, MATCH(S242, 'CENTRO - CESAR'!K:K, 0), )</f>
        <v>72</v>
      </c>
      <c r="G242" s="159" t="str">
        <f t="array" ref="G242">INDEX('CENTRO - CESAR'!G:G, MATCH(S242, 'CENTRO - CESAR'!K:K, 0), )</f>
        <v>A.A</v>
      </c>
      <c r="H242" s="238" t="str">
        <f t="array" ref="H242">INDEX('CENTRO - CESAR'!H:H, MATCH(S242, 'CENTRO - CESAR'!K:K, 0), )</f>
        <v>SAN ALEJANDRO</v>
      </c>
      <c r="I242" s="239" t="str">
        <f t="array" ref="I242">INDEX('CENTRO - CESAR'!I:I, MATCH(S242, 'CENTRO - CESAR'!K:K, 0), )</f>
        <v>30/10/2025 - Sectoristas - Operativo de acuerdo a lo informado por el pastor de la zona opera las 24 horas del dia</v>
      </c>
      <c r="J242" s="240">
        <f t="array" ref="J242">INDEX('CENTRO - CESAR'!J:J, MATCH(S242, 'CENTRO - CESAR'!K:K, 0), )</f>
        <v>0</v>
      </c>
      <c r="K242" s="156" t="str">
        <f t="array" ref="K242">INDEX('CENTRO - CESAR'!K:K, MATCH(S242, 'CENTRO - CESAR'!K:K, 0), )</f>
        <v>C - 112</v>
      </c>
      <c r="L242" s="250">
        <f t="array" ref="L242">INDEX('CENTRO - CESAR'!L:L, MATCH(S242, 'CENTRO - CESAR'!K:K, 0), )</f>
        <v>0</v>
      </c>
      <c r="M242" s="251">
        <f t="array" ref="M242">INDEX('CENTRO - CESAR'!M:M, MATCH(S242, 'CENTRO - CESAR'!K:K, 0), )</f>
        <v>0</v>
      </c>
      <c r="N242" s="252">
        <f t="array" ref="N242">INDEX('CENTRO - CESAR'!N:N, MATCH(S242, 'CENTRO - CESAR'!K:K, 0), )</f>
        <v>0</v>
      </c>
      <c r="O242" s="253">
        <f t="array" ref="O242">INDEX('CENTRO - CESAR'!O:O, MATCH(S242, 'CENTRO - CESAR'!K:K, 0), )</f>
        <v>0</v>
      </c>
      <c r="P242" s="236">
        <v>-8.8295555555555545</v>
      </c>
      <c r="Q242" s="236">
        <v>-75.219472222222223</v>
      </c>
      <c r="R242" s="243" t="s">
        <v>1677</v>
      </c>
      <c r="S242" s="246" t="s">
        <v>1678</v>
      </c>
      <c r="U242" s="245"/>
    </row>
    <row r="243" spans="1:21" ht="17.25" customHeight="1">
      <c r="A243" s="236">
        <v>242</v>
      </c>
      <c r="B243" s="249" t="str">
        <f t="array" ref="B243">INDEX('CENTRO - CESAR'!B:B, MATCH(S243, 'CENTRO - CESAR'!K:K, 0), )</f>
        <v>San Mateo</v>
      </c>
      <c r="C243" s="156" t="str">
        <f t="array" ref="C243">INDEX('CENTRO - CESAR'!C:C, MATCH(S243, 'CENTRO - CESAR'!K:K, 0), )</f>
        <v>Lima</v>
      </c>
      <c r="D243" s="156" t="str">
        <f t="array" ref="D243">INDEX('CENTRO - CESAR'!D:D, MATCH(S243, 'CENTRO - CESAR'!K:K, 0), )</f>
        <v>FM</v>
      </c>
      <c r="E243" s="156">
        <f t="array" ref="E243">INDEX('CENTRO - CESAR'!E:E, MATCH(S243, 'CENTRO - CESAR'!K:K, 0), )</f>
        <v>92.5</v>
      </c>
      <c r="F243" s="156">
        <f t="array" ref="F243">INDEX('CENTRO - CESAR'!F:F, MATCH(S243, 'CENTRO - CESAR'!K:K, 0), )</f>
        <v>52</v>
      </c>
      <c r="G243" s="159" t="str">
        <f t="array" ref="G243">INDEX('CENTRO - CESAR'!G:G, MATCH(S243, 'CENTRO - CESAR'!K:K, 0), )</f>
        <v>A.A</v>
      </c>
      <c r="H243" s="238" t="str">
        <f t="array" ref="H243">INDEX('CENTRO - CESAR'!H:H, MATCH(S243, 'CENTRO - CESAR'!K:K, 0), )</f>
        <v>SAN MATEO</v>
      </c>
      <c r="I243" s="239" t="str">
        <f t="array" ref="I243">INDEX('CENTRO - CESAR'!I:I, MATCH(S243, 'CENTRO - CESAR'!K:K, 0), )</f>
        <v>28/10/2025 - Sectoristas - Operativo de acuerdo a lo informado por el pastor de la zona</v>
      </c>
      <c r="J243" s="240">
        <f t="array" ref="J243">INDEX('CENTRO - CESAR'!J:J, MATCH(S243, 'CENTRO - CESAR'!K:K, 0), )</f>
        <v>0</v>
      </c>
      <c r="K243" s="156" t="str">
        <f t="array" ref="K243">INDEX('CENTRO - CESAR'!K:K, MATCH(S243, 'CENTRO - CESAR'!K:K, 0), )</f>
        <v>C - 113</v>
      </c>
      <c r="L243" s="250">
        <f t="array" ref="L243">INDEX('CENTRO - CESAR'!L:L, MATCH(S243, 'CENTRO - CESAR'!K:K, 0), )</f>
        <v>0</v>
      </c>
      <c r="M243" s="251">
        <f t="array" ref="M243">INDEX('CENTRO - CESAR'!M:M, MATCH(S243, 'CENTRO - CESAR'!K:K, 0), )</f>
        <v>0</v>
      </c>
      <c r="N243" s="252">
        <f t="array" ref="N243">INDEX('CENTRO - CESAR'!N:N, MATCH(S243, 'CENTRO - CESAR'!K:K, 0), )</f>
        <v>0</v>
      </c>
      <c r="O243" s="253">
        <f t="array" ref="O243">INDEX('CENTRO - CESAR'!O:O, MATCH(S243, 'CENTRO - CESAR'!K:K, 0), )</f>
        <v>0</v>
      </c>
      <c r="P243" s="236">
        <v>-11.761519444444444</v>
      </c>
      <c r="Q243" s="236">
        <v>-76.304249999999996</v>
      </c>
      <c r="R243" s="243" t="s">
        <v>1679</v>
      </c>
      <c r="S243" s="246" t="s">
        <v>1680</v>
      </c>
      <c r="U243" s="245"/>
    </row>
    <row r="244" spans="1:21" ht="17.25" customHeight="1">
      <c r="A244" s="236">
        <v>243</v>
      </c>
      <c r="B244" s="249" t="str">
        <f t="array" ref="B244">INDEX('CENTRO - CESAR'!B:B, MATCH(S244, 'CENTRO - CESAR'!K:K, 0), )</f>
        <v>San Miguel</v>
      </c>
      <c r="C244" s="156" t="str">
        <f t="array" ref="C244">INDEX('CENTRO - CESAR'!C:C, MATCH(S244, 'CENTRO - CESAR'!K:K, 0), )</f>
        <v>Ayacucho</v>
      </c>
      <c r="D244" s="156" t="str">
        <f t="array" ref="D244">INDEX('CENTRO - CESAR'!D:D, MATCH(S244, 'CENTRO - CESAR'!K:K, 0), )</f>
        <v>FM</v>
      </c>
      <c r="E244" s="156">
        <f t="array" ref="E244">INDEX('CENTRO - CESAR'!E:E, MATCH(S244, 'CENTRO - CESAR'!K:K, 0), )</f>
        <v>93.5</v>
      </c>
      <c r="F244" s="156">
        <f t="array" ref="F244">INDEX('CENTRO - CESAR'!F:F, MATCH(S244, 'CENTRO - CESAR'!K:K, 0), )</f>
        <v>13</v>
      </c>
      <c r="G244" s="159" t="str">
        <f t="array" ref="G244">INDEX('CENTRO - CESAR'!G:G, MATCH(S244, 'CENTRO - CESAR'!K:K, 0), )</f>
        <v>A.A</v>
      </c>
      <c r="H244" s="238" t="str">
        <f t="array" ref="H244">INDEX('CENTRO - CESAR'!H:H, MATCH(S244, 'CENTRO - CESAR'!K:K, 0), )</f>
        <v>SAN MIGUEL</v>
      </c>
      <c r="I244" s="239" t="str">
        <f t="array" ref="I244">INDEX('CENTRO - CESAR'!I:I, MATCH(S244, 'CENTRO - CESAR'!K:K, 0), )</f>
        <v>3/10/2025 - Sectoristas - Operativo de acuerdo a lo informado por el pastor de la zona</v>
      </c>
      <c r="J244" s="240">
        <f t="array" ref="J244">INDEX('CENTRO - CESAR'!J:J, MATCH(S244, 'CENTRO - CESAR'!K:K, 0), )</f>
        <v>0</v>
      </c>
      <c r="K244" s="156" t="str">
        <f t="array" ref="K244">INDEX('CENTRO - CESAR'!K:K, MATCH(S244, 'CENTRO - CESAR'!K:K, 0), )</f>
        <v>C - 114</v>
      </c>
      <c r="L244" s="250">
        <f t="array" ref="L244">INDEX('CENTRO - CESAR'!L:L, MATCH(S244, 'CENTRO - CESAR'!K:K, 0), )</f>
        <v>0</v>
      </c>
      <c r="M244" s="251">
        <f t="array" ref="M244">INDEX('CENTRO - CESAR'!M:M, MATCH(S244, 'CENTRO - CESAR'!K:K, 0), )</f>
        <v>0</v>
      </c>
      <c r="N244" s="252">
        <f t="array" ref="N244">INDEX('CENTRO - CESAR'!N:N, MATCH(S244, 'CENTRO - CESAR'!K:K, 0), )</f>
        <v>0</v>
      </c>
      <c r="O244" s="253">
        <f t="array" ref="O244">INDEX('CENTRO - CESAR'!O:O, MATCH(S244, 'CENTRO - CESAR'!K:K, 0), )</f>
        <v>0</v>
      </c>
      <c r="P244" s="236">
        <v>-13.011261111111111</v>
      </c>
      <c r="Q244" s="236">
        <v>-73.940100000000001</v>
      </c>
      <c r="R244" s="243" t="s">
        <v>1681</v>
      </c>
      <c r="S244" s="246" t="s">
        <v>1682</v>
      </c>
      <c r="U244" s="245"/>
    </row>
    <row r="245" spans="1:21" ht="17.25" customHeight="1">
      <c r="A245" s="236">
        <v>244</v>
      </c>
      <c r="B245" s="249" t="str">
        <f t="array" ref="B245">INDEX('CENTRO - CESAR'!B:B, MATCH(S245, 'CENTRO - CESAR'!K:K, 0), )</f>
        <v>San Miguel</v>
      </c>
      <c r="C245" s="156" t="str">
        <f t="array" ref="C245">INDEX('CENTRO - CESAR'!C:C, MATCH(S245, 'CENTRO - CESAR'!K:K, 0), )</f>
        <v>Ayacucho</v>
      </c>
      <c r="D245" s="156" t="str">
        <f t="array" ref="D245">INDEX('CENTRO - CESAR'!D:D, MATCH(S245, 'CENTRO - CESAR'!K:K, 0), )</f>
        <v>VHF</v>
      </c>
      <c r="E245" s="156">
        <f t="array" ref="E245">INDEX('CENTRO - CESAR'!E:E, MATCH(S245, 'CENTRO - CESAR'!K:K, 0), )</f>
        <v>9</v>
      </c>
      <c r="F245" s="156">
        <f t="array" ref="F245">INDEX('CENTRO - CESAR'!F:F, MATCH(S245, 'CENTRO - CESAR'!K:K, 0), )</f>
        <v>13</v>
      </c>
      <c r="G245" s="159" t="str">
        <f t="array" ref="G245">INDEX('CENTRO - CESAR'!G:G, MATCH(S245, 'CENTRO - CESAR'!K:K, 0), )</f>
        <v>A.A</v>
      </c>
      <c r="H245" s="238" t="str">
        <f t="array" ref="H245">INDEX('CENTRO - CESAR'!H:H, MATCH(S245, 'CENTRO - CESAR'!K:K, 0), )</f>
        <v>SAN MIGUEL</v>
      </c>
      <c r="I245" s="239" t="str">
        <f t="array" ref="I245">INDEX('CENTRO - CESAR'!I:I, MATCH(S245, 'CENTRO - CESAR'!K:K, 0), )</f>
        <v>3/10/2025 - Sectoristas - Operativo de acuerdo a lo informado por el pastor de la zona</v>
      </c>
      <c r="J245" s="240">
        <f t="array" ref="J245">INDEX('CENTRO - CESAR'!J:J, MATCH(S245, 'CENTRO - CESAR'!K:K, 0), )</f>
        <v>0</v>
      </c>
      <c r="K245" s="156" t="str">
        <f t="array" ref="K245">INDEX('CENTRO - CESAR'!K:K, MATCH(S245, 'CENTRO - CESAR'!K:K, 0), )</f>
        <v>C - 115</v>
      </c>
      <c r="L245" s="250">
        <f t="array" ref="L245">INDEX('CENTRO - CESAR'!L:L, MATCH(S245, 'CENTRO - CESAR'!K:K, 0), )</f>
        <v>0</v>
      </c>
      <c r="M245" s="251">
        <f t="array" ref="M245">INDEX('CENTRO - CESAR'!M:M, MATCH(S245, 'CENTRO - CESAR'!K:K, 0), )</f>
        <v>0</v>
      </c>
      <c r="N245" s="252">
        <f t="array" ref="N245">INDEX('CENTRO - CESAR'!N:N, MATCH(S245, 'CENTRO - CESAR'!K:K, 0), )</f>
        <v>0</v>
      </c>
      <c r="O245" s="253">
        <f t="array" ref="O245">INDEX('CENTRO - CESAR'!O:O, MATCH(S245, 'CENTRO - CESAR'!K:K, 0), )</f>
        <v>0</v>
      </c>
      <c r="P245" s="236">
        <v>-13.006083333333333</v>
      </c>
      <c r="Q245" s="236">
        <v>-73.981027777777783</v>
      </c>
      <c r="R245" s="243" t="s">
        <v>1683</v>
      </c>
      <c r="S245" s="246" t="s">
        <v>1684</v>
      </c>
      <c r="U245" s="245"/>
    </row>
    <row r="246" spans="1:21" ht="17.25" customHeight="1">
      <c r="A246" s="236">
        <v>245</v>
      </c>
      <c r="B246" s="249" t="str">
        <f t="array" ref="B246">INDEX('CENTRO - CESAR'!B:B, MATCH(S246, 'CENTRO - CESAR'!K:K, 0), )</f>
        <v>San Pablo de Loreto</v>
      </c>
      <c r="C246" s="156" t="str">
        <f t="array" ref="C246">INDEX('CENTRO - CESAR'!C:C, MATCH(S246, 'CENTRO - CESAR'!K:K, 0), )</f>
        <v>Loreto</v>
      </c>
      <c r="D246" s="156" t="str">
        <f t="array" ref="D246">INDEX('CENTRO - CESAR'!D:D, MATCH(S246, 'CENTRO - CESAR'!K:K, 0), )</f>
        <v>FM</v>
      </c>
      <c r="E246" s="156" t="str">
        <f t="array" ref="E246">INDEX('CENTRO - CESAR'!E:E, MATCH(S246, 'CENTRO - CESAR'!K:K, 0), )</f>
        <v>101.3</v>
      </c>
      <c r="F246" s="156">
        <f t="array" ref="F246">INDEX('CENTRO - CESAR'!F:F, MATCH(S246, 'CENTRO - CESAR'!K:K, 0), )</f>
        <v>43</v>
      </c>
      <c r="G246" s="159" t="str">
        <f t="array" ref="G246">INDEX('CENTRO - CESAR'!G:G, MATCH(S246, 'CENTRO - CESAR'!K:K, 0), )</f>
        <v>A.A</v>
      </c>
      <c r="H246" s="238" t="str">
        <f t="array" ref="H246">INDEX('CENTRO - CESAR'!H:H, MATCH(S246, 'CENTRO - CESAR'!K:K, 0), )</f>
        <v>SAN PABLO</v>
      </c>
      <c r="I246" s="239" t="str">
        <f t="array" ref="I246">INDEX('CENTRO - CESAR'!I:I, MATCH(S246, 'CENTRO - CESAR'!K:K, 0), )</f>
        <v>28/10/2025 - Sectoristas - Operativo de acuerdo a lo informado por el pastor de la zona</v>
      </c>
      <c r="J246" s="240">
        <f t="array" ref="J246">INDEX('CENTRO - CESAR'!J:J, MATCH(S246, 'CENTRO - CESAR'!K:K, 0), )</f>
        <v>0</v>
      </c>
      <c r="K246" s="156" t="str">
        <f t="array" ref="K246">INDEX('CENTRO - CESAR'!K:K, MATCH(S246, 'CENTRO - CESAR'!K:K, 0), )</f>
        <v>C - 116</v>
      </c>
      <c r="L246" s="250">
        <f t="array" ref="L246">INDEX('CENTRO - CESAR'!L:L, MATCH(S246, 'CENTRO - CESAR'!K:K, 0), )</f>
        <v>0</v>
      </c>
      <c r="M246" s="251">
        <f t="array" ref="M246">INDEX('CENTRO - CESAR'!M:M, MATCH(S246, 'CENTRO - CESAR'!K:K, 0), )</f>
        <v>0</v>
      </c>
      <c r="N246" s="252">
        <f t="array" ref="N246">INDEX('CENTRO - CESAR'!N:N, MATCH(S246, 'CENTRO - CESAR'!K:K, 0), )</f>
        <v>0</v>
      </c>
      <c r="O246" s="253">
        <f t="array" ref="O246">INDEX('CENTRO - CESAR'!O:O, MATCH(S246, 'CENTRO - CESAR'!K:K, 0), )</f>
        <v>0</v>
      </c>
      <c r="P246" s="236">
        <v>-4.0210944444444445</v>
      </c>
      <c r="Q246" s="236">
        <v>-71.103161111111106</v>
      </c>
      <c r="R246" s="243" t="s">
        <v>1685</v>
      </c>
      <c r="S246" s="246" t="s">
        <v>1686</v>
      </c>
      <c r="U246" s="245"/>
    </row>
    <row r="247" spans="1:21" ht="17.25" customHeight="1">
      <c r="A247" s="236">
        <v>246</v>
      </c>
      <c r="B247" s="249" t="str">
        <f t="array" ref="B247">INDEX('CENTRO - CESAR'!B:B, MATCH(S247, 'CENTRO - CESAR'!K:K, 0), )</f>
        <v>San Pedro de Cajas</v>
      </c>
      <c r="C247" s="156" t="str">
        <f t="array" ref="C247">INDEX('CENTRO - CESAR'!C:C, MATCH(S247, 'CENTRO - CESAR'!K:K, 0), )</f>
        <v>Junin</v>
      </c>
      <c r="D247" s="156" t="str">
        <f t="array" ref="D247">INDEX('CENTRO - CESAR'!D:D, MATCH(S247, 'CENTRO - CESAR'!K:K, 0), )</f>
        <v>VHF</v>
      </c>
      <c r="E247" s="156">
        <f t="array" ref="E247">INDEX('CENTRO - CESAR'!E:E, MATCH(S247, 'CENTRO - CESAR'!K:K, 0), )</f>
        <v>9</v>
      </c>
      <c r="F247" s="156">
        <f t="array" ref="F247">INDEX('CENTRO - CESAR'!F:F, MATCH(S247, 'CENTRO - CESAR'!K:K, 0), )</f>
        <v>76</v>
      </c>
      <c r="G247" s="159" t="str">
        <f t="array" ref="G247">INDEX('CENTRO - CESAR'!G:G, MATCH(S247, 'CENTRO - CESAR'!K:K, 0), )</f>
        <v>A.A</v>
      </c>
      <c r="H247" s="238" t="str">
        <f t="array" ref="H247">INDEX('CENTRO - CESAR'!H:H, MATCH(S247, 'CENTRO - CESAR'!K:K, 0), )</f>
        <v>SAN PEDRO DE CAJAS</v>
      </c>
      <c r="I247" s="239" t="str">
        <f t="array" ref="I247">INDEX('CENTRO - CESAR'!I:I, MATCH(S247, 'CENTRO - CESAR'!K:K, 0), )</f>
        <v>30/10/2025 - Sectoristas - Operativo de acuerdo a lo informado por el pastor de la zona</v>
      </c>
      <c r="J247" s="240">
        <f t="array" ref="J247">INDEX('CENTRO - CESAR'!J:J, MATCH(S247, 'CENTRO - CESAR'!K:K, 0), )</f>
        <v>0</v>
      </c>
      <c r="K247" s="156" t="str">
        <f t="array" ref="K247">INDEX('CENTRO - CESAR'!K:K, MATCH(S247, 'CENTRO - CESAR'!K:K, 0), )</f>
        <v>C - 117</v>
      </c>
      <c r="L247" s="250">
        <f t="array" ref="L247">INDEX('CENTRO - CESAR'!L:L, MATCH(S247, 'CENTRO - CESAR'!K:K, 0), )</f>
        <v>0</v>
      </c>
      <c r="M247" s="251">
        <f t="array" ref="M247">INDEX('CENTRO - CESAR'!M:M, MATCH(S247, 'CENTRO - CESAR'!K:K, 0), )</f>
        <v>0</v>
      </c>
      <c r="N247" s="252">
        <f t="array" ref="N247">INDEX('CENTRO - CESAR'!N:N, MATCH(S247, 'CENTRO - CESAR'!K:K, 0), )</f>
        <v>0</v>
      </c>
      <c r="O247" s="253">
        <f t="array" ref="O247">INDEX('CENTRO - CESAR'!O:O, MATCH(S247, 'CENTRO - CESAR'!K:K, 0), )</f>
        <v>0</v>
      </c>
      <c r="P247" s="236">
        <v>-11.2416</v>
      </c>
      <c r="Q247" s="236">
        <v>-75.862269444444436</v>
      </c>
      <c r="R247" s="243" t="s">
        <v>1687</v>
      </c>
      <c r="S247" s="246" t="s">
        <v>1688</v>
      </c>
      <c r="U247" s="245"/>
    </row>
    <row r="248" spans="1:21" ht="17.25" customHeight="1">
      <c r="A248" s="236">
        <v>247</v>
      </c>
      <c r="B248" s="249" t="str">
        <f t="array" ref="B248">INDEX('CENTRO - CESAR'!B:B, MATCH(S248, 'CENTRO - CESAR'!K:K, 0), )</f>
        <v>San Ramon</v>
      </c>
      <c r="C248" s="156" t="str">
        <f t="array" ref="C248">INDEX('CENTRO - CESAR'!C:C, MATCH(S248, 'CENTRO - CESAR'!K:K, 0), )</f>
        <v>Junin</v>
      </c>
      <c r="D248" s="156" t="str">
        <f t="array" ref="D248">INDEX('CENTRO - CESAR'!D:D, MATCH(S248, 'CENTRO - CESAR'!K:K, 0), )</f>
        <v>FM</v>
      </c>
      <c r="E248" s="156">
        <f t="array" ref="E248">INDEX('CENTRO - CESAR'!E:E, MATCH(S248, 'CENTRO - CESAR'!K:K, 0), )</f>
        <v>106.3</v>
      </c>
      <c r="F248" s="156">
        <f t="array" ref="F248">INDEX('CENTRO - CESAR'!F:F, MATCH(S248, 'CENTRO - CESAR'!K:K, 0), )</f>
        <v>74</v>
      </c>
      <c r="G248" s="159" t="str">
        <f t="array" ref="G248">INDEX('CENTRO - CESAR'!G:G, MATCH(S248, 'CENTRO - CESAR'!K:K, 0), )</f>
        <v>A.A</v>
      </c>
      <c r="H248" s="238" t="str">
        <f t="array" ref="H248">INDEX('CENTRO - CESAR'!H:H, MATCH(S248, 'CENTRO - CESAR'!K:K, 0), )</f>
        <v>SAN RAMON</v>
      </c>
      <c r="I248" s="239" t="str">
        <f t="array" ref="I248">INDEX('CENTRO - CESAR'!I:I, MATCH(S248, 'CENTRO - CESAR'!K:K, 0), )</f>
        <v>23/10/2025 - Sectoristas - Operativo de acuerdo a lo informado por el presbítero (24 horas)</v>
      </c>
      <c r="J248" s="240">
        <f t="array" ref="J248">INDEX('CENTRO - CESAR'!J:J, MATCH(S248, 'CENTRO - CESAR'!K:K, 0), )</f>
        <v>0</v>
      </c>
      <c r="K248" s="156" t="str">
        <f t="array" ref="K248">INDEX('CENTRO - CESAR'!K:K, MATCH(S248, 'CENTRO - CESAR'!K:K, 0), )</f>
        <v>C - 118</v>
      </c>
      <c r="L248" s="250">
        <f t="array" ref="L248">INDEX('CENTRO - CESAR'!L:L, MATCH(S248, 'CENTRO - CESAR'!K:K, 0), )</f>
        <v>0</v>
      </c>
      <c r="M248" s="251">
        <f t="array" ref="M248">INDEX('CENTRO - CESAR'!M:M, MATCH(S248, 'CENTRO - CESAR'!K:K, 0), )</f>
        <v>0</v>
      </c>
      <c r="N248" s="252">
        <f t="array" ref="N248">INDEX('CENTRO - CESAR'!N:N, MATCH(S248, 'CENTRO - CESAR'!K:K, 0), )</f>
        <v>0</v>
      </c>
      <c r="O248" s="253">
        <f t="array" ref="O248">INDEX('CENTRO - CESAR'!O:O, MATCH(S248, 'CENTRO - CESAR'!K:K, 0), )</f>
        <v>0</v>
      </c>
      <c r="P248" s="236">
        <v>-11.077888888888889</v>
      </c>
      <c r="Q248" s="236">
        <v>-75.321138888888882</v>
      </c>
      <c r="R248" s="243" t="s">
        <v>1306</v>
      </c>
      <c r="S248" s="246" t="s">
        <v>1689</v>
      </c>
      <c r="U248" s="245"/>
    </row>
    <row r="249" spans="1:21" ht="17.25" customHeight="1">
      <c r="A249" s="236">
        <v>248</v>
      </c>
      <c r="B249" s="249" t="str">
        <f t="array" ref="B249">INDEX('CENTRO - CESAR'!B:B, MATCH(S249, 'CENTRO - CESAR'!K:K, 0), )</f>
        <v>Sancos</v>
      </c>
      <c r="C249" s="156" t="str">
        <f t="array" ref="C249">INDEX('CENTRO - CESAR'!C:C, MATCH(S249, 'CENTRO - CESAR'!K:K, 0), )</f>
        <v>Ayacucho</v>
      </c>
      <c r="D249" s="156" t="str">
        <f t="array" ref="D249">INDEX('CENTRO - CESAR'!D:D, MATCH(S249, 'CENTRO - CESAR'!K:K, 0), )</f>
        <v>VHF</v>
      </c>
      <c r="E249" s="156">
        <f t="array" ref="E249">INDEX('CENTRO - CESAR'!E:E, MATCH(S249, 'CENTRO - CESAR'!K:K, 0), )</f>
        <v>6</v>
      </c>
      <c r="F249" s="156">
        <f t="array" ref="F249">INDEX('CENTRO - CESAR'!F:F, MATCH(S249, 'CENTRO - CESAR'!K:K, 0), )</f>
        <v>13</v>
      </c>
      <c r="G249" s="159" t="str">
        <f t="array" ref="G249">INDEX('CENTRO - CESAR'!G:G, MATCH(S249, 'CENTRO - CESAR'!K:K, 0), )</f>
        <v>A.A</v>
      </c>
      <c r="H249" s="238" t="str">
        <f t="array" ref="H249">INDEX('CENTRO - CESAR'!H:H, MATCH(S249, 'CENTRO - CESAR'!K:K, 0), )</f>
        <v>SANCOS</v>
      </c>
      <c r="I249" s="239" t="str">
        <f t="array" ref="I249">INDEX('CENTRO - CESAR'!I:I, MATCH(S249, 'CENTRO - CESAR'!K:K, 0), )</f>
        <v>3/10/2025 - Sectoristas - Operativo de acuerdo a lo informado por el pastor de la zona (06 Am a 08 Pm)</v>
      </c>
      <c r="J249" s="240">
        <f t="array" ref="J249">INDEX('CENTRO - CESAR'!J:J, MATCH(S249, 'CENTRO - CESAR'!K:K, 0), )</f>
        <v>0</v>
      </c>
      <c r="K249" s="156" t="str">
        <f t="array" ref="K249">INDEX('CENTRO - CESAR'!K:K, MATCH(S249, 'CENTRO - CESAR'!K:K, 0), )</f>
        <v>C - 119</v>
      </c>
      <c r="L249" s="250">
        <f t="array" ref="L249">INDEX('CENTRO - CESAR'!L:L, MATCH(S249, 'CENTRO - CESAR'!K:K, 0), )</f>
        <v>0</v>
      </c>
      <c r="M249" s="251">
        <f t="array" ref="M249">INDEX('CENTRO - CESAR'!M:M, MATCH(S249, 'CENTRO - CESAR'!K:K, 0), )</f>
        <v>0</v>
      </c>
      <c r="N249" s="252">
        <f t="array" ref="N249">INDEX('CENTRO - CESAR'!N:N, MATCH(S249, 'CENTRO - CESAR'!K:K, 0), )</f>
        <v>0</v>
      </c>
      <c r="O249" s="253">
        <f t="array" ref="O249">INDEX('CENTRO - CESAR'!O:O, MATCH(S249, 'CENTRO - CESAR'!K:K, 0), )</f>
        <v>0</v>
      </c>
      <c r="P249" s="236">
        <v>-13.919805555555556</v>
      </c>
      <c r="Q249" s="236">
        <v>-74.336555555555549</v>
      </c>
      <c r="R249" s="243" t="s">
        <v>1690</v>
      </c>
      <c r="S249" s="246" t="s">
        <v>1691</v>
      </c>
      <c r="U249" s="245"/>
    </row>
    <row r="250" spans="1:21" ht="17.25" customHeight="1">
      <c r="A250" s="236">
        <v>249</v>
      </c>
      <c r="B250" s="249" t="str">
        <f t="array" ref="B250">INDEX('CENTRO - CESAR'!B:B, MATCH(S250, 'CENTRO - CESAR'!K:K, 0), )</f>
        <v>Santa Clotilde - Napo</v>
      </c>
      <c r="C250" s="156" t="str">
        <f t="array" ref="C250">INDEX('CENTRO - CESAR'!C:C, MATCH(S250, 'CENTRO - CESAR'!K:K, 0), )</f>
        <v>Loreto</v>
      </c>
      <c r="D250" s="156" t="str">
        <f t="array" ref="D250">INDEX('CENTRO - CESAR'!D:D, MATCH(S250, 'CENTRO - CESAR'!K:K, 0), )</f>
        <v>FM</v>
      </c>
      <c r="E250" s="156">
        <f t="array" ref="E250">INDEX('CENTRO - CESAR'!E:E, MATCH(S250, 'CENTRO - CESAR'!K:K, 0), )</f>
        <v>97.7</v>
      </c>
      <c r="F250" s="156">
        <f t="array" ref="F250">INDEX('CENTRO - CESAR'!F:F, MATCH(S250, 'CENTRO - CESAR'!K:K, 0), )</f>
        <v>103</v>
      </c>
      <c r="G250" s="159" t="str">
        <f t="array" ref="G250">INDEX('CENTRO - CESAR'!G:G, MATCH(S250, 'CENTRO - CESAR'!K:K, 0), )</f>
        <v>A.A</v>
      </c>
      <c r="H250" s="238" t="str">
        <f t="array" ref="H250">INDEX('CENTRO - CESAR'!H:H, MATCH(S250, 'CENTRO - CESAR'!K:K, 0), )</f>
        <v>SANTA CLOTILDE</v>
      </c>
      <c r="I250" s="239" t="str">
        <f t="array" ref="I250">INDEX('CENTRO - CESAR'!I:I, MATCH(S250, 'CENTRO - CESAR'!K:K, 0), )</f>
        <v>30/10/2025 - Sectoristas - Operativo de acuerdo a lo informado por el pasto de la zona</v>
      </c>
      <c r="J250" s="240">
        <f t="array" ref="J250">INDEX('CENTRO - CESAR'!J:J, MATCH(S250, 'CENTRO - CESAR'!K:K, 0), )</f>
        <v>0</v>
      </c>
      <c r="K250" s="156" t="str">
        <f t="array" ref="K250">INDEX('CENTRO - CESAR'!K:K, MATCH(S250, 'CENTRO - CESAR'!K:K, 0), )</f>
        <v>C - 120</v>
      </c>
      <c r="L250" s="250">
        <f t="array" ref="L250">INDEX('CENTRO - CESAR'!L:L, MATCH(S250, 'CENTRO - CESAR'!K:K, 0), )</f>
        <v>0</v>
      </c>
      <c r="M250" s="251">
        <f t="array" ref="M250">INDEX('CENTRO - CESAR'!M:M, MATCH(S250, 'CENTRO - CESAR'!K:K, 0), )</f>
        <v>0</v>
      </c>
      <c r="N250" s="252">
        <f t="array" ref="N250">INDEX('CENTRO - CESAR'!N:N, MATCH(S250, 'CENTRO - CESAR'!K:K, 0), )</f>
        <v>0</v>
      </c>
      <c r="O250" s="253">
        <f t="array" ref="O250">INDEX('CENTRO - CESAR'!O:O, MATCH(S250, 'CENTRO - CESAR'!K:K, 0), )</f>
        <v>0</v>
      </c>
      <c r="P250" s="236">
        <v>-2.4900277777777777</v>
      </c>
      <c r="Q250" s="236">
        <v>-73.684600000000003</v>
      </c>
      <c r="R250" s="243" t="s">
        <v>1692</v>
      </c>
      <c r="S250" s="246" t="s">
        <v>1693</v>
      </c>
      <c r="U250" s="245"/>
    </row>
    <row r="251" spans="1:21" ht="17.25" customHeight="1">
      <c r="A251" s="236">
        <v>250</v>
      </c>
      <c r="B251" s="249" t="str">
        <f t="array" ref="B251">INDEX('CENTRO - CESAR'!B:B, MATCH(S251, 'CENTRO - CESAR'!K:K, 0), )</f>
        <v>Santa Eulalia</v>
      </c>
      <c r="C251" s="156" t="str">
        <f t="array" ref="C251">INDEX('CENTRO - CESAR'!C:C, MATCH(S251, 'CENTRO - CESAR'!K:K, 0), )</f>
        <v>Lima</v>
      </c>
      <c r="D251" s="156" t="str">
        <f t="array" ref="D251">INDEX('CENTRO - CESAR'!D:D, MATCH(S251, 'CENTRO - CESAR'!K:K, 0), )</f>
        <v>FM</v>
      </c>
      <c r="E251" s="156">
        <f t="array" ref="E251">INDEX('CENTRO - CESAR'!E:E, MATCH(S251, 'CENTRO - CESAR'!K:K, 0), )</f>
        <v>90.9</v>
      </c>
      <c r="F251" s="156">
        <f t="array" ref="F251">INDEX('CENTRO - CESAR'!F:F, MATCH(S251, 'CENTRO - CESAR'!K:K, 0), )</f>
        <v>52</v>
      </c>
      <c r="G251" s="159" t="str">
        <f t="array" ref="G251">INDEX('CENTRO - CESAR'!G:G, MATCH(S251, 'CENTRO - CESAR'!K:K, 0), )</f>
        <v>A.A</v>
      </c>
      <c r="H251" s="238" t="str">
        <f t="array" ref="H251">INDEX('CENTRO - CESAR'!H:H, MATCH(S251, 'CENTRO - CESAR'!K:K, 0), )</f>
        <v>SANTA EULALIA</v>
      </c>
      <c r="I251" s="239" t="str">
        <f t="array" ref="I251">INDEX('CENTRO - CESAR'!I:I, MATCH(S251, 'CENTRO - CESAR'!K:K, 0), )</f>
        <v>30/10/2025 - Sectoristas - Operativo de acuerdo a lo informado por el hno José apoyo de la zona 52</v>
      </c>
      <c r="J251" s="240">
        <f t="array" ref="J251">INDEX('CENTRO - CESAR'!J:J, MATCH(S251, 'CENTRO - CESAR'!K:K, 0), )</f>
        <v>0</v>
      </c>
      <c r="K251" s="156" t="str">
        <f t="array" ref="K251">INDEX('CENTRO - CESAR'!K:K, MATCH(S251, 'CENTRO - CESAR'!K:K, 0), )</f>
        <v>C - 121</v>
      </c>
      <c r="L251" s="250">
        <f t="array" ref="L251">INDEX('CENTRO - CESAR'!L:L, MATCH(S251, 'CENTRO - CESAR'!K:K, 0), )</f>
        <v>0</v>
      </c>
      <c r="M251" s="251">
        <f t="array" ref="M251">INDEX('CENTRO - CESAR'!M:M, MATCH(S251, 'CENTRO - CESAR'!K:K, 0), )</f>
        <v>0</v>
      </c>
      <c r="N251" s="252">
        <f t="array" ref="N251">INDEX('CENTRO - CESAR'!N:N, MATCH(S251, 'CENTRO - CESAR'!K:K, 0), )</f>
        <v>0</v>
      </c>
      <c r="O251" s="253">
        <f t="array" ref="O251">INDEX('CENTRO - CESAR'!O:O, MATCH(S251, 'CENTRO - CESAR'!K:K, 0), )</f>
        <v>0</v>
      </c>
      <c r="P251" s="236">
        <v>-11.913333333333334</v>
      </c>
      <c r="Q251" s="236">
        <v>-76.669444444444451</v>
      </c>
      <c r="R251" s="243" t="s">
        <v>1694</v>
      </c>
      <c r="S251" s="246" t="s">
        <v>1695</v>
      </c>
      <c r="U251" s="245"/>
    </row>
    <row r="252" spans="1:21" ht="17.25" customHeight="1">
      <c r="A252" s="236">
        <v>251</v>
      </c>
      <c r="B252" s="249" t="str">
        <f t="array" ref="B252">INDEX('CENTRO - CESAR'!B:B, MATCH(S252, 'CENTRO - CESAR'!K:K, 0), )</f>
        <v>Santa Maria de Nanay</v>
      </c>
      <c r="C252" s="156" t="str">
        <f t="array" ref="C252">INDEX('CENTRO - CESAR'!C:C, MATCH(S252, 'CENTRO - CESAR'!K:K, 0), )</f>
        <v>Loreto</v>
      </c>
      <c r="D252" s="156" t="str">
        <f t="array" ref="D252">INDEX('CENTRO - CESAR'!D:D, MATCH(S252, 'CENTRO - CESAR'!K:K, 0), )</f>
        <v>FM</v>
      </c>
      <c r="E252" s="156" t="str">
        <f t="array" ref="E252">INDEX('CENTRO - CESAR'!E:E, MATCH(S252, 'CENTRO - CESAR'!K:K, 0), )</f>
        <v>94.5</v>
      </c>
      <c r="F252" s="156">
        <f t="array" ref="F252">INDEX('CENTRO - CESAR'!F:F, MATCH(S252, 'CENTRO - CESAR'!K:K, 0), )</f>
        <v>5</v>
      </c>
      <c r="G252" s="159" t="str">
        <f t="array" ref="G252">INDEX('CENTRO - CESAR'!G:G, MATCH(S252, 'CENTRO - CESAR'!K:K, 0), )</f>
        <v>F.A</v>
      </c>
      <c r="H252" s="238" t="str">
        <f t="array" ref="H252">INDEX('CENTRO - CESAR'!H:H, MATCH(S252, 'CENTRO - CESAR'!K:K, 0), )</f>
        <v>NANAY</v>
      </c>
      <c r="I252" s="239" t="str">
        <f t="array" ref="I252">INDEX('CENTRO - CESAR'!I:I, MATCH(S252, 'CENTRO - CESAR'!K:K, 0), )</f>
        <v>2/12/2025 - Sectoristas - Informar que la estación se encuentra inoperativo de acuerdo a lo informado por el pastor de la zona en esta sema lo estará poniendo operativo</v>
      </c>
      <c r="J252" s="240">
        <f t="array" ref="J252">INDEX('CENTRO - CESAR'!J:J, MATCH(S252, 'CENTRO - CESAR'!K:K, 0), )</f>
        <v>0</v>
      </c>
      <c r="K252" s="156" t="str">
        <f t="array" ref="K252">INDEX('CENTRO - CESAR'!K:K, MATCH(S252, 'CENTRO - CESAR'!K:K, 0), )</f>
        <v>C - 122</v>
      </c>
      <c r="L252" s="250" t="str">
        <f t="array" ref="L252">INDEX('CENTRO - CESAR'!L:L, MATCH(S252, 'CENTRO - CESAR'!K:K, 0), )</f>
        <v>Sectoristas</v>
      </c>
      <c r="M252" s="251" t="str">
        <f t="array" ref="M252">INDEX('CENTRO - CESAR'!M:M, MATCH(S252, 'CENTRO - CESAR'!K:K, 0), )</f>
        <v>Nivel 1</v>
      </c>
      <c r="N252" s="252">
        <f t="array" ref="N252">INDEX('CENTRO - CESAR'!N:N, MATCH(S252, 'CENTRO - CESAR'!K:K, 0), )</f>
        <v>0</v>
      </c>
      <c r="O252" s="253">
        <f t="array" ref="O252">INDEX('CENTRO - CESAR'!O:O, MATCH(S252, 'CENTRO - CESAR'!K:K, 0), )</f>
        <v>0</v>
      </c>
      <c r="P252" s="236">
        <v>-3.8872611111111111</v>
      </c>
      <c r="Q252" s="236">
        <v>-73.696988888888896</v>
      </c>
      <c r="R252" s="243" t="s">
        <v>1696</v>
      </c>
      <c r="S252" s="246" t="s">
        <v>1212</v>
      </c>
      <c r="U252" s="245"/>
    </row>
    <row r="253" spans="1:21" ht="17.25" customHeight="1">
      <c r="A253" s="236">
        <v>252</v>
      </c>
      <c r="B253" s="249" t="str">
        <f t="array" ref="B253">INDEX('CENTRO - CESAR'!B:B, MATCH(S253, 'CENTRO - CESAR'!K:K, 0), )</f>
        <v>Santa Rosa</v>
      </c>
      <c r="C253" s="156" t="str">
        <f t="array" ref="C253">INDEX('CENTRO - CESAR'!C:C, MATCH(S253, 'CENTRO - CESAR'!K:K, 0), )</f>
        <v>Ayacucho</v>
      </c>
      <c r="D253" s="156" t="str">
        <f t="array" ref="D253">INDEX('CENTRO - CESAR'!D:D, MATCH(S253, 'CENTRO - CESAR'!K:K, 0), )</f>
        <v>FM</v>
      </c>
      <c r="E253" s="156">
        <f t="array" ref="E253">INDEX('CENTRO - CESAR'!E:E, MATCH(S253, 'CENTRO - CESAR'!K:K, 0), )</f>
        <v>95.9</v>
      </c>
      <c r="F253" s="156">
        <f t="array" ref="F253">INDEX('CENTRO - CESAR'!F:F, MATCH(S253, 'CENTRO - CESAR'!K:K, 0), )</f>
        <v>60</v>
      </c>
      <c r="G253" s="159" t="str">
        <f t="array" ref="G253">INDEX('CENTRO - CESAR'!G:G, MATCH(S253, 'CENTRO - CESAR'!K:K, 0), )</f>
        <v>A.A</v>
      </c>
      <c r="H253" s="238" t="str">
        <f t="array" ref="H253">INDEX('CENTRO - CESAR'!H:H, MATCH(S253, 'CENTRO - CESAR'!K:K, 0), )</f>
        <v>SANTA ROSA</v>
      </c>
      <c r="I253" s="239" t="str">
        <f t="array" ref="I253">INDEX('CENTRO - CESAR'!I:I, MATCH(S253, 'CENTRO - CESAR'!K:K, 0), )</f>
        <v>30/10/2025 - Sectoristas - Operativo de acuerdo a lo informado por el pastor de la zona</v>
      </c>
      <c r="J253" s="240">
        <f t="array" ref="J253">INDEX('CENTRO - CESAR'!J:J, MATCH(S253, 'CENTRO - CESAR'!K:K, 0), )</f>
        <v>0</v>
      </c>
      <c r="K253" s="156" t="str">
        <f t="array" ref="K253">INDEX('CENTRO - CESAR'!K:K, MATCH(S253, 'CENTRO - CESAR'!K:K, 0), )</f>
        <v>C - 123</v>
      </c>
      <c r="L253" s="250">
        <f t="array" ref="L253">INDEX('CENTRO - CESAR'!L:L, MATCH(S253, 'CENTRO - CESAR'!K:K, 0), )</f>
        <v>0</v>
      </c>
      <c r="M253" s="251">
        <f t="array" ref="M253">INDEX('CENTRO - CESAR'!M:M, MATCH(S253, 'CENTRO - CESAR'!K:K, 0), )</f>
        <v>0</v>
      </c>
      <c r="N253" s="252">
        <f t="array" ref="N253">INDEX('CENTRO - CESAR'!N:N, MATCH(S253, 'CENTRO - CESAR'!K:K, 0), )</f>
        <v>0</v>
      </c>
      <c r="O253" s="253">
        <f t="array" ref="O253">INDEX('CENTRO - CESAR'!O:O, MATCH(S253, 'CENTRO - CESAR'!K:K, 0), )</f>
        <v>0</v>
      </c>
      <c r="P253" s="236">
        <v>-12.687472222222222</v>
      </c>
      <c r="Q253" s="236">
        <v>-73.736555555555555</v>
      </c>
      <c r="R253" s="243" t="s">
        <v>1697</v>
      </c>
      <c r="S253" s="246" t="s">
        <v>1698</v>
      </c>
      <c r="U253" s="245"/>
    </row>
    <row r="254" spans="1:21" ht="17.25" customHeight="1">
      <c r="A254" s="236">
        <v>253</v>
      </c>
      <c r="B254" s="249" t="str">
        <f t="array" ref="B254">INDEX('CENTRO - CESAR'!B:B, MATCH(S254, 'CENTRO - CESAR'!K:K, 0), )</f>
        <v>Santa Rosa</v>
      </c>
      <c r="C254" s="156" t="str">
        <f t="array" ref="C254">INDEX('CENTRO - CESAR'!C:C, MATCH(S254, 'CENTRO - CESAR'!K:K, 0), )</f>
        <v>Ayacucho</v>
      </c>
      <c r="D254" s="156" t="str">
        <f t="array" ref="D254">INDEX('CENTRO - CESAR'!D:D, MATCH(S254, 'CENTRO - CESAR'!K:K, 0), )</f>
        <v>VHF</v>
      </c>
      <c r="E254" s="156">
        <f t="array" ref="E254">INDEX('CENTRO - CESAR'!E:E, MATCH(S254, 'CENTRO - CESAR'!K:K, 0), )</f>
        <v>12</v>
      </c>
      <c r="F254" s="156">
        <f t="array" ref="F254">INDEX('CENTRO - CESAR'!F:F, MATCH(S254, 'CENTRO - CESAR'!K:K, 0), )</f>
        <v>60</v>
      </c>
      <c r="G254" s="159" t="str">
        <f t="array" ref="G254">INDEX('CENTRO - CESAR'!G:G, MATCH(S254, 'CENTRO - CESAR'!K:K, 0), )</f>
        <v>A.A</v>
      </c>
      <c r="H254" s="238" t="str">
        <f t="array" ref="H254">INDEX('CENTRO - CESAR'!H:H, MATCH(S254, 'CENTRO - CESAR'!K:K, 0), )</f>
        <v>SANTA ROSA</v>
      </c>
      <c r="I254" s="239" t="str">
        <f t="array" ref="I254">INDEX('CENTRO - CESAR'!I:I, MATCH(S254, 'CENTRO - CESAR'!K:K, 0), )</f>
        <v>30/10/2025 - Sectoristas - Operativo de acuerdo a lo informado por el pastor de la zona</v>
      </c>
      <c r="J254" s="240">
        <f t="array" ref="J254">INDEX('CENTRO - CESAR'!J:J, MATCH(S254, 'CENTRO - CESAR'!K:K, 0), )</f>
        <v>0</v>
      </c>
      <c r="K254" s="156" t="str">
        <f t="array" ref="K254">INDEX('CENTRO - CESAR'!K:K, MATCH(S254, 'CENTRO - CESAR'!K:K, 0), )</f>
        <v>C - 124</v>
      </c>
      <c r="L254" s="250">
        <f t="array" ref="L254">INDEX('CENTRO - CESAR'!L:L, MATCH(S254, 'CENTRO - CESAR'!K:K, 0), )</f>
        <v>0</v>
      </c>
      <c r="M254" s="251">
        <f t="array" ref="M254">INDEX('CENTRO - CESAR'!M:M, MATCH(S254, 'CENTRO - CESAR'!K:K, 0), )</f>
        <v>0</v>
      </c>
      <c r="N254" s="252">
        <f t="array" ref="N254">INDEX('CENTRO - CESAR'!N:N, MATCH(S254, 'CENTRO - CESAR'!K:K, 0), )</f>
        <v>0</v>
      </c>
      <c r="O254" s="253">
        <f t="array" ref="O254">INDEX('CENTRO - CESAR'!O:O, MATCH(S254, 'CENTRO - CESAR'!K:K, 0), )</f>
        <v>0</v>
      </c>
      <c r="P254" s="236">
        <v>-12.687472222222222</v>
      </c>
      <c r="Q254" s="236">
        <v>-73.736555555555555</v>
      </c>
      <c r="R254" s="243" t="s">
        <v>1697</v>
      </c>
      <c r="S254" s="246" t="s">
        <v>1699</v>
      </c>
      <c r="U254" s="245"/>
    </row>
    <row r="255" spans="1:21" ht="17.25" customHeight="1">
      <c r="A255" s="236">
        <v>254</v>
      </c>
      <c r="B255" s="249" t="str">
        <f t="array" ref="B255">INDEX('CENTRO - CESAR'!B:B, MATCH(S255, 'CENTRO - CESAR'!K:K, 0), )</f>
        <v>Santa Rosa de Quives</v>
      </c>
      <c r="C255" s="156" t="str">
        <f t="array" ref="C255">INDEX('CENTRO - CESAR'!C:C, MATCH(S255, 'CENTRO - CESAR'!K:K, 0), )</f>
        <v>Lima</v>
      </c>
      <c r="D255" s="156" t="str">
        <f t="array" ref="D255">INDEX('CENTRO - CESAR'!D:D, MATCH(S255, 'CENTRO - CESAR'!K:K, 0), )</f>
        <v>FM</v>
      </c>
      <c r="E255" s="156">
        <f t="array" ref="E255">INDEX('CENTRO - CESAR'!E:E, MATCH(S255, 'CENTRO - CESAR'!K:K, 0), )</f>
        <v>94.5</v>
      </c>
      <c r="F255" s="156">
        <f t="array" ref="F255">INDEX('CENTRO - CESAR'!F:F, MATCH(S255, 'CENTRO - CESAR'!K:K, 0), )</f>
        <v>88</v>
      </c>
      <c r="G255" s="159" t="str">
        <f t="array" ref="G255">INDEX('CENTRO - CESAR'!G:G, MATCH(S255, 'CENTRO - CESAR'!K:K, 0), )</f>
        <v>F.A</v>
      </c>
      <c r="H255" s="238" t="str">
        <f t="array" ref="H255">INDEX('CENTRO - CESAR'!H:H, MATCH(S255, 'CENTRO - CESAR'!K:K, 0), )</f>
        <v>SANTA ROSA DE QUIVES</v>
      </c>
      <c r="I255" s="239" t="str">
        <f t="array" ref="I255">INDEX('CENTRO - CESAR'!I:I, MATCH(S255, 'CENTRO - CESAR'!K:K, 0), )</f>
        <v>14/11/2025 - Sectoristas - Estacion inoperativa desde el dia de ayer 13 de noviembre, de acuerdo a la visita del hno Israel encontró la radio con 30w, antenas en mal estado por tanto se trajo el tx a Lima para su revisión. Asimismo, se ha recogido coordenadas para un posible cambio de ubicación previo analisis de ingenieria.</v>
      </c>
      <c r="J255" s="240">
        <f t="array" ref="J255">INDEX('CENTRO - CESAR'!J:J, MATCH(S255, 'CENTRO - CESAR'!K:K, 0), )</f>
        <v>0</v>
      </c>
      <c r="K255" s="156" t="str">
        <f t="array" ref="K255">INDEX('CENTRO - CESAR'!K:K, MATCH(S255, 'CENTRO - CESAR'!K:K, 0), )</f>
        <v>C - 125</v>
      </c>
      <c r="L255" s="250">
        <f t="array" ref="L255">INDEX('CENTRO - CESAR'!L:L, MATCH(S255, 'CENTRO - CESAR'!K:K, 0), )</f>
        <v>0</v>
      </c>
      <c r="M255" s="251">
        <f t="array" ref="M255">INDEX('CENTRO - CESAR'!M:M, MATCH(S255, 'CENTRO - CESAR'!K:K, 0), )</f>
        <v>0</v>
      </c>
      <c r="N255" s="252">
        <f t="array" ref="N255">INDEX('CENTRO - CESAR'!N:N, MATCH(S255, 'CENTRO - CESAR'!K:K, 0), )</f>
        <v>0</v>
      </c>
      <c r="O255" s="253">
        <f t="array" ref="O255">INDEX('CENTRO - CESAR'!O:O, MATCH(S255, 'CENTRO - CESAR'!K:K, 0), )</f>
        <v>0</v>
      </c>
      <c r="P255" s="236">
        <v>-11.722061111111111</v>
      </c>
      <c r="Q255" s="236">
        <v>-76.963947222222231</v>
      </c>
      <c r="R255" s="243" t="s">
        <v>1700</v>
      </c>
      <c r="S255" s="246" t="s">
        <v>1221</v>
      </c>
      <c r="U255" s="245"/>
    </row>
    <row r="256" spans="1:21" ht="17.25" customHeight="1">
      <c r="A256" s="236">
        <v>255</v>
      </c>
      <c r="B256" s="249" t="str">
        <f t="array" ref="B256">INDEX('CENTRO - CESAR'!B:B, MATCH(S256, 'CENTRO - CESAR'!K:K, 0), )</f>
        <v>Saramiriza - Manseruche</v>
      </c>
      <c r="C256" s="156" t="str">
        <f t="array" ref="C256">INDEX('CENTRO - CESAR'!C:C, MATCH(S256, 'CENTRO - CESAR'!K:K, 0), )</f>
        <v>Loreto</v>
      </c>
      <c r="D256" s="156" t="str">
        <f t="array" ref="D256">INDEX('CENTRO - CESAR'!D:D, MATCH(S256, 'CENTRO - CESAR'!K:K, 0), )</f>
        <v>FM</v>
      </c>
      <c r="E256" s="156">
        <f t="array" ref="E256">INDEX('CENTRO - CESAR'!E:E, MATCH(S256, 'CENTRO - CESAR'!K:K, 0), )</f>
        <v>97.1</v>
      </c>
      <c r="F256" s="156">
        <f t="array" ref="F256">INDEX('CENTRO - CESAR'!F:F, MATCH(S256, 'CENTRO - CESAR'!K:K, 0), )</f>
        <v>46</v>
      </c>
      <c r="G256" s="159" t="str">
        <f t="array" ref="G256">INDEX('CENTRO - CESAR'!G:G, MATCH(S256, 'CENTRO - CESAR'!K:K, 0), )</f>
        <v>N.I</v>
      </c>
      <c r="H256" s="238" t="str">
        <f t="array" ref="H256">INDEX('CENTRO - CESAR'!H:H, MATCH(S256, 'CENTRO - CESAR'!K:K, 0), )</f>
        <v>SARAMIRIZA</v>
      </c>
      <c r="I256" s="239" t="str">
        <f t="array" ref="I256">INDEX('CENTRO - CESAR'!I:I, MATCH(S256, 'CENTRO - CESAR'!K:K, 0), )</f>
        <v>27/03/25 - Sectorista - NO HAY OBRA</v>
      </c>
      <c r="J256" s="240">
        <f t="array" ref="J256">INDEX('CENTRO - CESAR'!J:J, MATCH(S256, 'CENTRO - CESAR'!K:K, 0), )</f>
        <v>0</v>
      </c>
      <c r="K256" s="156" t="str">
        <f t="array" ref="K256">INDEX('CENTRO - CESAR'!K:K, MATCH(S256, 'CENTRO - CESAR'!K:K, 0), )</f>
        <v>C - 126</v>
      </c>
      <c r="L256" s="250">
        <f t="array" ref="L256">INDEX('CENTRO - CESAR'!L:L, MATCH(S256, 'CENTRO - CESAR'!K:K, 0), )</f>
        <v>0</v>
      </c>
      <c r="M256" s="251">
        <f t="array" ref="M256">INDEX('CENTRO - CESAR'!M:M, MATCH(S256, 'CENTRO - CESAR'!K:K, 0), )</f>
        <v>0</v>
      </c>
      <c r="N256" s="252">
        <f t="array" ref="N256">INDEX('CENTRO - CESAR'!N:N, MATCH(S256, 'CENTRO - CESAR'!K:K, 0), )</f>
        <v>0</v>
      </c>
      <c r="O256" s="253">
        <f t="array" ref="O256">INDEX('CENTRO - CESAR'!O:O, MATCH(S256, 'CENTRO - CESAR'!K:K, 0), )</f>
        <v>0</v>
      </c>
      <c r="P256" s="236">
        <v>-4.5724027777777776</v>
      </c>
      <c r="Q256" s="236">
        <v>-72.431372222222222</v>
      </c>
      <c r="R256" s="243" t="s">
        <v>1701</v>
      </c>
      <c r="S256" s="246" t="s">
        <v>1702</v>
      </c>
      <c r="U256" s="245"/>
    </row>
    <row r="257" spans="1:21" ht="17.25" customHeight="1">
      <c r="A257" s="236">
        <v>256</v>
      </c>
      <c r="B257" s="249" t="str">
        <f t="array" ref="B257">INDEX('CENTRO - CESAR'!B:B, MATCH(S257, 'CENTRO - CESAR'!K:K, 0), )</f>
        <v>Satipo</v>
      </c>
      <c r="C257" s="156" t="str">
        <f t="array" ref="C257">INDEX('CENTRO - CESAR'!C:C, MATCH(S257, 'CENTRO - CESAR'!K:K, 0), )</f>
        <v>Junin</v>
      </c>
      <c r="D257" s="156" t="str">
        <f t="array" ref="D257">INDEX('CENTRO - CESAR'!D:D, MATCH(S257, 'CENTRO - CESAR'!K:K, 0), )</f>
        <v>VHF</v>
      </c>
      <c r="E257" s="156">
        <f t="array" ref="E257">INDEX('CENTRO - CESAR'!E:E, MATCH(S257, 'CENTRO - CESAR'!K:K, 0), )</f>
        <v>5</v>
      </c>
      <c r="F257" s="156">
        <f t="array" ref="F257">INDEX('CENTRO - CESAR'!F:F, MATCH(S257, 'CENTRO - CESAR'!K:K, 0), )</f>
        <v>30</v>
      </c>
      <c r="G257" s="159" t="str">
        <f t="array" ref="G257">INDEX('CENTRO - CESAR'!G:G, MATCH(S257, 'CENTRO - CESAR'!K:K, 0), )</f>
        <v>A.A</v>
      </c>
      <c r="H257" s="238" t="str">
        <f t="array" ref="H257">INDEX('CENTRO - CESAR'!H:H, MATCH(S257, 'CENTRO - CESAR'!K:K, 0), )</f>
        <v>SATIPO</v>
      </c>
      <c r="I257" s="239" t="str">
        <f t="array" ref="I257">INDEX('CENTRO - CESAR'!I:I, MATCH(S257, 'CENTRO - CESAR'!K:K, 0), )</f>
        <v>23/10/2025 - Sectoristas - Operativo de acuerdo a lo informado por el presbítero (24 horas)</v>
      </c>
      <c r="J257" s="240">
        <f t="array" ref="J257">INDEX('CENTRO - CESAR'!J:J, MATCH(S257, 'CENTRO - CESAR'!K:K, 0), )</f>
        <v>0</v>
      </c>
      <c r="K257" s="156" t="str">
        <f t="array" ref="K257">INDEX('CENTRO - CESAR'!K:K, MATCH(S257, 'CENTRO - CESAR'!K:K, 0), )</f>
        <v>C - 127</v>
      </c>
      <c r="L257" s="250">
        <f t="array" ref="L257">INDEX('CENTRO - CESAR'!L:L, MATCH(S257, 'CENTRO - CESAR'!K:K, 0), )</f>
        <v>0</v>
      </c>
      <c r="M257" s="251">
        <f t="array" ref="M257">INDEX('CENTRO - CESAR'!M:M, MATCH(S257, 'CENTRO - CESAR'!K:K, 0), )</f>
        <v>0</v>
      </c>
      <c r="N257" s="252">
        <f t="array" ref="N257">INDEX('CENTRO - CESAR'!N:N, MATCH(S257, 'CENTRO - CESAR'!K:K, 0), )</f>
        <v>0</v>
      </c>
      <c r="O257" s="253">
        <f t="array" ref="O257">INDEX('CENTRO - CESAR'!O:O, MATCH(S257, 'CENTRO - CESAR'!K:K, 0), )</f>
        <v>0</v>
      </c>
      <c r="R257" s="248"/>
      <c r="S257" s="246" t="s">
        <v>1703</v>
      </c>
      <c r="U257" s="245"/>
    </row>
    <row r="258" spans="1:21" ht="17.25" customHeight="1">
      <c r="A258" s="236">
        <v>257</v>
      </c>
      <c r="B258" s="249" t="str">
        <f t="array" ref="B258">INDEX('CENTRO - CESAR'!B:B, MATCH(S258, 'CENTRO - CESAR'!K:K, 0), )</f>
        <v>Satipo</v>
      </c>
      <c r="C258" s="156" t="str">
        <f t="array" ref="C258">INDEX('CENTRO - CESAR'!C:C, MATCH(S258, 'CENTRO - CESAR'!K:K, 0), )</f>
        <v>Junin</v>
      </c>
      <c r="D258" s="156" t="str">
        <f t="array" ref="D258">INDEX('CENTRO - CESAR'!D:D, MATCH(S258, 'CENTRO - CESAR'!K:K, 0), )</f>
        <v>FM</v>
      </c>
      <c r="E258" s="156">
        <f t="array" ref="E258">INDEX('CENTRO - CESAR'!E:E, MATCH(S258, 'CENTRO - CESAR'!K:K, 0), )</f>
        <v>101.1</v>
      </c>
      <c r="F258" s="156">
        <f t="array" ref="F258">INDEX('CENTRO - CESAR'!F:F, MATCH(S258, 'CENTRO - CESAR'!K:K, 0), )</f>
        <v>30</v>
      </c>
      <c r="G258" s="159" t="str">
        <f t="array" ref="G258">INDEX('CENTRO - CESAR'!G:G, MATCH(S258, 'CENTRO - CESAR'!K:K, 0), )</f>
        <v>A.A</v>
      </c>
      <c r="H258" s="238" t="str">
        <f t="array" ref="H258">INDEX('CENTRO - CESAR'!H:H, MATCH(S258, 'CENTRO - CESAR'!K:K, 0), )</f>
        <v>SATIPO</v>
      </c>
      <c r="I258" s="239" t="str">
        <f t="array" ref="I258">INDEX('CENTRO - CESAR'!I:I, MATCH(S258, 'CENTRO - CESAR'!K:K, 0), )</f>
        <v>23/10/2025 - Sectoristas - Operativo de acuerdo a lo informado por el presbítero (24 horas)</v>
      </c>
      <c r="J258" s="240">
        <f t="array" ref="J258">INDEX('CENTRO - CESAR'!J:J, MATCH(S258, 'CENTRO - CESAR'!K:K, 0), )</f>
        <v>0</v>
      </c>
      <c r="K258" s="156" t="str">
        <f t="array" ref="K258">INDEX('CENTRO - CESAR'!K:K, MATCH(S258, 'CENTRO - CESAR'!K:K, 0), )</f>
        <v>C - 128</v>
      </c>
      <c r="L258" s="250">
        <f t="array" ref="L258">INDEX('CENTRO - CESAR'!L:L, MATCH(S258, 'CENTRO - CESAR'!K:K, 0), )</f>
        <v>0</v>
      </c>
      <c r="M258" s="251">
        <f t="array" ref="M258">INDEX('CENTRO - CESAR'!M:M, MATCH(S258, 'CENTRO - CESAR'!K:K, 0), )</f>
        <v>0</v>
      </c>
      <c r="N258" s="252">
        <f t="array" ref="N258">INDEX('CENTRO - CESAR'!N:N, MATCH(S258, 'CENTRO - CESAR'!K:K, 0), )</f>
        <v>0</v>
      </c>
      <c r="O258" s="253">
        <f t="array" ref="O258">INDEX('CENTRO - CESAR'!O:O, MATCH(S258, 'CENTRO - CESAR'!K:K, 0), )</f>
        <v>0</v>
      </c>
      <c r="P258" s="236">
        <v>-11.264277777777778</v>
      </c>
      <c r="Q258" s="236">
        <v>-74.631833333333333</v>
      </c>
      <c r="R258" s="243" t="s">
        <v>1704</v>
      </c>
      <c r="S258" s="246" t="s">
        <v>1705</v>
      </c>
      <c r="U258" s="245"/>
    </row>
    <row r="259" spans="1:21" ht="17.25" customHeight="1">
      <c r="A259" s="236">
        <v>258</v>
      </c>
      <c r="B259" s="249" t="str">
        <f t="array" ref="B259">INDEX('CENTRO - CESAR'!B:B, MATCH(S259, 'CENTRO - CESAR'!K:K, 0), )</f>
        <v>Sayan</v>
      </c>
      <c r="C259" s="156" t="str">
        <f t="array" ref="C259">INDEX('CENTRO - CESAR'!C:C, MATCH(S259, 'CENTRO - CESAR'!K:K, 0), )</f>
        <v>Lima</v>
      </c>
      <c r="D259" s="156" t="str">
        <f t="array" ref="D259">INDEX('CENTRO - CESAR'!D:D, MATCH(S259, 'CENTRO - CESAR'!K:K, 0), )</f>
        <v>FM</v>
      </c>
      <c r="E259" s="156">
        <f t="array" ref="E259">INDEX('CENTRO - CESAR'!E:E, MATCH(S259, 'CENTRO - CESAR'!K:K, 0), )</f>
        <v>97.1</v>
      </c>
      <c r="F259" s="156">
        <f t="array" ref="F259">INDEX('CENTRO - CESAR'!F:F, MATCH(S259, 'CENTRO - CESAR'!K:K, 0), )</f>
        <v>147</v>
      </c>
      <c r="G259" s="159" t="str">
        <f t="array" ref="G259">INDEX('CENTRO - CESAR'!G:G, MATCH(S259, 'CENTRO - CESAR'!K:K, 0), )</f>
        <v>A.A</v>
      </c>
      <c r="H259" s="238" t="str">
        <f t="array" ref="H259">INDEX('CENTRO - CESAR'!H:H, MATCH(S259, 'CENTRO - CESAR'!K:K, 0), )</f>
        <v>SAYAN</v>
      </c>
      <c r="I259" s="239" t="str">
        <f t="array" ref="I259">INDEX('CENTRO - CESAR'!I:I, MATCH(S259, 'CENTRO - CESAR'!K:K, 0), )</f>
        <v>12/11/2025 - Sectoristas - El día de hoy 12 de noviembre el hno Israel quien estuvo en la estación, atendiéndola técnicamente señalo que se encuentra operativa.</v>
      </c>
      <c r="J259" s="240" t="str">
        <f t="array" ref="J259">INDEX('CENTRO - CESAR'!J:J, MATCH(S259, 'CENTRO - CESAR'!K:K, 0), )</f>
        <v>T</v>
      </c>
      <c r="K259" s="156" t="str">
        <f t="array" ref="K259">INDEX('CENTRO - CESAR'!K:K, MATCH(S259, 'CENTRO - CESAR'!K:K, 0), )</f>
        <v>C - 129</v>
      </c>
      <c r="L259" s="250">
        <f t="array" ref="L259">INDEX('CENTRO - CESAR'!L:L, MATCH(S259, 'CENTRO - CESAR'!K:K, 0), )</f>
        <v>0</v>
      </c>
      <c r="M259" s="251">
        <f t="array" ref="M259">INDEX('CENTRO - CESAR'!M:M, MATCH(S259, 'CENTRO - CESAR'!K:K, 0), )</f>
        <v>0</v>
      </c>
      <c r="N259" s="252">
        <f t="array" ref="N259">INDEX('CENTRO - CESAR'!N:N, MATCH(S259, 'CENTRO - CESAR'!K:K, 0), )</f>
        <v>0</v>
      </c>
      <c r="O259" s="253">
        <f t="array" ref="O259">INDEX('CENTRO - CESAR'!O:O, MATCH(S259, 'CENTRO - CESAR'!K:K, 0), )</f>
        <v>0</v>
      </c>
      <c r="P259" s="236">
        <v>-11.145433333333333</v>
      </c>
      <c r="Q259" s="236">
        <v>-77.246547222222219</v>
      </c>
      <c r="R259" s="243" t="s">
        <v>1706</v>
      </c>
      <c r="S259" s="246" t="s">
        <v>1707</v>
      </c>
      <c r="U259" s="245"/>
    </row>
    <row r="260" spans="1:21" ht="17.25" customHeight="1">
      <c r="A260" s="236">
        <v>259</v>
      </c>
      <c r="B260" s="249" t="str">
        <f t="array" ref="B260">INDEX('CENTRO - CESAR'!B:B, MATCH(S260, 'CENTRO - CESAR'!K:K, 0), )</f>
        <v>Soplin Vargas - Teniente Manuel Clavero</v>
      </c>
      <c r="C260" s="156" t="str">
        <f t="array" ref="C260">INDEX('CENTRO - CESAR'!C:C, MATCH(S260, 'CENTRO - CESAR'!K:K, 0), )</f>
        <v>Loreto</v>
      </c>
      <c r="D260" s="156" t="str">
        <f t="array" ref="D260">INDEX('CENTRO - CESAR'!D:D, MATCH(S260, 'CENTRO - CESAR'!K:K, 0), )</f>
        <v>FM</v>
      </c>
      <c r="E260" s="156" t="str">
        <f t="array" ref="E260">INDEX('CENTRO - CESAR'!E:E, MATCH(S260, 'CENTRO - CESAR'!K:K, 0), )</f>
        <v>98.3</v>
      </c>
      <c r="F260" s="156">
        <f t="array" ref="F260">INDEX('CENTRO - CESAR'!F:F, MATCH(S260, 'CENTRO - CESAR'!K:K, 0), )</f>
        <v>86</v>
      </c>
      <c r="G260" s="159" t="str">
        <f t="array" ref="G260">INDEX('CENTRO - CESAR'!G:G, MATCH(S260, 'CENTRO - CESAR'!K:K, 0), )</f>
        <v>A.A</v>
      </c>
      <c r="H260" s="238" t="str">
        <f t="array" ref="H260">INDEX('CENTRO - CESAR'!H:H, MATCH(S260, 'CENTRO - CESAR'!K:K, 0), )</f>
        <v>SOPLIN VARGAS</v>
      </c>
      <c r="I260" s="239" t="str">
        <f t="array" ref="I260">INDEX('CENTRO - CESAR'!I:I, MATCH(S260, 'CENTRO - CESAR'!K:K, 0), )</f>
        <v>30/10/2025 - Sectoristas - Operativo de acuerdo a lo informado por el presbítero de la zona</v>
      </c>
      <c r="J260" s="240">
        <f t="array" ref="J260">INDEX('CENTRO - CESAR'!J:J, MATCH(S260, 'CENTRO - CESAR'!K:K, 0), )</f>
        <v>0</v>
      </c>
      <c r="K260" s="156" t="str">
        <f t="array" ref="K260">INDEX('CENTRO - CESAR'!K:K, MATCH(S260, 'CENTRO - CESAR'!K:K, 0), )</f>
        <v>C - 130</v>
      </c>
      <c r="L260" s="250">
        <f t="array" ref="L260">INDEX('CENTRO - CESAR'!L:L, MATCH(S260, 'CENTRO - CESAR'!K:K, 0), )</f>
        <v>0</v>
      </c>
      <c r="M260" s="251">
        <f t="array" ref="M260">INDEX('CENTRO - CESAR'!M:M, MATCH(S260, 'CENTRO - CESAR'!K:K, 0), )</f>
        <v>0</v>
      </c>
      <c r="N260" s="252">
        <f t="array" ref="N260">INDEX('CENTRO - CESAR'!N:N, MATCH(S260, 'CENTRO - CESAR'!K:K, 0), )</f>
        <v>0</v>
      </c>
      <c r="O260" s="253">
        <f t="array" ref="O260">INDEX('CENTRO - CESAR'!O:O, MATCH(S260, 'CENTRO - CESAR'!K:K, 0), )</f>
        <v>0</v>
      </c>
      <c r="P260" s="236">
        <v>-0.37193333333333328</v>
      </c>
      <c r="Q260" s="236">
        <v>-74.677044444444448</v>
      </c>
      <c r="R260" s="243" t="s">
        <v>1708</v>
      </c>
      <c r="S260" s="246" t="s">
        <v>1709</v>
      </c>
      <c r="U260" s="245"/>
    </row>
    <row r="261" spans="1:21" ht="17.25" customHeight="1">
      <c r="A261" s="236">
        <v>260</v>
      </c>
      <c r="B261" s="249" t="str">
        <f t="array" ref="B261">INDEX('CENTRO - CESAR'!B:B, MATCH(S261, 'CENTRO - CESAR'!K:K, 0), )</f>
        <v>Tambo</v>
      </c>
      <c r="C261" s="156" t="str">
        <f t="array" ref="C261">INDEX('CENTRO - CESAR'!C:C, MATCH(S261, 'CENTRO - CESAR'!K:K, 0), )</f>
        <v>Ayacucho</v>
      </c>
      <c r="D261" s="156" t="str">
        <f t="array" ref="D261">INDEX('CENTRO - CESAR'!D:D, MATCH(S261, 'CENTRO - CESAR'!K:K, 0), )</f>
        <v>VHF</v>
      </c>
      <c r="E261" s="156">
        <f t="array" ref="E261">INDEX('CENTRO - CESAR'!E:E, MATCH(S261, 'CENTRO - CESAR'!K:K, 0), )</f>
        <v>7</v>
      </c>
      <c r="F261" s="156">
        <f t="array" ref="F261">INDEX('CENTRO - CESAR'!F:F, MATCH(S261, 'CENTRO - CESAR'!K:K, 0), )</f>
        <v>13</v>
      </c>
      <c r="G261" s="159" t="str">
        <f t="array" ref="G261">INDEX('CENTRO - CESAR'!G:G, MATCH(S261, 'CENTRO - CESAR'!K:K, 0), )</f>
        <v>A.A</v>
      </c>
      <c r="H261" s="238" t="str">
        <f t="array" ref="H261">INDEX('CENTRO - CESAR'!H:H, MATCH(S261, 'CENTRO - CESAR'!K:K, 0), )</f>
        <v>TAMBO</v>
      </c>
      <c r="I261" s="239" t="str">
        <f t="array" ref="I261">INDEX('CENTRO - CESAR'!I:I, MATCH(S261, 'CENTRO - CESAR'!K:K, 0), )</f>
        <v>3/10/2025 - Sectoristas - Operativo de acuerdo a lo informado por el pastor de zona</v>
      </c>
      <c r="J261" s="240">
        <f t="array" ref="J261">INDEX('CENTRO - CESAR'!J:J, MATCH(S261, 'CENTRO - CESAR'!K:K, 0), )</f>
        <v>0</v>
      </c>
      <c r="K261" s="156" t="str">
        <f t="array" ref="K261">INDEX('CENTRO - CESAR'!K:K, MATCH(S261, 'CENTRO - CESAR'!K:K, 0), )</f>
        <v>C - 131</v>
      </c>
      <c r="L261" s="250">
        <f t="array" ref="L261">INDEX('CENTRO - CESAR'!L:L, MATCH(S261, 'CENTRO - CESAR'!K:K, 0), )</f>
        <v>0</v>
      </c>
      <c r="M261" s="251">
        <f t="array" ref="M261">INDEX('CENTRO - CESAR'!M:M, MATCH(S261, 'CENTRO - CESAR'!K:K, 0), )</f>
        <v>0</v>
      </c>
      <c r="N261" s="252">
        <f t="array" ref="N261">INDEX('CENTRO - CESAR'!N:N, MATCH(S261, 'CENTRO - CESAR'!K:K, 0), )</f>
        <v>0</v>
      </c>
      <c r="O261" s="253">
        <f t="array" ref="O261">INDEX('CENTRO - CESAR'!O:O, MATCH(S261, 'CENTRO - CESAR'!K:K, 0), )</f>
        <v>0</v>
      </c>
      <c r="P261" s="236">
        <v>-12.95296111111111</v>
      </c>
      <c r="Q261" s="236">
        <v>-74.020186111111116</v>
      </c>
      <c r="R261" s="243" t="s">
        <v>1710</v>
      </c>
      <c r="S261" s="246" t="s">
        <v>1711</v>
      </c>
      <c r="U261" s="245"/>
    </row>
    <row r="262" spans="1:21" ht="17.25" customHeight="1">
      <c r="A262" s="236">
        <v>261</v>
      </c>
      <c r="B262" s="249" t="str">
        <f t="array" ref="B262">INDEX('CENTRO - CESAR'!B:B, MATCH(S262, 'CENTRO - CESAR'!K:K, 0), )</f>
        <v>Tamshiyacu - Fernando Lores</v>
      </c>
      <c r="C262" s="156" t="str">
        <f t="array" ref="C262">INDEX('CENTRO - CESAR'!C:C, MATCH(S262, 'CENTRO - CESAR'!K:K, 0), )</f>
        <v>Loreto</v>
      </c>
      <c r="D262" s="156" t="str">
        <f t="array" ref="D262">INDEX('CENTRO - CESAR'!D:D, MATCH(S262, 'CENTRO - CESAR'!K:K, 0), )</f>
        <v>FM</v>
      </c>
      <c r="E262" s="156">
        <f t="array" ref="E262">INDEX('CENTRO - CESAR'!E:E, MATCH(S262, 'CENTRO - CESAR'!K:K, 0), )</f>
        <v>97.7</v>
      </c>
      <c r="F262" s="156">
        <f t="array" ref="F262">INDEX('CENTRO - CESAR'!F:F, MATCH(S262, 'CENTRO - CESAR'!K:K, 0), )</f>
        <v>5</v>
      </c>
      <c r="G262" s="159" t="str">
        <f t="array" ref="G262">INDEX('CENTRO - CESAR'!G:G, MATCH(S262, 'CENTRO - CESAR'!K:K, 0), )</f>
        <v>A.A</v>
      </c>
      <c r="H262" s="238" t="str">
        <f t="array" ref="H262">INDEX('CENTRO - CESAR'!H:H, MATCH(S262, 'CENTRO - CESAR'!K:K, 0), )</f>
        <v>TAMSHIYACU</v>
      </c>
      <c r="I262" s="239" t="str">
        <f t="array" ref="I262">INDEX('CENTRO - CESAR'!I:I, MATCH(S262, 'CENTRO - CESAR'!K:K, 0), )</f>
        <v>2/12/2025 - Sectoristas - La estación se encuentra en observación ya que se encuentra fuera del aire por desfiguración del decodificador</v>
      </c>
      <c r="J262" s="240">
        <f t="array" ref="J262">INDEX('CENTRO - CESAR'!J:J, MATCH(S262, 'CENTRO - CESAR'!K:K, 0), )</f>
        <v>0</v>
      </c>
      <c r="K262" s="156" t="str">
        <f t="array" ref="K262">INDEX('CENTRO - CESAR'!K:K, MATCH(S262, 'CENTRO - CESAR'!K:K, 0), )</f>
        <v>C - 132</v>
      </c>
      <c r="L262" s="250" t="str">
        <f t="array" ref="L262">INDEX('CENTRO - CESAR'!L:L, MATCH(S262, 'CENTRO - CESAR'!K:K, 0), )</f>
        <v>Sectoristas</v>
      </c>
      <c r="M262" s="251" t="str">
        <f t="array" ref="M262">INDEX('CENTRO - CESAR'!M:M, MATCH(S262, 'CENTRO - CESAR'!K:K, 0), )</f>
        <v>Nivel 1</v>
      </c>
      <c r="N262" s="252">
        <f t="array" ref="N262">INDEX('CENTRO - CESAR'!N:N, MATCH(S262, 'CENTRO - CESAR'!K:K, 0), )</f>
        <v>0</v>
      </c>
      <c r="O262" s="253">
        <f t="array" ref="O262">INDEX('CENTRO - CESAR'!O:O, MATCH(S262, 'CENTRO - CESAR'!K:K, 0), )</f>
        <v>0</v>
      </c>
      <c r="P262" s="236">
        <v>-4.0029444444444442</v>
      </c>
      <c r="Q262" s="236">
        <v>-73.156416666666672</v>
      </c>
      <c r="R262" s="243" t="s">
        <v>1712</v>
      </c>
      <c r="S262" s="246" t="s">
        <v>1713</v>
      </c>
      <c r="U262" s="245"/>
    </row>
    <row r="263" spans="1:21" ht="17.25" customHeight="1">
      <c r="A263" s="236">
        <v>262</v>
      </c>
      <c r="B263" s="249" t="str">
        <f t="array" ref="B263">INDEX('CENTRO - CESAR'!B:B, MATCH(S263, 'CENTRO - CESAR'!K:K, 0), )</f>
        <v>Tarma</v>
      </c>
      <c r="C263" s="156" t="str">
        <f t="array" ref="C263">INDEX('CENTRO - CESAR'!C:C, MATCH(S263, 'CENTRO - CESAR'!K:K, 0), )</f>
        <v>Junin</v>
      </c>
      <c r="D263" s="156" t="str">
        <f t="array" ref="D263">INDEX('CENTRO - CESAR'!D:D, MATCH(S263, 'CENTRO - CESAR'!K:K, 0), )</f>
        <v>VHF</v>
      </c>
      <c r="E263" s="156">
        <f t="array" ref="E263">INDEX('CENTRO - CESAR'!E:E, MATCH(S263, 'CENTRO - CESAR'!K:K, 0), )</f>
        <v>9</v>
      </c>
      <c r="F263" s="156">
        <f t="array" ref="F263">INDEX('CENTRO - CESAR'!F:F, MATCH(S263, 'CENTRO - CESAR'!K:K, 0), )</f>
        <v>76</v>
      </c>
      <c r="G263" s="159" t="str">
        <f t="array" ref="G263">INDEX('CENTRO - CESAR'!G:G, MATCH(S263, 'CENTRO - CESAR'!K:K, 0), )</f>
        <v>F.A</v>
      </c>
      <c r="H263" s="238" t="str">
        <f t="array" ref="H263">INDEX('CENTRO - CESAR'!H:H, MATCH(S263, 'CENTRO - CESAR'!K:K, 0), )</f>
        <v>TARMA</v>
      </c>
      <c r="I263" s="239" t="str">
        <f t="array" ref="I263">INDEX('CENTRO - CESAR'!I:I, MATCH(S263, 'CENTRO - CESAR'!K:K, 0), )</f>
        <v>21/11/2025 - Ingeniería - Se le facilitó al pastor el presupuesto por la reparación del transmisor, a la espera del depósito.</v>
      </c>
      <c r="J263" s="240">
        <f t="array" ref="J263">INDEX('CENTRO - CESAR'!J:J, MATCH(S263, 'CENTRO - CESAR'!K:K, 0), )</f>
        <v>0</v>
      </c>
      <c r="K263" s="156" t="str">
        <f t="array" ref="K263">INDEX('CENTRO - CESAR'!K:K, MATCH(S263, 'CENTRO - CESAR'!K:K, 0), )</f>
        <v>C - 133</v>
      </c>
      <c r="L263" s="250" t="str">
        <f t="array" ref="L263">INDEX('CENTRO - CESAR'!L:L, MATCH(S263, 'CENTRO - CESAR'!K:K, 0), )</f>
        <v>Sectoristas</v>
      </c>
      <c r="M263" s="251" t="str">
        <f t="array" ref="M263">INDEX('CENTRO - CESAR'!M:M, MATCH(S263, 'CENTRO - CESAR'!K:K, 0), )</f>
        <v>Nivel 2</v>
      </c>
      <c r="N263" s="252" t="str">
        <f t="array" ref="N263">INDEX('CENTRO - CESAR'!N:N, MATCH(S263, 'CENTRO - CESAR'!K:K, 0), )</f>
        <v>4227.19</v>
      </c>
      <c r="O263" s="253">
        <f t="array" ref="O263">INDEX('CENTRO - CESAR'!O:O, MATCH(S263, 'CENTRO - CESAR'!K:K, 0), )</f>
        <v>0</v>
      </c>
      <c r="P263" s="236">
        <v>-11.4095</v>
      </c>
      <c r="Q263" s="236">
        <v>-75.691138888888887</v>
      </c>
      <c r="R263" s="243" t="s">
        <v>1714</v>
      </c>
      <c r="S263" s="246" t="s">
        <v>1218</v>
      </c>
      <c r="U263" s="245"/>
    </row>
    <row r="264" spans="1:21" ht="17.25" customHeight="1">
      <c r="A264" s="236">
        <v>263</v>
      </c>
      <c r="B264" s="249" t="str">
        <f t="array" ref="B264">INDEX('CENTRO - CESAR'!B:B, MATCH(S264, 'CENTRO - CESAR'!K:K, 0), )</f>
        <v>Tarma</v>
      </c>
      <c r="C264" s="156" t="str">
        <f t="array" ref="C264">INDEX('CENTRO - CESAR'!C:C, MATCH(S264, 'CENTRO - CESAR'!K:K, 0), )</f>
        <v>Junin</v>
      </c>
      <c r="D264" s="156" t="str">
        <f t="array" ref="D264">INDEX('CENTRO - CESAR'!D:D, MATCH(S264, 'CENTRO - CESAR'!K:K, 0), )</f>
        <v>FM</v>
      </c>
      <c r="E264" s="156">
        <f t="array" ref="E264">INDEX('CENTRO - CESAR'!E:E, MATCH(S264, 'CENTRO - CESAR'!K:K, 0), )</f>
        <v>98.5</v>
      </c>
      <c r="F264" s="156">
        <f t="array" ref="F264">INDEX('CENTRO - CESAR'!F:F, MATCH(S264, 'CENTRO - CESAR'!K:K, 0), )</f>
        <v>76</v>
      </c>
      <c r="G264" s="159" t="str">
        <f t="array" ref="G264">INDEX('CENTRO - CESAR'!G:G, MATCH(S264, 'CENTRO - CESAR'!K:K, 0), )</f>
        <v>A.A</v>
      </c>
      <c r="H264" s="238" t="str">
        <f t="array" ref="H264">INDEX('CENTRO - CESAR'!H:H, MATCH(S264, 'CENTRO - CESAR'!K:K, 0), )</f>
        <v>TARMA</v>
      </c>
      <c r="I264" s="239" t="str">
        <f t="array" ref="I264">INDEX('CENTRO - CESAR'!I:I, MATCH(S264, 'CENTRO - CESAR'!K:K, 0), )</f>
        <v>30/10/2025 - Sectoristas - Operativo de acuerdo a lo informado por el presbítero</v>
      </c>
      <c r="J264" s="240">
        <f t="array" ref="J264">INDEX('CENTRO - CESAR'!J:J, MATCH(S264, 'CENTRO - CESAR'!K:K, 0), )</f>
        <v>0</v>
      </c>
      <c r="K264" s="156" t="str">
        <f t="array" ref="K264">INDEX('CENTRO - CESAR'!K:K, MATCH(S264, 'CENTRO - CESAR'!K:K, 0), )</f>
        <v>C - 134</v>
      </c>
      <c r="L264" s="250">
        <f t="array" ref="L264">INDEX('CENTRO - CESAR'!L:L, MATCH(S264, 'CENTRO - CESAR'!K:K, 0), )</f>
        <v>0</v>
      </c>
      <c r="M264" s="251">
        <f t="array" ref="M264">INDEX('CENTRO - CESAR'!M:M, MATCH(S264, 'CENTRO - CESAR'!K:K, 0), )</f>
        <v>0</v>
      </c>
      <c r="N264" s="252">
        <f t="array" ref="N264">INDEX('CENTRO - CESAR'!N:N, MATCH(S264, 'CENTRO - CESAR'!K:K, 0), )</f>
        <v>0</v>
      </c>
      <c r="O264" s="253">
        <f t="array" ref="O264">INDEX('CENTRO - CESAR'!O:O, MATCH(S264, 'CENTRO - CESAR'!K:K, 0), )</f>
        <v>0</v>
      </c>
      <c r="P264" s="236">
        <v>-11.409444444444444</v>
      </c>
      <c r="Q264" s="236">
        <v>-75.687777777777782</v>
      </c>
      <c r="R264" s="243" t="s">
        <v>1715</v>
      </c>
      <c r="S264" s="246" t="s">
        <v>1716</v>
      </c>
      <c r="U264" s="245"/>
    </row>
    <row r="265" spans="1:21" ht="17.25" customHeight="1">
      <c r="A265" s="236">
        <v>264</v>
      </c>
      <c r="B265" s="249" t="str">
        <f t="array" ref="B265">INDEX('CENTRO - CESAR'!B:B, MATCH(S265, 'CENTRO - CESAR'!K:K, 0), )</f>
        <v>Tingo María - Rupa Rupa</v>
      </c>
      <c r="C265" s="156" t="str">
        <f t="array" ref="C265">INDEX('CENTRO - CESAR'!C:C, MATCH(S265, 'CENTRO - CESAR'!K:K, 0), )</f>
        <v>Huanuco</v>
      </c>
      <c r="D265" s="156" t="str">
        <f t="array" ref="D265">INDEX('CENTRO - CESAR'!D:D, MATCH(S265, 'CENTRO - CESAR'!K:K, 0), )</f>
        <v>FM</v>
      </c>
      <c r="E265" s="156">
        <f t="array" ref="E265">INDEX('CENTRO - CESAR'!E:E, MATCH(S265, 'CENTRO - CESAR'!K:K, 0), )</f>
        <v>100.3</v>
      </c>
      <c r="F265" s="156">
        <f t="array" ref="F265">INDEX('CENTRO - CESAR'!F:F, MATCH(S265, 'CENTRO - CESAR'!K:K, 0), )</f>
        <v>28</v>
      </c>
      <c r="G265" s="159" t="str">
        <f t="array" ref="G265">INDEX('CENTRO - CESAR'!G:G, MATCH(S265, 'CENTRO - CESAR'!K:K, 0), )</f>
        <v>A.A</v>
      </c>
      <c r="H265" s="238" t="str">
        <f t="array" ref="H265">INDEX('CENTRO - CESAR'!H:H, MATCH(S265, 'CENTRO - CESAR'!K:K, 0), )</f>
        <v>TINGO MARÍA</v>
      </c>
      <c r="I265" s="239" t="str">
        <f t="array" ref="I265">INDEX('CENTRO - CESAR'!I:I, MATCH(S265, 'CENTRO - CESAR'!K:K, 0), )</f>
        <v>3/10/2025 - Sectoristas - Operativo de acuerdo a lo informado por el pastor de la zona</v>
      </c>
      <c r="J265" s="240">
        <f t="array" ref="J265">INDEX('CENTRO - CESAR'!J:J, MATCH(S265, 'CENTRO - CESAR'!K:K, 0), )</f>
        <v>0</v>
      </c>
      <c r="K265" s="156" t="str">
        <f t="array" ref="K265">INDEX('CENTRO - CESAR'!K:K, MATCH(S265, 'CENTRO - CESAR'!K:K, 0), )</f>
        <v>C - 135</v>
      </c>
      <c r="L265" s="250">
        <f t="array" ref="L265">INDEX('CENTRO - CESAR'!L:L, MATCH(S265, 'CENTRO - CESAR'!K:K, 0), )</f>
        <v>0</v>
      </c>
      <c r="M265" s="251">
        <f t="array" ref="M265">INDEX('CENTRO - CESAR'!M:M, MATCH(S265, 'CENTRO - CESAR'!K:K, 0), )</f>
        <v>0</v>
      </c>
      <c r="N265" s="252">
        <f t="array" ref="N265">INDEX('CENTRO - CESAR'!N:N, MATCH(S265, 'CENTRO - CESAR'!K:K, 0), )</f>
        <v>0</v>
      </c>
      <c r="O265" s="253">
        <f t="array" ref="O265">INDEX('CENTRO - CESAR'!O:O, MATCH(S265, 'CENTRO - CESAR'!K:K, 0), )</f>
        <v>0</v>
      </c>
      <c r="R265" s="248"/>
      <c r="S265" s="246" t="s">
        <v>1717</v>
      </c>
      <c r="U265" s="245"/>
    </row>
    <row r="266" spans="1:21" ht="17.25" customHeight="1">
      <c r="A266" s="236">
        <v>265</v>
      </c>
      <c r="B266" s="249" t="str">
        <f t="array" ref="B266">INDEX('CENTRO - CESAR'!B:B, MATCH(S266, 'CENTRO - CESAR'!K:K, 0), )</f>
        <v>Tingo María - Rupa Rupa</v>
      </c>
      <c r="C266" s="156" t="str">
        <f t="array" ref="C266">INDEX('CENTRO - CESAR'!C:C, MATCH(S266, 'CENTRO - CESAR'!K:K, 0), )</f>
        <v>Huanuco</v>
      </c>
      <c r="D266" s="156" t="str">
        <f t="array" ref="D266">INDEX('CENTRO - CESAR'!D:D, MATCH(S266, 'CENTRO - CESAR'!K:K, 0), )</f>
        <v>UHF</v>
      </c>
      <c r="E266" s="156">
        <f t="array" ref="E266">INDEX('CENTRO - CESAR'!E:E, MATCH(S266, 'CENTRO - CESAR'!K:K, 0), )</f>
        <v>25</v>
      </c>
      <c r="F266" s="156">
        <f t="array" ref="F266">INDEX('CENTRO - CESAR'!F:F, MATCH(S266, 'CENTRO - CESAR'!K:K, 0), )</f>
        <v>28</v>
      </c>
      <c r="G266" s="159" t="str">
        <f t="array" ref="G266">INDEX('CENTRO - CESAR'!G:G, MATCH(S266, 'CENTRO - CESAR'!K:K, 0), )</f>
        <v>A.A</v>
      </c>
      <c r="H266" s="238" t="str">
        <f t="array" ref="H266">INDEX('CENTRO - CESAR'!H:H, MATCH(S266, 'CENTRO - CESAR'!K:K, 0), )</f>
        <v>TINGO MARÍA</v>
      </c>
      <c r="I266" s="239" t="str">
        <f t="array" ref="I266">INDEX('CENTRO - CESAR'!I:I, MATCH(S266, 'CENTRO - CESAR'!K:K, 0), )</f>
        <v>3/10/2025 - Sectoristas - Operativo de acuerdo a lo informado por el pastor de la zona</v>
      </c>
      <c r="J266" s="240">
        <f t="array" ref="J266">INDEX('CENTRO - CESAR'!J:J, MATCH(S266, 'CENTRO - CESAR'!K:K, 0), )</f>
        <v>0</v>
      </c>
      <c r="K266" s="156" t="str">
        <f t="array" ref="K266">INDEX('CENTRO - CESAR'!K:K, MATCH(S266, 'CENTRO - CESAR'!K:K, 0), )</f>
        <v>C - 136</v>
      </c>
      <c r="L266" s="250">
        <f t="array" ref="L266">INDEX('CENTRO - CESAR'!L:L, MATCH(S266, 'CENTRO - CESAR'!K:K, 0), )</f>
        <v>0</v>
      </c>
      <c r="M266" s="251">
        <f t="array" ref="M266">INDEX('CENTRO - CESAR'!M:M, MATCH(S266, 'CENTRO - CESAR'!K:K, 0), )</f>
        <v>0</v>
      </c>
      <c r="N266" s="252">
        <f t="array" ref="N266">INDEX('CENTRO - CESAR'!N:N, MATCH(S266, 'CENTRO - CESAR'!K:K, 0), )</f>
        <v>0</v>
      </c>
      <c r="O266" s="253">
        <f t="array" ref="O266">INDEX('CENTRO - CESAR'!O:O, MATCH(S266, 'CENTRO - CESAR'!K:K, 0), )</f>
        <v>0</v>
      </c>
      <c r="P266" s="236">
        <v>-9.3007500000000007</v>
      </c>
      <c r="Q266" s="236">
        <v>-75.992750000000001</v>
      </c>
      <c r="R266" s="243" t="s">
        <v>1626</v>
      </c>
      <c r="S266" s="246" t="s">
        <v>1718</v>
      </c>
      <c r="U266" s="245"/>
    </row>
    <row r="267" spans="1:21" ht="17.25" customHeight="1">
      <c r="A267" s="236">
        <v>266</v>
      </c>
      <c r="B267" s="249" t="str">
        <f t="array" ref="B267">INDEX('CENTRO - CESAR'!B:B, MATCH(S267, 'CENTRO - CESAR'!K:K, 0), )</f>
        <v>Umari</v>
      </c>
      <c r="C267" s="156" t="str">
        <f t="array" ref="C267">INDEX('CENTRO - CESAR'!C:C, MATCH(S267, 'CENTRO - CESAR'!K:K, 0), )</f>
        <v>Huanuco</v>
      </c>
      <c r="D267" s="156" t="str">
        <f t="array" ref="D267">INDEX('CENTRO - CESAR'!D:D, MATCH(S267, 'CENTRO - CESAR'!K:K, 0), )</f>
        <v>FM</v>
      </c>
      <c r="E267" s="156">
        <f t="array" ref="E267">INDEX('CENTRO - CESAR'!E:E, MATCH(S267, 'CENTRO - CESAR'!K:K, 0), )</f>
        <v>97.3</v>
      </c>
      <c r="F267" s="156">
        <f t="array" ref="F267">INDEX('CENTRO - CESAR'!F:F, MATCH(S267, 'CENTRO - CESAR'!K:K, 0), )</f>
        <v>149</v>
      </c>
      <c r="G267" s="159" t="str">
        <f t="array" ref="G267">INDEX('CENTRO - CESAR'!G:G, MATCH(S267, 'CENTRO - CESAR'!K:K, 0), )</f>
        <v>A.A</v>
      </c>
      <c r="H267" s="238" t="str">
        <f t="array" ref="H267">INDEX('CENTRO - CESAR'!H:H, MATCH(S267, 'CENTRO - CESAR'!K:K, 0), )</f>
        <v>UMARI</v>
      </c>
      <c r="I267" s="239" t="str">
        <f t="array" ref="I267">INDEX('CENTRO - CESAR'!I:I, MATCH(S267, 'CENTRO - CESAR'!K:K, 0), )</f>
        <v>21/10/2025 - Sectoristas - Operativo de acuerdo a lo informado por el pastor Nolasco Ponciano, de la zona opera las 24 horas del día</v>
      </c>
      <c r="J267" s="240">
        <f t="array" ref="J267">INDEX('CENTRO - CESAR'!J:J, MATCH(S267, 'CENTRO - CESAR'!K:K, 0), )</f>
        <v>0</v>
      </c>
      <c r="K267" s="156" t="str">
        <f t="array" ref="K267">INDEX('CENTRO - CESAR'!K:K, MATCH(S267, 'CENTRO - CESAR'!K:K, 0), )</f>
        <v>C - 137</v>
      </c>
      <c r="L267" s="250">
        <f t="array" ref="L267">INDEX('CENTRO - CESAR'!L:L, MATCH(S267, 'CENTRO - CESAR'!K:K, 0), )</f>
        <v>0</v>
      </c>
      <c r="M267" s="251">
        <f t="array" ref="M267">INDEX('CENTRO - CESAR'!M:M, MATCH(S267, 'CENTRO - CESAR'!K:K, 0), )</f>
        <v>0</v>
      </c>
      <c r="N267" s="252">
        <f t="array" ref="N267">INDEX('CENTRO - CESAR'!N:N, MATCH(S267, 'CENTRO - CESAR'!K:K, 0), )</f>
        <v>0</v>
      </c>
      <c r="O267" s="253">
        <f t="array" ref="O267">INDEX('CENTRO - CESAR'!O:O, MATCH(S267, 'CENTRO - CESAR'!K:K, 0), )</f>
        <v>0</v>
      </c>
      <c r="P267" s="236">
        <v>-9.8650833333333328</v>
      </c>
      <c r="Q267" s="236">
        <v>-76.017944444444439</v>
      </c>
      <c r="R267" s="243" t="s">
        <v>1719</v>
      </c>
      <c r="S267" s="246" t="s">
        <v>1720</v>
      </c>
      <c r="U267" s="245"/>
    </row>
    <row r="268" spans="1:21" ht="17.25" customHeight="1">
      <c r="A268" s="236">
        <v>267</v>
      </c>
      <c r="B268" s="249" t="str">
        <f t="array" ref="B268">INDEX('CENTRO - CESAR'!B:B, MATCH(S268, 'CENTRO - CESAR'!K:K, 0), )</f>
        <v>Valle Amauta - Ate</v>
      </c>
      <c r="C268" s="156" t="str">
        <f t="array" ref="C268">INDEX('CENTRO - CESAR'!C:C, MATCH(S268, 'CENTRO - CESAR'!K:K, 0), )</f>
        <v>Lima</v>
      </c>
      <c r="D268" s="156" t="str">
        <f t="array" ref="D268">INDEX('CENTRO - CESAR'!D:D, MATCH(S268, 'CENTRO - CESAR'!K:K, 0), )</f>
        <v>FM</v>
      </c>
      <c r="E268" s="156">
        <f t="array" ref="E268">INDEX('CENTRO - CESAR'!E:E, MATCH(S268, 'CENTRO - CESAR'!K:K, 0), )</f>
        <v>90.1</v>
      </c>
      <c r="F268" s="156">
        <f t="array" ref="F268">INDEX('CENTRO - CESAR'!F:F, MATCH(S268, 'CENTRO - CESAR'!K:K, 0), )</f>
        <v>51</v>
      </c>
      <c r="G268" s="159" t="str">
        <f t="array" ref="G268">INDEX('CENTRO - CESAR'!G:G, MATCH(S268, 'CENTRO - CESAR'!K:K, 0), )</f>
        <v>A.A</v>
      </c>
      <c r="H268" s="238" t="str">
        <f t="array" ref="H268">INDEX('CENTRO - CESAR'!H:H, MATCH(S268, 'CENTRO - CESAR'!K:K, 0), )</f>
        <v>VALLE AMAUTA</v>
      </c>
      <c r="I268" s="239" t="str">
        <f t="array" ref="I268">INDEX('CENTRO - CESAR'!I:I, MATCH(S268, 'CENTRO - CESAR'!K:K, 0), )</f>
        <v>28/10/2025 - Sectoristas - Operativo de acuerdo a lo informado por el pastor y vista técnica esta pendiente un CU-P</v>
      </c>
      <c r="J268" s="240">
        <f t="array" ref="J268">INDEX('CENTRO - CESAR'!J:J, MATCH(S268, 'CENTRO - CESAR'!K:K, 0), )</f>
        <v>0</v>
      </c>
      <c r="K268" s="156" t="str">
        <f t="array" ref="K268">INDEX('CENTRO - CESAR'!K:K, MATCH(S268, 'CENTRO - CESAR'!K:K, 0), )</f>
        <v>C - 138</v>
      </c>
      <c r="L268" s="250">
        <f t="array" ref="L268">INDEX('CENTRO - CESAR'!L:L, MATCH(S268, 'CENTRO - CESAR'!K:K, 0), )</f>
        <v>0</v>
      </c>
      <c r="M268" s="251">
        <f t="array" ref="M268">INDEX('CENTRO - CESAR'!M:M, MATCH(S268, 'CENTRO - CESAR'!K:K, 0), )</f>
        <v>0</v>
      </c>
      <c r="N268" s="252">
        <f t="array" ref="N268">INDEX('CENTRO - CESAR'!N:N, MATCH(S268, 'CENTRO - CESAR'!K:K, 0), )</f>
        <v>0</v>
      </c>
      <c r="O268" s="253">
        <f t="array" ref="O268">INDEX('CENTRO - CESAR'!O:O, MATCH(S268, 'CENTRO - CESAR'!K:K, 0), )</f>
        <v>0</v>
      </c>
      <c r="P268" s="236">
        <v>-12.036522222222223</v>
      </c>
      <c r="Q268" s="236">
        <v>-76.905552777777785</v>
      </c>
      <c r="R268" s="243" t="s">
        <v>1721</v>
      </c>
      <c r="S268" s="246" t="s">
        <v>1722</v>
      </c>
      <c r="U268" s="245"/>
    </row>
    <row r="269" spans="1:21" ht="17.25" customHeight="1">
      <c r="A269" s="236">
        <v>268</v>
      </c>
      <c r="B269" s="249" t="str">
        <f t="array" ref="B269">INDEX('CENTRO - CESAR'!B:B, MATCH(S269, 'CENTRO - CESAR'!K:K, 0), )</f>
        <v>Villa Rica</v>
      </c>
      <c r="C269" s="156" t="str">
        <f t="array" ref="C269">INDEX('CENTRO - CESAR'!C:C, MATCH(S269, 'CENTRO - CESAR'!K:K, 0), )</f>
        <v>Pasco</v>
      </c>
      <c r="D269" s="156" t="str">
        <f t="array" ref="D269">INDEX('CENTRO - CESAR'!D:D, MATCH(S269, 'CENTRO - CESAR'!K:K, 0), )</f>
        <v>FM</v>
      </c>
      <c r="E269" s="156">
        <f t="array" ref="E269">INDEX('CENTRO - CESAR'!E:E, MATCH(S269, 'CENTRO - CESAR'!K:K, 0), )</f>
        <v>96.9</v>
      </c>
      <c r="F269" s="156">
        <f t="array" ref="F269">INDEX('CENTRO - CESAR'!F:F, MATCH(S269, 'CENTRO - CESAR'!K:K, 0), )</f>
        <v>118</v>
      </c>
      <c r="G269" s="159" t="str">
        <f t="array" ref="G269">INDEX('CENTRO - CESAR'!G:G, MATCH(S269, 'CENTRO - CESAR'!K:K, 0), )</f>
        <v>A.A</v>
      </c>
      <c r="H269" s="238" t="str">
        <f t="array" ref="H269">INDEX('CENTRO - CESAR'!H:H, MATCH(S269, 'CENTRO - CESAR'!K:K, 0), )</f>
        <v>VILA RICA</v>
      </c>
      <c r="I269" s="239" t="str">
        <f t="array" ref="I269">INDEX('CENTRO - CESAR'!I:I, MATCH(S269, 'CENTRO - CESAR'!K:K, 0), )</f>
        <v>31/10/2025 - Sectoristas - Operativo nuevamente de acuerdo a lo informado por el pastor</v>
      </c>
      <c r="J269" s="240">
        <f t="array" ref="J269">INDEX('CENTRO - CESAR'!J:J, MATCH(S269, 'CENTRO - CESAR'!K:K, 0), )</f>
        <v>0</v>
      </c>
      <c r="K269" s="156" t="str">
        <f t="array" ref="K269">INDEX('CENTRO - CESAR'!K:K, MATCH(S269, 'CENTRO - CESAR'!K:K, 0), )</f>
        <v>C - 139</v>
      </c>
      <c r="L269" s="250">
        <f t="array" ref="L269">INDEX('CENTRO - CESAR'!L:L, MATCH(S269, 'CENTRO - CESAR'!K:K, 0), )</f>
        <v>0</v>
      </c>
      <c r="M269" s="251">
        <f t="array" ref="M269">INDEX('CENTRO - CESAR'!M:M, MATCH(S269, 'CENTRO - CESAR'!K:K, 0), )</f>
        <v>0</v>
      </c>
      <c r="N269" s="252">
        <f t="array" ref="N269">INDEX('CENTRO - CESAR'!N:N, MATCH(S269, 'CENTRO - CESAR'!K:K, 0), )</f>
        <v>0</v>
      </c>
      <c r="O269" s="253">
        <f t="array" ref="O269">INDEX('CENTRO - CESAR'!O:O, MATCH(S269, 'CENTRO - CESAR'!K:K, 0), )</f>
        <v>0</v>
      </c>
      <c r="P269" s="236">
        <v>-10.750361111111111</v>
      </c>
      <c r="Q269" s="236">
        <v>-75.258722222222218</v>
      </c>
      <c r="R269" s="243" t="s">
        <v>1723</v>
      </c>
      <c r="S269" s="246" t="s">
        <v>1724</v>
      </c>
      <c r="U269" s="245"/>
    </row>
    <row r="270" spans="1:21" ht="17.25" customHeight="1">
      <c r="A270" s="236">
        <v>269</v>
      </c>
      <c r="B270" s="249" t="str">
        <f t="array" ref="B270">INDEX('CENTRO - CESAR'!B:B, MATCH(S270, 'CENTRO - CESAR'!K:K, 0), )</f>
        <v>Villa Rica</v>
      </c>
      <c r="C270" s="156" t="str">
        <f t="array" ref="C270">INDEX('CENTRO - CESAR'!C:C, MATCH(S270, 'CENTRO - CESAR'!K:K, 0), )</f>
        <v>Pasco</v>
      </c>
      <c r="D270" s="156" t="str">
        <f t="array" ref="D270">INDEX('CENTRO - CESAR'!D:D, MATCH(S270, 'CENTRO - CESAR'!K:K, 0), )</f>
        <v>VHF</v>
      </c>
      <c r="E270" s="156">
        <f t="array" ref="E270">INDEX('CENTRO - CESAR'!E:E, MATCH(S270, 'CENTRO - CESAR'!K:K, 0), )</f>
        <v>7</v>
      </c>
      <c r="F270" s="156">
        <f t="array" ref="F270">INDEX('CENTRO - CESAR'!F:F, MATCH(S270, 'CENTRO - CESAR'!K:K, 0), )</f>
        <v>118</v>
      </c>
      <c r="G270" s="159" t="str">
        <f t="array" ref="G270">INDEX('CENTRO - CESAR'!G:G, MATCH(S270, 'CENTRO - CESAR'!K:K, 0), )</f>
        <v>A.A</v>
      </c>
      <c r="H270" s="238" t="str">
        <f t="array" ref="H270">INDEX('CENTRO - CESAR'!H:H, MATCH(S270, 'CENTRO - CESAR'!K:K, 0), )</f>
        <v>VILLA RICA</v>
      </c>
      <c r="I270" s="239" t="str">
        <f t="array" ref="I270">INDEX('CENTRO - CESAR'!I:I, MATCH(S270, 'CENTRO - CESAR'!K:K, 0), )</f>
        <v>31/10/2025 - Sectoristas - Operativo nuevamente de acuerdo a lo informado por el pastor</v>
      </c>
      <c r="J270" s="240">
        <f t="array" ref="J270">INDEX('CENTRO - CESAR'!J:J, MATCH(S270, 'CENTRO - CESAR'!K:K, 0), )</f>
        <v>0</v>
      </c>
      <c r="K270" s="156" t="str">
        <f t="array" ref="K270">INDEX('CENTRO - CESAR'!K:K, MATCH(S270, 'CENTRO - CESAR'!K:K, 0), )</f>
        <v>C - 140</v>
      </c>
      <c r="L270" s="250">
        <f t="array" ref="L270">INDEX('CENTRO - CESAR'!L:L, MATCH(S270, 'CENTRO - CESAR'!K:K, 0), )</f>
        <v>0</v>
      </c>
      <c r="M270" s="251">
        <f t="array" ref="M270">INDEX('CENTRO - CESAR'!M:M, MATCH(S270, 'CENTRO - CESAR'!K:K, 0), )</f>
        <v>0</v>
      </c>
      <c r="N270" s="252">
        <f t="array" ref="N270">INDEX('CENTRO - CESAR'!N:N, MATCH(S270, 'CENTRO - CESAR'!K:K, 0), )</f>
        <v>0</v>
      </c>
      <c r="O270" s="253">
        <f t="array" ref="O270">INDEX('CENTRO - CESAR'!O:O, MATCH(S270, 'CENTRO - CESAR'!K:K, 0), )</f>
        <v>0</v>
      </c>
      <c r="P270" s="236">
        <v>-10.723055555555556</v>
      </c>
      <c r="Q270" s="236">
        <v>-75.253611111111113</v>
      </c>
      <c r="R270" s="243" t="s">
        <v>1725</v>
      </c>
      <c r="S270" s="246" t="s">
        <v>1726</v>
      </c>
      <c r="U270" s="245"/>
    </row>
    <row r="271" spans="1:21" ht="17.25" customHeight="1">
      <c r="A271" s="236">
        <v>270</v>
      </c>
      <c r="B271" s="249" t="str">
        <f t="array" ref="B271">INDEX('CENTRO - CESAR'!B:B, MATCH(S271, 'CENTRO - CESAR'!K:K, 0), )</f>
        <v>Villa Trompeteros</v>
      </c>
      <c r="C271" s="156" t="str">
        <f t="array" ref="C271">INDEX('CENTRO - CESAR'!C:C, MATCH(S271, 'CENTRO - CESAR'!K:K, 0), )</f>
        <v>Loreto</v>
      </c>
      <c r="D271" s="156" t="str">
        <f t="array" ref="D271">INDEX('CENTRO - CESAR'!D:D, MATCH(S271, 'CENTRO - CESAR'!K:K, 0), )</f>
        <v>FM</v>
      </c>
      <c r="E271" s="156">
        <f t="array" ref="E271">INDEX('CENTRO - CESAR'!E:E, MATCH(S271, 'CENTRO - CESAR'!K:K, 0), )</f>
        <v>96.1</v>
      </c>
      <c r="F271" s="156">
        <f t="array" ref="F271">INDEX('CENTRO - CESAR'!F:F, MATCH(S271, 'CENTRO - CESAR'!K:K, 0), )</f>
        <v>45</v>
      </c>
      <c r="G271" s="159" t="str">
        <f t="array" ref="G271">INDEX('CENTRO - CESAR'!G:G, MATCH(S271, 'CENTRO - CESAR'!K:K, 0), )</f>
        <v>A.A</v>
      </c>
      <c r="H271" s="238" t="str">
        <f t="array" ref="H271">INDEX('CENTRO - CESAR'!H:H, MATCH(S271, 'CENTRO - CESAR'!K:K, 0), )</f>
        <v>TROMPETEROS</v>
      </c>
      <c r="I271" s="239" t="str">
        <f t="array" ref="I271">INDEX('CENTRO - CESAR'!I:I, MATCH(S271, 'CENTRO - CESAR'!K:K, 0), )</f>
        <v>28/10/2025 - Sectoristas - Operativo de acuerdo a lo informado por pastor José Luis responsable de la estación de radio (la estación de radio opera 20 horas al día ya que el fluido eléctrico es solo 20 horas)</v>
      </c>
      <c r="J271" s="240">
        <f t="array" ref="J271">INDEX('CENTRO - CESAR'!J:J, MATCH(S271, 'CENTRO - CESAR'!K:K, 0), )</f>
        <v>0</v>
      </c>
      <c r="K271" s="156" t="str">
        <f t="array" ref="K271">INDEX('CENTRO - CESAR'!K:K, MATCH(S271, 'CENTRO - CESAR'!K:K, 0), )</f>
        <v>C - 141</v>
      </c>
      <c r="L271" s="250">
        <f t="array" ref="L271">INDEX('CENTRO - CESAR'!L:L, MATCH(S271, 'CENTRO - CESAR'!K:K, 0), )</f>
        <v>0</v>
      </c>
      <c r="M271" s="251">
        <f t="array" ref="M271">INDEX('CENTRO - CESAR'!M:M, MATCH(S271, 'CENTRO - CESAR'!K:K, 0), )</f>
        <v>0</v>
      </c>
      <c r="N271" s="252">
        <f t="array" ref="N271">INDEX('CENTRO - CESAR'!N:N, MATCH(S271, 'CENTRO - CESAR'!K:K, 0), )</f>
        <v>0</v>
      </c>
      <c r="O271" s="253">
        <f t="array" ref="O271">INDEX('CENTRO - CESAR'!O:O, MATCH(S271, 'CENTRO - CESAR'!K:K, 0), )</f>
        <v>0</v>
      </c>
      <c r="P271" s="236">
        <v>-3.803722222222222</v>
      </c>
      <c r="Q271" s="236">
        <v>-75.061833333333325</v>
      </c>
      <c r="R271" s="243" t="s">
        <v>1727</v>
      </c>
      <c r="S271" s="246" t="s">
        <v>1728</v>
      </c>
      <c r="U271" s="245"/>
    </row>
    <row r="272" spans="1:21" ht="17.25" customHeight="1">
      <c r="A272" s="236">
        <v>271</v>
      </c>
      <c r="B272" s="249" t="str">
        <f t="array" ref="B272">INDEX('CENTRO - CESAR'!B:B, MATCH(S272, 'CENTRO - CESAR'!K:K, 0), )</f>
        <v>Yauli</v>
      </c>
      <c r="C272" s="156" t="str">
        <f t="array" ref="C272">INDEX('CENTRO - CESAR'!C:C, MATCH(S272, 'CENTRO - CESAR'!K:K, 0), )</f>
        <v>Huancavelica</v>
      </c>
      <c r="D272" s="156" t="str">
        <f t="array" ref="D272">INDEX('CENTRO - CESAR'!D:D, MATCH(S272, 'CENTRO - CESAR'!K:K, 0), )</f>
        <v>FM</v>
      </c>
      <c r="E272" s="156">
        <f t="array" ref="E272">INDEX('CENTRO - CESAR'!E:E, MATCH(S272, 'CENTRO - CESAR'!K:K, 0), )</f>
        <v>100.7</v>
      </c>
      <c r="F272" s="156">
        <f t="array" ref="F272">INDEX('CENTRO - CESAR'!F:F, MATCH(S272, 'CENTRO - CESAR'!K:K, 0), )</f>
        <v>63</v>
      </c>
      <c r="G272" s="159" t="str">
        <f t="array" ref="G272">INDEX('CENTRO - CESAR'!G:G, MATCH(S272, 'CENTRO - CESAR'!K:K, 0), )</f>
        <v>F.A</v>
      </c>
      <c r="H272" s="238" t="str">
        <f t="array" ref="H272">INDEX('CENTRO - CESAR'!H:H, MATCH(S272, 'CENTRO - CESAR'!K:K, 0), )</f>
        <v>YAULI</v>
      </c>
      <c r="I272" s="239" t="str">
        <f t="array" ref="I272">INDEX('CENTRO - CESAR'!I:I, MATCH(S272, 'CENTRO - CESAR'!K:K, 0), )</f>
        <v>29/10/2025 - Sectoristas - A la fecha la estación de radio continua Inoperativo por falta de ubicación el pastor esta en busca de una nueva ubicación para su instalación</v>
      </c>
      <c r="J272" s="240">
        <f t="array" ref="J272">INDEX('CENTRO - CESAR'!J:J, MATCH(S272, 'CENTRO - CESAR'!K:K, 0), )</f>
        <v>0</v>
      </c>
      <c r="K272" s="156" t="str">
        <f t="array" ref="K272">INDEX('CENTRO - CESAR'!K:K, MATCH(S272, 'CENTRO - CESAR'!K:K, 0), )</f>
        <v>C - 142</v>
      </c>
      <c r="L272" s="250">
        <f t="array" ref="L272">INDEX('CENTRO - CESAR'!L:L, MATCH(S272, 'CENTRO - CESAR'!K:K, 0), )</f>
        <v>0</v>
      </c>
      <c r="M272" s="251">
        <f t="array" ref="M272">INDEX('CENTRO - CESAR'!M:M, MATCH(S272, 'CENTRO - CESAR'!K:K, 0), )</f>
        <v>0</v>
      </c>
      <c r="N272" s="252">
        <f t="array" ref="N272">INDEX('CENTRO - CESAR'!N:N, MATCH(S272, 'CENTRO - CESAR'!K:K, 0), )</f>
        <v>0</v>
      </c>
      <c r="O272" s="253">
        <f t="array" ref="O272">INDEX('CENTRO - CESAR'!O:O, MATCH(S272, 'CENTRO - CESAR'!K:K, 0), )</f>
        <v>0</v>
      </c>
      <c r="P272" s="236">
        <v>-12.77241388888889</v>
      </c>
      <c r="Q272" s="236">
        <v>-74.842772222222223</v>
      </c>
      <c r="R272" s="243" t="s">
        <v>1729</v>
      </c>
      <c r="S272" s="246" t="s">
        <v>1215</v>
      </c>
      <c r="U272" s="245"/>
    </row>
    <row r="273" spans="1:21" ht="17.25" customHeight="1">
      <c r="A273" s="236">
        <v>272</v>
      </c>
      <c r="B273" s="249" t="str">
        <f t="array" ref="B273">INDEX('CENTRO - CESAR'!B:B, MATCH(S273, 'CENTRO - CESAR'!K:K, 0), )</f>
        <v>Yauyos</v>
      </c>
      <c r="C273" s="156" t="str">
        <f t="array" ref="C273">INDEX('CENTRO - CESAR'!C:C, MATCH(S273, 'CENTRO - CESAR'!K:K, 0), )</f>
        <v>Lima</v>
      </c>
      <c r="D273" s="156" t="str">
        <f t="array" ref="D273">INDEX('CENTRO - CESAR'!D:D, MATCH(S273, 'CENTRO - CESAR'!K:K, 0), )</f>
        <v>VHF</v>
      </c>
      <c r="E273" s="156">
        <f t="array" ref="E273">INDEX('CENTRO - CESAR'!E:E, MATCH(S273, 'CENTRO - CESAR'!K:K, 0), )</f>
        <v>9</v>
      </c>
      <c r="F273" s="156">
        <f t="array" ref="F273">INDEX('CENTRO - CESAR'!F:F, MATCH(S273, 'CENTRO - CESAR'!K:K, 0), )</f>
        <v>85</v>
      </c>
      <c r="G273" s="159" t="str">
        <f t="array" ref="G273">INDEX('CENTRO - CESAR'!G:G, MATCH(S273, 'CENTRO - CESAR'!K:K, 0), )</f>
        <v>A.A</v>
      </c>
      <c r="H273" s="238" t="str">
        <f t="array" ref="H273">INDEX('CENTRO - CESAR'!H:H, MATCH(S273, 'CENTRO - CESAR'!K:K, 0), )</f>
        <v>YAUYOS</v>
      </c>
      <c r="I273" s="239" t="str">
        <f t="array" ref="I273">INDEX('CENTRO - CESAR'!I:I, MATCH(S273, 'CENTRO - CESAR'!K:K, 0), )</f>
        <v>30/10/2025 - Sectoristas - Operativo de acuerdo a lo informado por el pastor responsable</v>
      </c>
      <c r="J273" s="240">
        <f t="array" ref="J273">INDEX('CENTRO - CESAR'!J:J, MATCH(S273, 'CENTRO - CESAR'!K:K, 0), )</f>
        <v>0</v>
      </c>
      <c r="K273" s="156" t="str">
        <f t="array" ref="K273">INDEX('CENTRO - CESAR'!K:K, MATCH(S273, 'CENTRO - CESAR'!K:K, 0), )</f>
        <v>C - 143</v>
      </c>
      <c r="L273" s="250">
        <f t="array" ref="L273">INDEX('CENTRO - CESAR'!L:L, MATCH(S273, 'CENTRO - CESAR'!K:K, 0), )</f>
        <v>0</v>
      </c>
      <c r="M273" s="251">
        <f t="array" ref="M273">INDEX('CENTRO - CESAR'!M:M, MATCH(S273, 'CENTRO - CESAR'!K:K, 0), )</f>
        <v>0</v>
      </c>
      <c r="N273" s="252">
        <f t="array" ref="N273">INDEX('CENTRO - CESAR'!N:N, MATCH(S273, 'CENTRO - CESAR'!K:K, 0), )</f>
        <v>0</v>
      </c>
      <c r="O273" s="253">
        <f t="array" ref="O273">INDEX('CENTRO - CESAR'!O:O, MATCH(S273, 'CENTRO - CESAR'!K:K, 0), )</f>
        <v>0</v>
      </c>
      <c r="P273" s="236">
        <v>-12.460574999999999</v>
      </c>
      <c r="Q273" s="236">
        <v>-75.916388888888889</v>
      </c>
      <c r="R273" s="243" t="s">
        <v>1730</v>
      </c>
      <c r="S273" s="246" t="s">
        <v>1731</v>
      </c>
      <c r="U273" s="245"/>
    </row>
    <row r="274" spans="1:21" ht="17.25" customHeight="1">
      <c r="A274" s="236">
        <v>273</v>
      </c>
      <c r="B274" s="249" t="str">
        <f t="array" ref="B274">INDEX('CENTRO - CESAR'!B:B, MATCH(S274, 'CENTRO - CESAR'!K:K, 0), )</f>
        <v>Yauyos</v>
      </c>
      <c r="C274" s="156" t="str">
        <f t="array" ref="C274">INDEX('CENTRO - CESAR'!C:C, MATCH(S274, 'CENTRO - CESAR'!K:K, 0), )</f>
        <v>Lima</v>
      </c>
      <c r="D274" s="156" t="str">
        <f t="array" ref="D274">INDEX('CENTRO - CESAR'!D:D, MATCH(S274, 'CENTRO - CESAR'!K:K, 0), )</f>
        <v>FM</v>
      </c>
      <c r="E274" s="156">
        <f t="array" ref="E274">INDEX('CENTRO - CESAR'!E:E, MATCH(S274, 'CENTRO - CESAR'!K:K, 0), )</f>
        <v>97.7</v>
      </c>
      <c r="F274" s="156">
        <f t="array" ref="F274">INDEX('CENTRO - CESAR'!F:F, MATCH(S274, 'CENTRO - CESAR'!K:K, 0), )</f>
        <v>85</v>
      </c>
      <c r="G274" s="159" t="str">
        <f t="array" ref="G274">INDEX('CENTRO - CESAR'!G:G, MATCH(S274, 'CENTRO - CESAR'!K:K, 0), )</f>
        <v>A.A</v>
      </c>
      <c r="H274" s="238" t="str">
        <f t="array" ref="H274">INDEX('CENTRO - CESAR'!H:H, MATCH(S274, 'CENTRO - CESAR'!K:K, 0), )</f>
        <v>YAUYOS</v>
      </c>
      <c r="I274" s="239" t="str">
        <f t="array" ref="I274">INDEX('CENTRO - CESAR'!I:I, MATCH(S274, 'CENTRO - CESAR'!K:K, 0), )</f>
        <v>30/10/2025 - Sectoristas - Operativo de acuerdo a lo informado por el pastor responsable</v>
      </c>
      <c r="J274" s="240">
        <f t="array" ref="J274">INDEX('CENTRO - CESAR'!J:J, MATCH(S274, 'CENTRO - CESAR'!K:K, 0), )</f>
        <v>0</v>
      </c>
      <c r="K274" s="156" t="str">
        <f t="array" ref="K274">INDEX('CENTRO - CESAR'!K:K, MATCH(S274, 'CENTRO - CESAR'!K:K, 0), )</f>
        <v>C - 144</v>
      </c>
      <c r="L274" s="250">
        <f t="array" ref="L274">INDEX('CENTRO - CESAR'!L:L, MATCH(S274, 'CENTRO - CESAR'!K:K, 0), )</f>
        <v>0</v>
      </c>
      <c r="M274" s="251">
        <f t="array" ref="M274">INDEX('CENTRO - CESAR'!M:M, MATCH(S274, 'CENTRO - CESAR'!K:K, 0), )</f>
        <v>0</v>
      </c>
      <c r="N274" s="252">
        <f t="array" ref="N274">INDEX('CENTRO - CESAR'!N:N, MATCH(S274, 'CENTRO - CESAR'!K:K, 0), )</f>
        <v>0</v>
      </c>
      <c r="O274" s="253">
        <f t="array" ref="O274">INDEX('CENTRO - CESAR'!O:O, MATCH(S274, 'CENTRO - CESAR'!K:K, 0), )</f>
        <v>0</v>
      </c>
      <c r="P274" s="236">
        <v>-12.460574999999999</v>
      </c>
      <c r="Q274" s="236">
        <v>-75.916388888888889</v>
      </c>
      <c r="R274" s="243" t="s">
        <v>1730</v>
      </c>
      <c r="S274" s="246" t="s">
        <v>1732</v>
      </c>
      <c r="U274" s="245"/>
    </row>
    <row r="275" spans="1:21" ht="17.25" customHeight="1">
      <c r="A275" s="236">
        <v>274</v>
      </c>
      <c r="B275" s="249" t="str">
        <f t="array" ref="B275">INDEX('CENTRO - CESAR'!B:B, MATCH(S275, 'CENTRO - CESAR'!K:K, 0), )</f>
        <v>Yavari - Santa Rosa</v>
      </c>
      <c r="C275" s="156" t="str">
        <f t="array" ref="C275">INDEX('CENTRO - CESAR'!C:C, MATCH(S275, 'CENTRO - CESAR'!K:K, 0), )</f>
        <v>Loreto</v>
      </c>
      <c r="D275" s="156" t="str">
        <f t="array" ref="D275">INDEX('CENTRO - CESAR'!D:D, MATCH(S275, 'CENTRO - CESAR'!K:K, 0), )</f>
        <v>FM</v>
      </c>
      <c r="E275" s="156">
        <f t="array" ref="E275">INDEX('CENTRO - CESAR'!E:E, MATCH(S275, 'CENTRO - CESAR'!K:K, 0), )</f>
        <v>93.1</v>
      </c>
      <c r="F275" s="156">
        <f t="array" ref="F275">INDEX('CENTRO - CESAR'!F:F, MATCH(S275, 'CENTRO - CESAR'!K:K, 0), )</f>
        <v>133</v>
      </c>
      <c r="G275" s="159" t="str">
        <f t="array" ref="G275">INDEX('CENTRO - CESAR'!G:G, MATCH(S275, 'CENTRO - CESAR'!K:K, 0), )</f>
        <v>A.A</v>
      </c>
      <c r="H275" s="238" t="str">
        <f t="array" ref="H275">INDEX('CENTRO - CESAR'!H:H, MATCH(S275, 'CENTRO - CESAR'!K:K, 0), )</f>
        <v>YAVARI</v>
      </c>
      <c r="I275" s="239" t="str">
        <f t="array" ref="I275">INDEX('CENTRO - CESAR'!I:I, MATCH(S275, 'CENTRO - CESAR'!K:K, 0), )</f>
        <v>31/10/2025 - Sectoristas - Operativo de acuerdo a lo informado por el presbítero</v>
      </c>
      <c r="J275" s="240" t="str">
        <f t="array" ref="J275">INDEX('CENTRO - CESAR'!J:J, MATCH(S275, 'CENTRO - CESAR'!K:K, 0), )</f>
        <v>Operativo</v>
      </c>
      <c r="K275" s="156" t="str">
        <f t="array" ref="K275">INDEX('CENTRO - CESAR'!K:K, MATCH(S275, 'CENTRO - CESAR'!K:K, 0), )</f>
        <v>C - 145</v>
      </c>
      <c r="L275" s="250">
        <f t="array" ref="L275">INDEX('CENTRO - CESAR'!L:L, MATCH(S275, 'CENTRO - CESAR'!K:K, 0), )</f>
        <v>0</v>
      </c>
      <c r="M275" s="251">
        <f t="array" ref="M275">INDEX('CENTRO - CESAR'!M:M, MATCH(S275, 'CENTRO - CESAR'!K:K, 0), )</f>
        <v>0</v>
      </c>
      <c r="N275" s="252">
        <f t="array" ref="N275">INDEX('CENTRO - CESAR'!N:N, MATCH(S275, 'CENTRO - CESAR'!K:K, 0), )</f>
        <v>0</v>
      </c>
      <c r="O275" s="253">
        <f t="array" ref="O275">INDEX('CENTRO - CESAR'!O:O, MATCH(S275, 'CENTRO - CESAR'!K:K, 0), )</f>
        <v>0</v>
      </c>
      <c r="P275" s="236">
        <v>-4.2233333333333336</v>
      </c>
      <c r="Q275" s="236">
        <v>-69.958472222222227</v>
      </c>
      <c r="R275" s="243" t="s">
        <v>1733</v>
      </c>
      <c r="S275" s="246" t="s">
        <v>1734</v>
      </c>
      <c r="U275" s="245"/>
    </row>
    <row r="276" spans="1:21" ht="17.25" customHeight="1">
      <c r="A276" s="236">
        <v>275</v>
      </c>
      <c r="B276" s="249" t="str">
        <f t="array" ref="B276">INDEX('CENTRO - CESAR'!B:B, MATCH(S276, 'CENTRO - CESAR'!K:K, 0), )</f>
        <v>Yurimaguas</v>
      </c>
      <c r="C276" s="156" t="str">
        <f t="array" ref="C276">INDEX('CENTRO - CESAR'!C:C, MATCH(S276, 'CENTRO - CESAR'!K:K, 0), )</f>
        <v>Loreto</v>
      </c>
      <c r="D276" s="156" t="str">
        <f t="array" ref="D276">INDEX('CENTRO - CESAR'!D:D, MATCH(S276, 'CENTRO - CESAR'!K:K, 0), )</f>
        <v>FM</v>
      </c>
      <c r="E276" s="156">
        <f t="array" ref="E276">INDEX('CENTRO - CESAR'!E:E, MATCH(S276, 'CENTRO - CESAR'!K:K, 0), )</f>
        <v>96.1</v>
      </c>
      <c r="F276" s="156">
        <f t="array" ref="F276">INDEX('CENTRO - CESAR'!F:F, MATCH(S276, 'CENTRO - CESAR'!K:K, 0), )</f>
        <v>79</v>
      </c>
      <c r="G276" s="159" t="str">
        <f t="array" ref="G276">INDEX('CENTRO - CESAR'!G:G, MATCH(S276, 'CENTRO - CESAR'!K:K, 0), )</f>
        <v>A.A</v>
      </c>
      <c r="H276" s="238" t="str">
        <f t="array" ref="H276">INDEX('CENTRO - CESAR'!H:H, MATCH(S276, 'CENTRO - CESAR'!K:K, 0), )</f>
        <v>YURIMAGUAS</v>
      </c>
      <c r="I276" s="239" t="str">
        <f t="array" ref="I276">INDEX('CENTRO - CESAR'!I:I, MATCH(S276, 'CENTRO - CESAR'!K:K, 0), )</f>
        <v>30/10/2025 - Sectoristas - Operativo de acuerdo a lo informado por el pastor responsable</v>
      </c>
      <c r="J276" s="240">
        <f t="array" ref="J276">INDEX('CENTRO - CESAR'!J:J, MATCH(S276, 'CENTRO - CESAR'!K:K, 0), )</f>
        <v>0</v>
      </c>
      <c r="K276" s="156" t="str">
        <f t="array" ref="K276">INDEX('CENTRO - CESAR'!K:K, MATCH(S276, 'CENTRO - CESAR'!K:K, 0), )</f>
        <v>C - 146</v>
      </c>
      <c r="L276" s="250">
        <f t="array" ref="L276">INDEX('CENTRO - CESAR'!L:L, MATCH(S276, 'CENTRO - CESAR'!K:K, 0), )</f>
        <v>0</v>
      </c>
      <c r="M276" s="251">
        <f t="array" ref="M276">INDEX('CENTRO - CESAR'!M:M, MATCH(S276, 'CENTRO - CESAR'!K:K, 0), )</f>
        <v>0</v>
      </c>
      <c r="N276" s="252">
        <f t="array" ref="N276">INDEX('CENTRO - CESAR'!N:N, MATCH(S276, 'CENTRO - CESAR'!K:K, 0), )</f>
        <v>0</v>
      </c>
      <c r="O276" s="253">
        <f t="array" ref="O276">INDEX('CENTRO - CESAR'!O:O, MATCH(S276, 'CENTRO - CESAR'!K:K, 0), )</f>
        <v>0</v>
      </c>
      <c r="P276" s="236">
        <v>-5.9070138888888897</v>
      </c>
      <c r="Q276" s="236">
        <v>-76.109888888888889</v>
      </c>
      <c r="R276" s="243" t="s">
        <v>1735</v>
      </c>
      <c r="S276" s="246" t="s">
        <v>1736</v>
      </c>
      <c r="U276" s="245"/>
    </row>
    <row r="277" spans="1:21" ht="17.25" customHeight="1">
      <c r="A277" s="236">
        <v>276</v>
      </c>
      <c r="B277" s="256" t="str">
        <f t="array" ref="B277">INDEX('SUR - ESTER'!B:B, MATCH(S277,'SUR - ESTER'!K:K, 0), )</f>
        <v>Abancay</v>
      </c>
      <c r="C277" s="156" t="str">
        <f t="array" ref="C277">INDEX('SUR - ESTER'!C:C, MATCH(S277,'SUR - ESTER'!K:K, 0), )</f>
        <v>Apurimac</v>
      </c>
      <c r="D277" s="156" t="str">
        <f t="array" ref="D277">INDEX('SUR - ESTER'!D:D, MATCH(S277,'SUR - ESTER'!K:K, 0), )</f>
        <v>FM</v>
      </c>
      <c r="E277" s="156" t="str">
        <f t="array" ref="E277">INDEX('SUR - ESTER'!E:E, MATCH(S277,'SUR - ESTER'!K:K, 0), )</f>
        <v>106,7</v>
      </c>
      <c r="F277" s="156">
        <f t="array" ref="F277">INDEX('SUR - ESTER'!F:F, MATCH(S277,'SUR - ESTER'!K:K, 0), )</f>
        <v>67</v>
      </c>
      <c r="G277" s="159" t="str">
        <f t="array" ref="G277">INDEX('SUR - ESTER'!G:G, MATCH(S277,'SUR - ESTER'!K:K, 0), )</f>
        <v>A.A</v>
      </c>
      <c r="H277" s="238" t="str">
        <f t="array" ref="H277">INDEX('SUR - ESTER'!H:H, MATCH(S277,'SUR - ESTER'!K:K, 0), )</f>
        <v>ABANCAY</v>
      </c>
      <c r="I277" s="239" t="str">
        <f t="array" ref="I277">INDEX('SUR - ESTER'!I:I, MATCH(S277,'SUR - ESTER'!K:K, 0), )</f>
        <v>11/11/2025 - Sectoristas - Opera con normalidad / inf. Ps. Juan Carlos Lazaro</v>
      </c>
      <c r="J277" s="257">
        <f t="array" ref="J277">INDEX('SUR - ESTER'!J:J, MATCH(S277,'SUR - ESTER'!K:K, 0), )</f>
        <v>0</v>
      </c>
      <c r="K277" s="156" t="str">
        <f t="array" ref="K277">INDEX('SUR - ESTER'!K:K, MATCH(S277,'SUR - ESTER'!K:K, 0), )</f>
        <v>E - 1</v>
      </c>
      <c r="L277" s="251" t="str">
        <f t="array" ref="L277">INDEX('SUR - ESTER'!L:L, MATCH(S277,'SUR - ESTER'!K:K, 0), )</f>
        <v>Sectoristas</v>
      </c>
      <c r="M277" s="251" t="str">
        <f t="array" ref="M277">INDEX('SUR - ESTER'!M:M, MATCH(S277,'SUR - ESTER'!K:K, 0), )</f>
        <v>Nivel 1</v>
      </c>
      <c r="N277" s="252">
        <f t="array" ref="N277">INDEX('SUR - ESTER'!N:N, MATCH(S277,'SUR - ESTER'!K:K, 0), )</f>
        <v>0</v>
      </c>
      <c r="O277" s="253">
        <f t="array" ref="O277">INDEX('SUR - ESTER'!O:O, MATCH(S277,'SUR - ESTER'!K:K, 0), )</f>
        <v>0</v>
      </c>
      <c r="P277" s="236">
        <v>-13.620391666666666</v>
      </c>
      <c r="Q277" s="236">
        <v>-72.884002777777781</v>
      </c>
      <c r="R277" s="243" t="s">
        <v>1737</v>
      </c>
      <c r="S277" s="246" t="s">
        <v>1738</v>
      </c>
      <c r="U277" s="245"/>
    </row>
    <row r="278" spans="1:21" ht="17.25" customHeight="1">
      <c r="A278" s="236">
        <v>277</v>
      </c>
      <c r="B278" s="256" t="str">
        <f t="array" ref="B278">INDEX('SUR - ESTER'!B:B, MATCH(S278,'SUR - ESTER'!K:K, 0), )</f>
        <v>Abancay - Tamburco</v>
      </c>
      <c r="C278" s="156" t="str">
        <f t="array" ref="C278">INDEX('SUR - ESTER'!C:C, MATCH(S278,'SUR - ESTER'!K:K, 0), )</f>
        <v>Apurimac</v>
      </c>
      <c r="D278" s="156" t="str">
        <f t="array" ref="D278">INDEX('SUR - ESTER'!D:D, MATCH(S278,'SUR - ESTER'!K:K, 0), )</f>
        <v>UHF</v>
      </c>
      <c r="E278" s="156">
        <f t="array" ref="E278">INDEX('SUR - ESTER'!E:E, MATCH(S278,'SUR - ESTER'!K:K, 0), )</f>
        <v>33</v>
      </c>
      <c r="F278" s="156">
        <f t="array" ref="F278">INDEX('SUR - ESTER'!F:F, MATCH(S278,'SUR - ESTER'!K:K, 0), )</f>
        <v>67</v>
      </c>
      <c r="G278" s="159" t="str">
        <f t="array" ref="G278">INDEX('SUR - ESTER'!G:G, MATCH(S278,'SUR - ESTER'!K:K, 0), )</f>
        <v>A.A</v>
      </c>
      <c r="H278" s="238" t="str">
        <f t="array" ref="H278">INDEX('SUR - ESTER'!H:H, MATCH(S278,'SUR - ESTER'!K:K, 0), )</f>
        <v>ABANCAY</v>
      </c>
      <c r="I278" s="239" t="str">
        <f t="array" ref="I278">INDEX('SUR - ESTER'!I:I, MATCH(S278,'SUR - ESTER'!K:K, 0), )</f>
        <v>11/11/2025 - Sectoristas - Opera con normalidad / inf. Ps. Juan Carlos Lazaro</v>
      </c>
      <c r="J278" s="257">
        <f t="array" ref="J278">INDEX('SUR - ESTER'!J:J, MATCH(S278,'SUR - ESTER'!K:K, 0), )</f>
        <v>0</v>
      </c>
      <c r="K278" s="156" t="str">
        <f t="array" ref="K278">INDEX('SUR - ESTER'!K:K, MATCH(S278,'SUR - ESTER'!K:K, 0), )</f>
        <v>E - 2</v>
      </c>
      <c r="L278" s="251" t="str">
        <f t="array" ref="L278">INDEX('SUR - ESTER'!L:L, MATCH(S278,'SUR - ESTER'!K:K, 0), )</f>
        <v>Sectoristas</v>
      </c>
      <c r="M278" s="251" t="str">
        <f t="array" ref="M278">INDEX('SUR - ESTER'!M:M, MATCH(S278,'SUR - ESTER'!K:K, 0), )</f>
        <v>Nivel 1</v>
      </c>
      <c r="N278" s="252">
        <f t="array" ref="N278">INDEX('SUR - ESTER'!N:N, MATCH(S278,'SUR - ESTER'!K:K, 0), )</f>
        <v>0</v>
      </c>
      <c r="O278" s="253">
        <f t="array" ref="O278">INDEX('SUR - ESTER'!O:O, MATCH(S278,'SUR - ESTER'!K:K, 0), )</f>
        <v>0</v>
      </c>
      <c r="P278" s="236">
        <v>-13.620391666666666</v>
      </c>
      <c r="Q278" s="236">
        <v>-72.884002777777781</v>
      </c>
      <c r="R278" s="243" t="s">
        <v>1737</v>
      </c>
      <c r="S278" s="246" t="s">
        <v>1739</v>
      </c>
      <c r="U278" s="245"/>
    </row>
    <row r="279" spans="1:21" ht="17.25" customHeight="1">
      <c r="A279" s="236">
        <v>278</v>
      </c>
      <c r="B279" s="256" t="str">
        <f t="array" ref="B279">INDEX('SUR - ESTER'!B:B, MATCH(S279,'SUR - ESTER'!K:K, 0), )</f>
        <v>Acari (Bella Unión)</v>
      </c>
      <c r="C279" s="156" t="str">
        <f t="array" ref="C279">INDEX('SUR - ESTER'!C:C, MATCH(S279,'SUR - ESTER'!K:K, 0), )</f>
        <v>Arequipa</v>
      </c>
      <c r="D279" s="156" t="str">
        <f t="array" ref="D279">INDEX('SUR - ESTER'!D:D, MATCH(S279,'SUR - ESTER'!K:K, 0), )</f>
        <v>FM</v>
      </c>
      <c r="E279" s="156" t="str">
        <f t="array" ref="E279">INDEX('SUR - ESTER'!E:E, MATCH(S279,'SUR - ESTER'!K:K, 0), )</f>
        <v>101,5</v>
      </c>
      <c r="F279" s="156">
        <f t="array" ref="F279">INDEX('SUR - ESTER'!F:F, MATCH(S279,'SUR - ESTER'!K:K, 0), )</f>
        <v>65</v>
      </c>
      <c r="G279" s="159" t="str">
        <f t="array" ref="G279">INDEX('SUR - ESTER'!G:G, MATCH(S279,'SUR - ESTER'!K:K, 0), )</f>
        <v>A.A</v>
      </c>
      <c r="H279" s="238" t="str">
        <f t="array" ref="H279">INDEX('SUR - ESTER'!H:H, MATCH(S279,'SUR - ESTER'!K:K, 0), )</f>
        <v>ACARI</v>
      </c>
      <c r="I279" s="239" t="str">
        <f t="array" ref="I279">INDEX('SUR - ESTER'!I:I, MATCH(S279,'SUR - ESTER'!K:K, 0), )</f>
        <v>12/11/2025 - Sectoristas - Opera con normalidad / el pastor informo que desea realizar cambio de torre por motivo de oxidacion.</v>
      </c>
      <c r="J279" s="257">
        <f t="array" ref="J279">INDEX('SUR - ESTER'!J:J, MATCH(S279,'SUR - ESTER'!K:K, 0), )</f>
        <v>0</v>
      </c>
      <c r="K279" s="156" t="str">
        <f t="array" ref="K279">INDEX('SUR - ESTER'!K:K, MATCH(S279,'SUR - ESTER'!K:K, 0), )</f>
        <v>E - 3</v>
      </c>
      <c r="L279" s="251">
        <f t="array" ref="L279">INDEX('SUR - ESTER'!L:L, MATCH(S279,'SUR - ESTER'!K:K, 0), )</f>
        <v>0</v>
      </c>
      <c r="M279" s="251">
        <f t="array" ref="M279">INDEX('SUR - ESTER'!M:M, MATCH(S279,'SUR - ESTER'!K:K, 0), )</f>
        <v>0</v>
      </c>
      <c r="N279" s="252">
        <f t="array" ref="N279">INDEX('SUR - ESTER'!N:N, MATCH(S279,'SUR - ESTER'!K:K, 0), )</f>
        <v>0</v>
      </c>
      <c r="O279" s="253">
        <f t="array" ref="O279">INDEX('SUR - ESTER'!O:O, MATCH(S279,'SUR - ESTER'!K:K, 0), )</f>
        <v>0</v>
      </c>
      <c r="P279" s="236">
        <v>-15.459024999999999</v>
      </c>
      <c r="Q279" s="236">
        <v>-74.674888888888887</v>
      </c>
      <c r="R279" s="243" t="s">
        <v>1740</v>
      </c>
      <c r="S279" s="246" t="s">
        <v>1741</v>
      </c>
      <c r="U279" s="245"/>
    </row>
    <row r="280" spans="1:21" ht="17.25" customHeight="1">
      <c r="A280" s="236">
        <v>279</v>
      </c>
      <c r="B280" s="256" t="str">
        <f t="array" ref="B280">INDEX('SUR - ESTER'!B:B, MATCH(S280,'SUR - ESTER'!K:K, 0), )</f>
        <v>Alegria - Las Piedras</v>
      </c>
      <c r="C280" s="156" t="str">
        <f t="array" ref="C280">INDEX('SUR - ESTER'!C:C, MATCH(S280,'SUR - ESTER'!K:K, 0), )</f>
        <v>Madre de Dios</v>
      </c>
      <c r="D280" s="156" t="str">
        <f t="array" ref="D280">INDEX('SUR - ESTER'!D:D, MATCH(S280,'SUR - ESTER'!K:K, 0), )</f>
        <v>FM</v>
      </c>
      <c r="E280" s="156" t="str">
        <f t="array" ref="E280">INDEX('SUR - ESTER'!E:E, MATCH(S280,'SUR - ESTER'!K:K, 0), )</f>
        <v>97,1</v>
      </c>
      <c r="F280" s="156">
        <f t="array" ref="F280">INDEX('SUR - ESTER'!F:F, MATCH(S280,'SUR - ESTER'!K:K, 0), )</f>
        <v>34</v>
      </c>
      <c r="G280" s="159" t="str">
        <f t="array" ref="G280">INDEX('SUR - ESTER'!G:G, MATCH(S280,'SUR - ESTER'!K:K, 0), )</f>
        <v>A.A</v>
      </c>
      <c r="H280" s="238" t="str">
        <f t="array" ref="H280">INDEX('SUR - ESTER'!H:H, MATCH(S280,'SUR - ESTER'!K:K, 0), )</f>
        <v>ALEGRIA</v>
      </c>
      <c r="I280" s="239" t="str">
        <f t="array" ref="I280">INDEX('SUR - ESTER'!I:I, MATCH(S280,'SUR - ESTER'!K:K, 0), )</f>
        <v>12/11/2025 - Sectoristas - Opera con normalidad / Inf. Ps. Oscar Benavides</v>
      </c>
      <c r="J280" s="257">
        <f t="array" ref="J280">INDEX('SUR - ESTER'!J:J, MATCH(S280,'SUR - ESTER'!K:K, 0), )</f>
        <v>0</v>
      </c>
      <c r="K280" s="156" t="str">
        <f t="array" ref="K280">INDEX('SUR - ESTER'!K:K, MATCH(S280,'SUR - ESTER'!K:K, 0), )</f>
        <v>E - 4</v>
      </c>
      <c r="L280" s="251">
        <f t="array" ref="L280">INDEX('SUR - ESTER'!L:L, MATCH(S280,'SUR - ESTER'!K:K, 0), )</f>
        <v>0</v>
      </c>
      <c r="M280" s="251">
        <f t="array" ref="M280">INDEX('SUR - ESTER'!M:M, MATCH(S280,'SUR - ESTER'!K:K, 0), )</f>
        <v>0</v>
      </c>
      <c r="N280" s="252">
        <f t="array" ref="N280">INDEX('SUR - ESTER'!N:N, MATCH(S280,'SUR - ESTER'!K:K, 0), )</f>
        <v>0</v>
      </c>
      <c r="O280" s="253">
        <f t="array" ref="O280">INDEX('SUR - ESTER'!O:O, MATCH(S280,'SUR - ESTER'!K:K, 0), )</f>
        <v>0</v>
      </c>
      <c r="P280" s="236">
        <v>-12.12113888888889</v>
      </c>
      <c r="Q280" s="236">
        <v>-69.117944444444433</v>
      </c>
      <c r="R280" s="243" t="s">
        <v>1742</v>
      </c>
      <c r="S280" s="246" t="s">
        <v>1743</v>
      </c>
      <c r="U280" s="245"/>
    </row>
    <row r="281" spans="1:21" ht="17.25" customHeight="1">
      <c r="A281" s="236">
        <v>280</v>
      </c>
      <c r="B281" s="256" t="str">
        <f t="array" ref="B281">INDEX('SUR - ESTER'!B:B, MATCH(S281,'SUR - ESTER'!K:K, 0), )</f>
        <v>Alerta - Tahuamanu</v>
      </c>
      <c r="C281" s="156" t="str">
        <f t="array" ref="C281">INDEX('SUR - ESTER'!C:C, MATCH(S281,'SUR - ESTER'!K:K, 0), )</f>
        <v>Madre de Dios</v>
      </c>
      <c r="D281" s="156" t="str">
        <f t="array" ref="D281">INDEX('SUR - ESTER'!D:D, MATCH(S281,'SUR - ESTER'!K:K, 0), )</f>
        <v>FM</v>
      </c>
      <c r="E281" s="156">
        <f t="array" ref="E281">INDEX('SUR - ESTER'!E:E, MATCH(S281,'SUR - ESTER'!K:K, 0), )</f>
        <v>100.5</v>
      </c>
      <c r="F281" s="156">
        <f t="array" ref="F281">INDEX('SUR - ESTER'!F:F, MATCH(S281,'SUR - ESTER'!K:K, 0), )</f>
        <v>34</v>
      </c>
      <c r="G281" s="159" t="str">
        <f t="array" ref="G281">INDEX('SUR - ESTER'!G:G, MATCH(S281,'SUR - ESTER'!K:K, 0), )</f>
        <v>A.A</v>
      </c>
      <c r="H281" s="238" t="str">
        <f t="array" ref="H281">INDEX('SUR - ESTER'!H:H, MATCH(S281,'SUR - ESTER'!K:K, 0), )</f>
        <v>ALERTA</v>
      </c>
      <c r="I281" s="239" t="str">
        <f t="array" ref="I281">INDEX('SUR - ESTER'!I:I, MATCH(S281,'SUR - ESTER'!K:K, 0), )</f>
        <v>12/11/2025 - Sectoristas - Opera con normalidad / Inf. Ps. Gusmal Solis</v>
      </c>
      <c r="J281" s="257">
        <f t="array" ref="J281">INDEX('SUR - ESTER'!J:J, MATCH(S281,'SUR - ESTER'!K:K, 0), )</f>
        <v>0</v>
      </c>
      <c r="K281" s="156" t="str">
        <f t="array" ref="K281">INDEX('SUR - ESTER'!K:K, MATCH(S281,'SUR - ESTER'!K:K, 0), )</f>
        <v>E - 5</v>
      </c>
      <c r="L281" s="251">
        <f t="array" ref="L281">INDEX('SUR - ESTER'!L:L, MATCH(S281,'SUR - ESTER'!K:K, 0), )</f>
        <v>0</v>
      </c>
      <c r="M281" s="251">
        <f t="array" ref="M281">INDEX('SUR - ESTER'!M:M, MATCH(S281,'SUR - ESTER'!K:K, 0), )</f>
        <v>0</v>
      </c>
      <c r="N281" s="252">
        <f t="array" ref="N281">INDEX('SUR - ESTER'!N:N, MATCH(S281,'SUR - ESTER'!K:K, 0), )</f>
        <v>0</v>
      </c>
      <c r="O281" s="253">
        <f t="array" ref="O281">INDEX('SUR - ESTER'!O:O, MATCH(S281,'SUR - ESTER'!K:K, 0), )</f>
        <v>0</v>
      </c>
      <c r="P281" s="236">
        <v>-11.6615</v>
      </c>
      <c r="Q281" s="236">
        <v>-69.235194444444446</v>
      </c>
      <c r="R281" s="243" t="s">
        <v>1744</v>
      </c>
      <c r="S281" s="246" t="s">
        <v>1745</v>
      </c>
      <c r="U281" s="245"/>
    </row>
    <row r="282" spans="1:21" ht="17.25" customHeight="1">
      <c r="A282" s="236">
        <v>281</v>
      </c>
      <c r="B282" s="256" t="str">
        <f t="array" ref="B282">INDEX('SUR - ESTER'!B:B, MATCH(S282,'SUR - ESTER'!K:K, 0), )</f>
        <v>Ananea - RINCONADA</v>
      </c>
      <c r="C282" s="156" t="str">
        <f t="array" ref="C282">INDEX('SUR - ESTER'!C:C, MATCH(S282,'SUR - ESTER'!K:K, 0), )</f>
        <v>Puno</v>
      </c>
      <c r="D282" s="156" t="str">
        <f t="array" ref="D282">INDEX('SUR - ESTER'!D:D, MATCH(S282,'SUR - ESTER'!K:K, 0), )</f>
        <v>FM</v>
      </c>
      <c r="E282" s="156" t="str">
        <f t="array" ref="E282">INDEX('SUR - ESTER'!E:E, MATCH(S282,'SUR - ESTER'!K:K, 0), )</f>
        <v>99,3</v>
      </c>
      <c r="F282" s="156">
        <f t="array" ref="F282">INDEX('SUR - ESTER'!F:F, MATCH(S282,'SUR - ESTER'!K:K, 0), )</f>
        <v>31</v>
      </c>
      <c r="G282" s="159" t="str">
        <f t="array" ref="G282">INDEX('SUR - ESTER'!G:G, MATCH(S282,'SUR - ESTER'!K:K, 0), )</f>
        <v>A.A</v>
      </c>
      <c r="H282" s="238" t="str">
        <f t="array" ref="H282">INDEX('SUR - ESTER'!H:H, MATCH(S282,'SUR - ESTER'!K:K, 0), )</f>
        <v>LA RINCONADA</v>
      </c>
      <c r="I282" s="239" t="str">
        <f t="array" ref="I282">INDEX('SUR - ESTER'!I:I, MATCH(S282,'SUR - ESTER'!K:K, 0), )</f>
        <v>1/10/2025 - Sectoristas - Opera con Normalidad</v>
      </c>
      <c r="J282" s="257">
        <f t="array" ref="J282">INDEX('SUR - ESTER'!J:J, MATCH(S282,'SUR - ESTER'!K:K, 0), )</f>
        <v>0</v>
      </c>
      <c r="K282" s="156" t="str">
        <f t="array" ref="K282">INDEX('SUR - ESTER'!K:K, MATCH(S282,'SUR - ESTER'!K:K, 0), )</f>
        <v>E - 6</v>
      </c>
      <c r="L282" s="251">
        <f t="array" ref="L282">INDEX('SUR - ESTER'!L:L, MATCH(S282,'SUR - ESTER'!K:K, 0), )</f>
        <v>0</v>
      </c>
      <c r="M282" s="251">
        <f t="array" ref="M282">INDEX('SUR - ESTER'!M:M, MATCH(S282,'SUR - ESTER'!K:K, 0), )</f>
        <v>0</v>
      </c>
      <c r="N282" s="252">
        <f t="array" ref="N282">INDEX('SUR - ESTER'!N:N, MATCH(S282,'SUR - ESTER'!K:K, 0), )</f>
        <v>0</v>
      </c>
      <c r="O282" s="253">
        <f t="array" ref="O282">INDEX('SUR - ESTER'!O:O, MATCH(S282,'SUR - ESTER'!K:K, 0), )</f>
        <v>0</v>
      </c>
      <c r="P282" s="236">
        <v>-14.633105555555556</v>
      </c>
      <c r="Q282" s="236">
        <v>-69.443877777777786</v>
      </c>
      <c r="R282" s="243" t="s">
        <v>1746</v>
      </c>
      <c r="S282" s="246" t="s">
        <v>1747</v>
      </c>
      <c r="U282" s="245"/>
    </row>
    <row r="283" spans="1:21" ht="17.25" customHeight="1">
      <c r="A283" s="236">
        <v>282</v>
      </c>
      <c r="B283" s="256" t="str">
        <f t="array" ref="B283">INDEX('SUR - ESTER'!B:B, MATCH(S283,'SUR - ESTER'!K:K, 0), )</f>
        <v>Andagua</v>
      </c>
      <c r="C283" s="156" t="str">
        <f t="array" ref="C283">INDEX('SUR - ESTER'!C:C, MATCH(S283,'SUR - ESTER'!K:K, 0), )</f>
        <v>Arequipa</v>
      </c>
      <c r="D283" s="156" t="str">
        <f t="array" ref="D283">INDEX('SUR - ESTER'!D:D, MATCH(S283,'SUR - ESTER'!K:K, 0), )</f>
        <v>FM</v>
      </c>
      <c r="E283" s="156" t="str">
        <f t="array" ref="E283">INDEX('SUR - ESTER'!E:E, MATCH(S283,'SUR - ESTER'!K:K, 0), )</f>
        <v>93,1</v>
      </c>
      <c r="F283" s="156">
        <f t="array" ref="F283">INDEX('SUR - ESTER'!F:F, MATCH(S283,'SUR - ESTER'!K:K, 0), )</f>
        <v>125</v>
      </c>
      <c r="G283" s="159" t="str">
        <f t="array" ref="G283">INDEX('SUR - ESTER'!G:G, MATCH(S283,'SUR - ESTER'!K:K, 0), )</f>
        <v>F.A</v>
      </c>
      <c r="H283" s="238" t="str">
        <f t="array" ref="H283">INDEX('SUR - ESTER'!H:H, MATCH(S283,'SUR - ESTER'!K:K, 0), )</f>
        <v>ANDAGUA</v>
      </c>
      <c r="I283" s="239" t="str">
        <f t="array" ref="I283">INDEX('SUR - ESTER'!I:I, MATCH(S283,'SUR - ESTER'!K:K, 0), )</f>
        <v>27/11/2025 - Sectoristas - El presbitero comento que no dispone de tiempo para ir Andagua, el nos estaria avisando que dia puede viajar llevando el trasmisor (son 8 hrs de viaje aprox.)</v>
      </c>
      <c r="J283" s="257" t="str">
        <f t="array" ref="J283">INDEX('SUR - ESTER'!J:J, MATCH(S283,'SUR - ESTER'!K:K, 0), )</f>
        <v>NO HAY OBRA</v>
      </c>
      <c r="K283" s="156" t="str">
        <f t="array" ref="K283">INDEX('SUR - ESTER'!K:K, MATCH(S283,'SUR - ESTER'!K:K, 0), )</f>
        <v>E - 7</v>
      </c>
      <c r="L283" s="251" t="str">
        <f t="array" ref="L283">INDEX('SUR - ESTER'!L:L, MATCH(S283,'SUR - ESTER'!K:K, 0), )</f>
        <v>Sectoristas</v>
      </c>
      <c r="M283" s="251" t="str">
        <f t="array" ref="M283">INDEX('SUR - ESTER'!M:M, MATCH(S283,'SUR - ESTER'!K:K, 0), )</f>
        <v>Nivel 1</v>
      </c>
      <c r="N283" s="252">
        <f t="array" ref="N283">INDEX('SUR - ESTER'!N:N, MATCH(S283,'SUR - ESTER'!K:K, 0), )</f>
        <v>0</v>
      </c>
      <c r="O283" s="253">
        <f t="array" ref="O283">INDEX('SUR - ESTER'!O:O, MATCH(S283,'SUR - ESTER'!K:K, 0), )</f>
        <v>0</v>
      </c>
      <c r="P283" s="236">
        <v>-15.496366666666665</v>
      </c>
      <c r="Q283" s="236">
        <v>-72.357172222222218</v>
      </c>
      <c r="R283" s="243" t="s">
        <v>1748</v>
      </c>
      <c r="S283" s="246" t="s">
        <v>1223</v>
      </c>
      <c r="U283" s="245"/>
    </row>
    <row r="284" spans="1:21" ht="17.25" customHeight="1">
      <c r="A284" s="236">
        <v>283</v>
      </c>
      <c r="B284" s="256" t="str">
        <f t="array" ref="B284">INDEX('SUR - ESTER'!B:B, MATCH(S284,'SUR - ESTER'!K:K, 0), )</f>
        <v>Andahuaylas</v>
      </c>
      <c r="C284" s="156" t="str">
        <f t="array" ref="C284">INDEX('SUR - ESTER'!C:C, MATCH(S284,'SUR - ESTER'!K:K, 0), )</f>
        <v>Apurimac</v>
      </c>
      <c r="D284" s="156" t="str">
        <f t="array" ref="D284">INDEX('SUR - ESTER'!D:D, MATCH(S284,'SUR - ESTER'!K:K, 0), )</f>
        <v>FM</v>
      </c>
      <c r="E284" s="156" t="str">
        <f t="array" ref="E284">INDEX('SUR - ESTER'!E:E, MATCH(S284,'SUR - ESTER'!K:K, 0), )</f>
        <v>91,7</v>
      </c>
      <c r="F284" s="156">
        <f t="array" ref="F284">INDEX('SUR - ESTER'!F:F, MATCH(S284,'SUR - ESTER'!K:K, 0), )</f>
        <v>22</v>
      </c>
      <c r="G284" s="159" t="str">
        <f t="array" ref="G284">INDEX('SUR - ESTER'!G:G, MATCH(S284,'SUR - ESTER'!K:K, 0), )</f>
        <v>A.A</v>
      </c>
      <c r="H284" s="238" t="str">
        <f t="array" ref="H284">INDEX('SUR - ESTER'!H:H, MATCH(S284,'SUR - ESTER'!K:K, 0), )</f>
        <v>ANDAHUAYLAS</v>
      </c>
      <c r="I284" s="239" t="str">
        <f t="array" ref="I284">INDEX('SUR - ESTER'!I:I, MATCH(S284,'SUR - ESTER'!K:K, 0), )</f>
        <v>11/11/2025 - Sectoristas - Opera con normalidad / inf. Ps. Genaro Quispe</v>
      </c>
      <c r="J284" s="257">
        <f t="array" ref="J284">INDEX('SUR - ESTER'!J:J, MATCH(S284,'SUR - ESTER'!K:K, 0), )</f>
        <v>0</v>
      </c>
      <c r="K284" s="156" t="str">
        <f t="array" ref="K284">INDEX('SUR - ESTER'!K:K, MATCH(S284,'SUR - ESTER'!K:K, 0), )</f>
        <v>E - 8</v>
      </c>
      <c r="L284" s="251" t="str">
        <f t="array" ref="L284">INDEX('SUR - ESTER'!L:L, MATCH(S284,'SUR - ESTER'!K:K, 0), )</f>
        <v>Sectoristas</v>
      </c>
      <c r="M284" s="251" t="str">
        <f t="array" ref="M284">INDEX('SUR - ESTER'!M:M, MATCH(S284,'SUR - ESTER'!K:K, 0), )</f>
        <v>Nivel 1</v>
      </c>
      <c r="N284" s="258">
        <f t="array" ref="N284">INDEX('SUR - ESTER'!N:N, MATCH(S284,'SUR - ESTER'!K:K, 0), )</f>
        <v>0</v>
      </c>
      <c r="O284" s="253">
        <f t="array" ref="O284">INDEX('SUR - ESTER'!O:O, MATCH(S284,'SUR - ESTER'!K:K, 0), )</f>
        <v>0</v>
      </c>
      <c r="P284" s="236">
        <v>-13.661388888888888</v>
      </c>
      <c r="Q284" s="236">
        <v>-73.38644444444445</v>
      </c>
      <c r="R284" s="243" t="s">
        <v>1749</v>
      </c>
      <c r="S284" s="246" t="s">
        <v>1750</v>
      </c>
      <c r="U284" s="245"/>
    </row>
    <row r="285" spans="1:21" ht="17.25" customHeight="1">
      <c r="A285" s="236">
        <v>284</v>
      </c>
      <c r="B285" s="256" t="str">
        <f t="array" ref="B285">INDEX('SUR - ESTER'!B:B, MATCH(S285,'SUR - ESTER'!K:K, 0), )</f>
        <v>Andahuaylas</v>
      </c>
      <c r="C285" s="156" t="str">
        <f t="array" ref="C285">INDEX('SUR - ESTER'!C:C, MATCH(S285,'SUR - ESTER'!K:K, 0), )</f>
        <v>Apurimac</v>
      </c>
      <c r="D285" s="156" t="str">
        <f t="array" ref="D285">INDEX('SUR - ESTER'!D:D, MATCH(S285,'SUR - ESTER'!K:K, 0), )</f>
        <v>VHF</v>
      </c>
      <c r="E285" s="156">
        <f t="array" ref="E285">INDEX('SUR - ESTER'!E:E, MATCH(S285,'SUR - ESTER'!K:K, 0), )</f>
        <v>9</v>
      </c>
      <c r="F285" s="156">
        <f t="array" ref="F285">INDEX('SUR - ESTER'!F:F, MATCH(S285,'SUR - ESTER'!K:K, 0), )</f>
        <v>22</v>
      </c>
      <c r="G285" s="159" t="str">
        <f t="array" ref="G285">INDEX('SUR - ESTER'!G:G, MATCH(S285,'SUR - ESTER'!K:K, 0), )</f>
        <v>A.A</v>
      </c>
      <c r="H285" s="238" t="str">
        <f t="array" ref="H285">INDEX('SUR - ESTER'!H:H, MATCH(S285,'SUR - ESTER'!K:K, 0), )</f>
        <v>ANDAHUAYLAS VHF</v>
      </c>
      <c r="I285" s="239" t="str">
        <f t="array" ref="I285">INDEX('SUR - ESTER'!I:I, MATCH(S285,'SUR - ESTER'!K:K, 0), )</f>
        <v>11/11/2025 - Sectoristas - Opera con normalidad / inf. Ps. Genaro Quispe</v>
      </c>
      <c r="J285" s="257">
        <f t="array" ref="J285">INDEX('SUR - ESTER'!J:J, MATCH(S285,'SUR - ESTER'!K:K, 0), )</f>
        <v>0</v>
      </c>
      <c r="K285" s="156" t="str">
        <f t="array" ref="K285">INDEX('SUR - ESTER'!K:K, MATCH(S285,'SUR - ESTER'!K:K, 0), )</f>
        <v>E - 9</v>
      </c>
      <c r="L285" s="251" t="str">
        <f t="array" ref="L285">INDEX('SUR - ESTER'!L:L, MATCH(S285,'SUR - ESTER'!K:K, 0), )</f>
        <v>Sectoristas</v>
      </c>
      <c r="M285" s="251" t="str">
        <f t="array" ref="M285">INDEX('SUR - ESTER'!M:M, MATCH(S285,'SUR - ESTER'!K:K, 0), )</f>
        <v>Nivel 1</v>
      </c>
      <c r="N285" s="258">
        <f t="array" ref="N285">INDEX('SUR - ESTER'!N:N, MATCH(S285,'SUR - ESTER'!K:K, 0), )</f>
        <v>0</v>
      </c>
      <c r="O285" s="253">
        <f t="array" ref="O285">INDEX('SUR - ESTER'!O:O, MATCH(S285,'SUR - ESTER'!K:K, 0), )</f>
        <v>0</v>
      </c>
      <c r="P285" s="236">
        <v>-13.658611111111112</v>
      </c>
      <c r="Q285" s="236">
        <v>-73.382777777777775</v>
      </c>
      <c r="R285" s="243" t="s">
        <v>1751</v>
      </c>
      <c r="S285" s="246" t="s">
        <v>1752</v>
      </c>
      <c r="U285" s="245"/>
    </row>
    <row r="286" spans="1:21" ht="17.25" customHeight="1">
      <c r="A286" s="236">
        <v>285</v>
      </c>
      <c r="B286" s="256" t="str">
        <f t="array" ref="B286">INDEX('SUR - ESTER'!B:B, MATCH(S286,'SUR - ESTER'!K:K, 0), )</f>
        <v>Anta</v>
      </c>
      <c r="C286" s="156" t="str">
        <f t="array" ref="C286">INDEX('SUR - ESTER'!C:C, MATCH(S286,'SUR - ESTER'!K:K, 0), )</f>
        <v>Cusco</v>
      </c>
      <c r="D286" s="156" t="str">
        <f t="array" ref="D286">INDEX('SUR - ESTER'!D:D, MATCH(S286,'SUR - ESTER'!K:K, 0), )</f>
        <v>FM</v>
      </c>
      <c r="E286" s="156" t="str">
        <f t="array" ref="E286">INDEX('SUR - ESTER'!E:E, MATCH(S286,'SUR - ESTER'!K:K, 0), )</f>
        <v>101,1</v>
      </c>
      <c r="F286" s="156">
        <f t="array" ref="F286">INDEX('SUR - ESTER'!F:F, MATCH(S286,'SUR - ESTER'!K:K, 0), )</f>
        <v>124</v>
      </c>
      <c r="G286" s="159" t="str">
        <f t="array" ref="G286">INDEX('SUR - ESTER'!G:G, MATCH(S286,'SUR - ESTER'!K:K, 0), )</f>
        <v>A.A</v>
      </c>
      <c r="H286" s="238" t="str">
        <f t="array" ref="H286">INDEX('SUR - ESTER'!H:H, MATCH(S286,'SUR - ESTER'!K:K, 0), )</f>
        <v>ANTA</v>
      </c>
      <c r="I286" s="239" t="str">
        <f t="array" ref="I286">INDEX('SUR - ESTER'!I:I, MATCH(S286,'SUR - ESTER'!K:K, 0), )</f>
        <v>29/10/2025 - Sectoristas - Opera con normalidad</v>
      </c>
      <c r="J286" s="257">
        <f t="array" ref="J286">INDEX('SUR - ESTER'!J:J, MATCH(S286,'SUR - ESTER'!K:K, 0), )</f>
        <v>0</v>
      </c>
      <c r="K286" s="156" t="str">
        <f t="array" ref="K286">INDEX('SUR - ESTER'!K:K, MATCH(S286,'SUR - ESTER'!K:K, 0), )</f>
        <v>E - 10</v>
      </c>
      <c r="L286" s="251">
        <f t="array" ref="L286">INDEX('SUR - ESTER'!L:L, MATCH(S286,'SUR - ESTER'!K:K, 0), )</f>
        <v>0</v>
      </c>
      <c r="M286" s="251">
        <f t="array" ref="M286">INDEX('SUR - ESTER'!M:M, MATCH(S286,'SUR - ESTER'!K:K, 0), )</f>
        <v>0</v>
      </c>
      <c r="N286" s="258">
        <f t="array" ref="N286">INDEX('SUR - ESTER'!N:N, MATCH(S286,'SUR - ESTER'!K:K, 0), )</f>
        <v>0</v>
      </c>
      <c r="O286" s="253">
        <f t="array" ref="O286">INDEX('SUR - ESTER'!O:O, MATCH(S286,'SUR - ESTER'!K:K, 0), )</f>
        <v>0</v>
      </c>
      <c r="P286" s="236">
        <v>-13.464611111111111</v>
      </c>
      <c r="Q286" s="236">
        <v>-72.149388888888893</v>
      </c>
      <c r="R286" s="259" t="s">
        <v>1753</v>
      </c>
      <c r="S286" s="246" t="s">
        <v>1754</v>
      </c>
      <c r="U286" s="245"/>
    </row>
    <row r="287" spans="1:21" ht="17.25" customHeight="1">
      <c r="A287" s="236">
        <v>286</v>
      </c>
      <c r="B287" s="256" t="str">
        <f t="array" ref="B287">INDEX('SUR - ESTER'!B:B, MATCH(S287,'SUR - ESTER'!K:K, 0), )</f>
        <v>Antabamba</v>
      </c>
      <c r="C287" s="156" t="str">
        <f t="array" ref="C287">INDEX('SUR - ESTER'!C:C, MATCH(S287,'SUR - ESTER'!K:K, 0), )</f>
        <v>Apurimac</v>
      </c>
      <c r="D287" s="156" t="str">
        <f t="array" ref="D287">INDEX('SUR - ESTER'!D:D, MATCH(S287,'SUR - ESTER'!K:K, 0), )</f>
        <v>FM</v>
      </c>
      <c r="E287" s="156" t="str">
        <f t="array" ref="E287">INDEX('SUR - ESTER'!E:E, MATCH(S287,'SUR - ESTER'!K:K, 0), )</f>
        <v>97,9</v>
      </c>
      <c r="F287" s="156">
        <f t="array" ref="F287">INDEX('SUR - ESTER'!F:F, MATCH(S287,'SUR - ESTER'!K:K, 0), )</f>
        <v>67</v>
      </c>
      <c r="G287" s="159" t="str">
        <f t="array" ref="G287">INDEX('SUR - ESTER'!G:G, MATCH(S287,'SUR - ESTER'!K:K, 0), )</f>
        <v>A.A</v>
      </c>
      <c r="H287" s="238" t="str">
        <f t="array" ref="H287">INDEX('SUR - ESTER'!H:H, MATCH(S287,'SUR - ESTER'!K:K, 0), )</f>
        <v>ANTABAMBA</v>
      </c>
      <c r="I287" s="239" t="str">
        <f t="array" ref="I287">INDEX('SUR - ESTER'!I:I, MATCH(S287,'SUR - ESTER'!K:K, 0), )</f>
        <v>30/10/2025 - Sectoristas - Opera con normalidad / referencia del pastor</v>
      </c>
      <c r="J287" s="257">
        <f t="array" ref="J287">INDEX('SUR - ESTER'!J:J, MATCH(S287,'SUR - ESTER'!K:K, 0), )</f>
        <v>0</v>
      </c>
      <c r="K287" s="156" t="str">
        <f t="array" ref="K287">INDEX('SUR - ESTER'!K:K, MATCH(S287,'SUR - ESTER'!K:K, 0), )</f>
        <v>E - 11</v>
      </c>
      <c r="L287" s="251">
        <f t="array" ref="L287">INDEX('SUR - ESTER'!L:L, MATCH(S287,'SUR - ESTER'!K:K, 0), )</f>
        <v>0</v>
      </c>
      <c r="M287" s="251">
        <f t="array" ref="M287">INDEX('SUR - ESTER'!M:M, MATCH(S287,'SUR - ESTER'!K:K, 0), )</f>
        <v>0</v>
      </c>
      <c r="N287" s="258">
        <f t="array" ref="N287">INDEX('SUR - ESTER'!N:N, MATCH(S287,'SUR - ESTER'!K:K, 0), )</f>
        <v>0</v>
      </c>
      <c r="O287" s="253">
        <f t="array" ref="O287">INDEX('SUR - ESTER'!O:O, MATCH(S287,'SUR - ESTER'!K:K, 0), )</f>
        <v>0</v>
      </c>
      <c r="P287" s="236">
        <v>-14.369227777777779</v>
      </c>
      <c r="Q287" s="236">
        <v>-72.871347222222212</v>
      </c>
      <c r="R287" s="243" t="s">
        <v>1755</v>
      </c>
      <c r="S287" s="246" t="s">
        <v>1756</v>
      </c>
      <c r="U287" s="245"/>
    </row>
    <row r="288" spans="1:21" ht="17.25" customHeight="1">
      <c r="A288" s="236">
        <v>287</v>
      </c>
      <c r="B288" s="256" t="str">
        <f t="array" ref="B288">INDEX('SUR - ESTER'!B:B, MATCH(S288,'SUR - ESTER'!K:K, 0), )</f>
        <v>Antabamba</v>
      </c>
      <c r="C288" s="156" t="str">
        <f t="array" ref="C288">INDEX('SUR - ESTER'!C:C, MATCH(S288,'SUR - ESTER'!K:K, 0), )</f>
        <v>Apurimac</v>
      </c>
      <c r="D288" s="156" t="str">
        <f t="array" ref="D288">INDEX('SUR - ESTER'!D:D, MATCH(S288,'SUR - ESTER'!K:K, 0), )</f>
        <v>VHF</v>
      </c>
      <c r="E288" s="156">
        <f t="array" ref="E288">INDEX('SUR - ESTER'!E:E, MATCH(S288,'SUR - ESTER'!K:K, 0), )</f>
        <v>7</v>
      </c>
      <c r="F288" s="156">
        <f t="array" ref="F288">INDEX('SUR - ESTER'!F:F, MATCH(S288,'SUR - ESTER'!K:K, 0), )</f>
        <v>67</v>
      </c>
      <c r="G288" s="159" t="str">
        <f t="array" ref="G288">INDEX('SUR - ESTER'!G:G, MATCH(S288,'SUR - ESTER'!K:K, 0), )</f>
        <v>F.A</v>
      </c>
      <c r="H288" s="238" t="str">
        <f t="array" ref="H288">INDEX('SUR - ESTER'!H:H, MATCH(S288,'SUR - ESTER'!K:K, 0), )</f>
        <v>ANTABAMBA VHF</v>
      </c>
      <c r="I288" s="239" t="str">
        <f t="array" ref="I288">INDEX('SUR - ESTER'!I:I, MATCH(S288,'SUR - ESTER'!K:K, 0), )</f>
        <v>20/11/2025 - Sectoristas - El pastor envio a Lima el transmisor y 3 antena yagui para su diagnostico y reparacion, se recogio el dia de ayer 19/11</v>
      </c>
      <c r="J288" s="257" t="str">
        <f t="array" ref="J288">INDEX('SUR - ESTER'!J:J, MATCH(S288,'SUR - ESTER'!K:K, 0), )</f>
        <v>transmisor en diagnostico</v>
      </c>
      <c r="K288" s="156" t="str">
        <f t="array" ref="K288">INDEX('SUR - ESTER'!K:K, MATCH(S288,'SUR - ESTER'!K:K, 0), )</f>
        <v>E - 12</v>
      </c>
      <c r="L288" s="251">
        <f t="array" ref="L288">INDEX('SUR - ESTER'!L:L, MATCH(S288,'SUR - ESTER'!K:K, 0), )</f>
        <v>0</v>
      </c>
      <c r="M288" s="251">
        <f t="array" ref="M288">INDEX('SUR - ESTER'!M:M, MATCH(S288,'SUR - ESTER'!K:K, 0), )</f>
        <v>0</v>
      </c>
      <c r="N288" s="258">
        <f t="array" ref="N288">INDEX('SUR - ESTER'!N:N, MATCH(S288,'SUR - ESTER'!K:K, 0), )</f>
        <v>0</v>
      </c>
      <c r="O288" s="253">
        <f t="array" ref="O288">INDEX('SUR - ESTER'!O:O, MATCH(S288,'SUR - ESTER'!K:K, 0), )</f>
        <v>0</v>
      </c>
      <c r="P288" s="236">
        <v>-14.369222222222223</v>
      </c>
      <c r="Q288" s="236">
        <v>-72.871416666666661</v>
      </c>
      <c r="R288" s="243" t="s">
        <v>1757</v>
      </c>
      <c r="S288" s="246" t="s">
        <v>1225</v>
      </c>
      <c r="U288" s="245"/>
    </row>
    <row r="289" spans="1:21" ht="17.25" customHeight="1">
      <c r="A289" s="236">
        <v>288</v>
      </c>
      <c r="B289" s="256" t="str">
        <f t="array" ref="B289">INDEX('SUR - ESTER'!B:B, MATCH(S289,'SUR - ESTER'!K:K, 0), )</f>
        <v>Aplao</v>
      </c>
      <c r="C289" s="156" t="str">
        <f t="array" ref="C289">INDEX('SUR - ESTER'!C:C, MATCH(S289,'SUR - ESTER'!K:K, 0), )</f>
        <v>Arequipa</v>
      </c>
      <c r="D289" s="156" t="str">
        <f t="array" ref="D289">INDEX('SUR - ESTER'!D:D, MATCH(S289,'SUR - ESTER'!K:K, 0), )</f>
        <v>FM</v>
      </c>
      <c r="E289" s="156" t="str">
        <f t="array" ref="E289">INDEX('SUR - ESTER'!E:E, MATCH(S289,'SUR - ESTER'!K:K, 0), )</f>
        <v>96,5</v>
      </c>
      <c r="F289" s="156">
        <f t="array" ref="F289">INDEX('SUR - ESTER'!F:F, MATCH(S289,'SUR - ESTER'!K:K, 0), )</f>
        <v>39</v>
      </c>
      <c r="G289" s="159" t="str">
        <f t="array" ref="G289">INDEX('SUR - ESTER'!G:G, MATCH(S289,'SUR - ESTER'!K:K, 0), )</f>
        <v>A.A</v>
      </c>
      <c r="H289" s="238" t="str">
        <f t="array" ref="H289">INDEX('SUR - ESTER'!H:H, MATCH(S289,'SUR - ESTER'!K:K, 0), )</f>
        <v>APLAO</v>
      </c>
      <c r="I289" s="239" t="str">
        <f t="array" ref="I289">INDEX('SUR - ESTER'!I:I, MATCH(S289,'SUR - ESTER'!K:K, 0), )</f>
        <v>12/11/2025 - Sectoristas - Opera con Normalidad / Inf. Ps. Luis Alfaro, comento que la proxima estaran haciendo mantenimiento a los equipos.</v>
      </c>
      <c r="J289" s="257">
        <f t="array" ref="J289">INDEX('SUR - ESTER'!J:J, MATCH(S289,'SUR - ESTER'!K:K, 0), )</f>
        <v>0</v>
      </c>
      <c r="K289" s="156" t="str">
        <f t="array" ref="K289">INDEX('SUR - ESTER'!K:K, MATCH(S289,'SUR - ESTER'!K:K, 0), )</f>
        <v>E - 13</v>
      </c>
      <c r="L289" s="251">
        <f t="array" ref="L289">INDEX('SUR - ESTER'!L:L, MATCH(S289,'SUR - ESTER'!K:K, 0), )</f>
        <v>0</v>
      </c>
      <c r="M289" s="251">
        <f t="array" ref="M289">INDEX('SUR - ESTER'!M:M, MATCH(S289,'SUR - ESTER'!K:K, 0), )</f>
        <v>0</v>
      </c>
      <c r="N289" s="258">
        <f t="array" ref="N289">INDEX('SUR - ESTER'!N:N, MATCH(S289,'SUR - ESTER'!K:K, 0), )</f>
        <v>0</v>
      </c>
      <c r="O289" s="253">
        <f t="array" ref="O289">INDEX('SUR - ESTER'!O:O, MATCH(S289,'SUR - ESTER'!K:K, 0), )</f>
        <v>0</v>
      </c>
      <c r="P289" s="236">
        <v>-16.075849999999999</v>
      </c>
      <c r="Q289" s="236">
        <v>-72.496161111111107</v>
      </c>
      <c r="R289" s="243" t="s">
        <v>1758</v>
      </c>
      <c r="S289" s="246" t="s">
        <v>1759</v>
      </c>
      <c r="U289" s="245"/>
    </row>
    <row r="290" spans="1:21" ht="17.25" customHeight="1">
      <c r="A290" s="236">
        <v>289</v>
      </c>
      <c r="B290" s="256" t="str">
        <f t="array" ref="B290">INDEX('SUR - ESTER'!B:B, MATCH(S290,'SUR - ESTER'!K:K, 0), )</f>
        <v>Arequipa</v>
      </c>
      <c r="C290" s="156" t="str">
        <f t="array" ref="C290">INDEX('SUR - ESTER'!C:C, MATCH(S290,'SUR - ESTER'!K:K, 0), )</f>
        <v>Arequipa</v>
      </c>
      <c r="D290" s="156" t="str">
        <f t="array" ref="D290">INDEX('SUR - ESTER'!D:D, MATCH(S290,'SUR - ESTER'!K:K, 0), )</f>
        <v>AM</v>
      </c>
      <c r="E290" s="156">
        <f t="array" ref="E290">INDEX('SUR - ESTER'!E:E, MATCH(S290,'SUR - ESTER'!K:K, 0), )</f>
        <v>1050</v>
      </c>
      <c r="F290" s="156">
        <f t="array" ref="F290">INDEX('SUR - ESTER'!F:F, MATCH(S290,'SUR - ESTER'!K:K, 0), )</f>
        <v>3</v>
      </c>
      <c r="G290" s="159" t="str">
        <f t="array" ref="G290">INDEX('SUR - ESTER'!G:G, MATCH(S290,'SUR - ESTER'!K:K, 0), )</f>
        <v>A.A</v>
      </c>
      <c r="H290" s="238" t="str">
        <f t="array" ref="H290">INDEX('SUR - ESTER'!H:H, MATCH(S290,'SUR - ESTER'!K:K, 0), )</f>
        <v>AREQUIPA</v>
      </c>
      <c r="I290" s="239" t="str">
        <f t="array" ref="I290">INDEX('SUR - ESTER'!I:I, MATCH(S290,'SUR - ESTER'!K:K, 0), )</f>
        <v>12/11/2025 - Sectoristas - Opera con normalidad / Inf. Ps Adrián Loayza</v>
      </c>
      <c r="J290" s="257" t="str">
        <f t="array" ref="J290">INDEX('SUR - ESTER'!J:J, MATCH(S290,'SUR - ESTER'!K:K, 0), )</f>
        <v xml:space="preserve"> </v>
      </c>
      <c r="K290" s="156" t="str">
        <f t="array" ref="K290">INDEX('SUR - ESTER'!K:K, MATCH(S290,'SUR - ESTER'!K:K, 0), )</f>
        <v>E - 14</v>
      </c>
      <c r="L290" s="251">
        <f t="array" ref="L290">INDEX('SUR - ESTER'!L:L, MATCH(S290,'SUR - ESTER'!K:K, 0), )</f>
        <v>0</v>
      </c>
      <c r="M290" s="251">
        <f t="array" ref="M290">INDEX('SUR - ESTER'!M:M, MATCH(S290,'SUR - ESTER'!K:K, 0), )</f>
        <v>0</v>
      </c>
      <c r="N290" s="258">
        <f t="array" ref="N290">INDEX('SUR - ESTER'!N:N, MATCH(S290,'SUR - ESTER'!K:K, 0), )</f>
        <v>0</v>
      </c>
      <c r="O290" s="253">
        <f t="array" ref="O290">INDEX('SUR - ESTER'!O:O, MATCH(S290,'SUR - ESTER'!K:K, 0), )</f>
        <v>0</v>
      </c>
      <c r="P290" s="236">
        <v>-16.404583333333331</v>
      </c>
      <c r="Q290" s="236">
        <v>-71.582027777777768</v>
      </c>
      <c r="R290" s="243" t="s">
        <v>1760</v>
      </c>
      <c r="S290" s="246" t="s">
        <v>1761</v>
      </c>
      <c r="U290" s="245"/>
    </row>
    <row r="291" spans="1:21" ht="17.25" customHeight="1">
      <c r="A291" s="236">
        <v>290</v>
      </c>
      <c r="B291" s="256" t="str">
        <f t="array" ref="B291">INDEX('SUR - ESTER'!B:B, MATCH(S291,'SUR - ESTER'!K:K, 0), )</f>
        <v>Arequipa</v>
      </c>
      <c r="C291" s="156" t="str">
        <f t="array" ref="C291">INDEX('SUR - ESTER'!C:C, MATCH(S291,'SUR - ESTER'!K:K, 0), )</f>
        <v>Arequipa</v>
      </c>
      <c r="D291" s="156" t="str">
        <f t="array" ref="D291">INDEX('SUR - ESTER'!D:D, MATCH(S291,'SUR - ESTER'!K:K, 0), )</f>
        <v>AM</v>
      </c>
      <c r="E291" s="156">
        <f t="array" ref="E291">INDEX('SUR - ESTER'!E:E, MATCH(S291,'SUR - ESTER'!K:K, 0), )</f>
        <v>770</v>
      </c>
      <c r="F291" s="156">
        <f t="array" ref="F291">INDEX('SUR - ESTER'!F:F, MATCH(S291,'SUR - ESTER'!K:K, 0), )</f>
        <v>3</v>
      </c>
      <c r="G291" s="159" t="str">
        <f t="array" ref="G291">INDEX('SUR - ESTER'!G:G, MATCH(S291,'SUR - ESTER'!K:K, 0), )</f>
        <v>A.A</v>
      </c>
      <c r="H291" s="238" t="str">
        <f t="array" ref="H291">INDEX('SUR - ESTER'!H:H, MATCH(S291,'SUR - ESTER'!K:K, 0), )</f>
        <v>AREQUIPA</v>
      </c>
      <c r="I291" s="239" t="str">
        <f t="array" ref="I291">INDEX('SUR - ESTER'!I:I, MATCH(S291,'SUR - ESTER'!K:K, 0), )</f>
        <v>12/11/2025 - Sectoristas - Opera con normalidad / Inf. Ps Adrián Loayza</v>
      </c>
      <c r="J291" s="257">
        <f t="array" ref="J291">INDEX('SUR - ESTER'!J:J, MATCH(S291,'SUR - ESTER'!K:K, 0), )</f>
        <v>0</v>
      </c>
      <c r="K291" s="156" t="str">
        <f t="array" ref="K291">INDEX('SUR - ESTER'!K:K, MATCH(S291,'SUR - ESTER'!K:K, 0), )</f>
        <v>E - 15</v>
      </c>
      <c r="L291" s="251">
        <f t="array" ref="L291">INDEX('SUR - ESTER'!L:L, MATCH(S291,'SUR - ESTER'!K:K, 0), )</f>
        <v>0</v>
      </c>
      <c r="M291" s="251">
        <f t="array" ref="M291">INDEX('SUR - ESTER'!M:M, MATCH(S291,'SUR - ESTER'!K:K, 0), )</f>
        <v>0</v>
      </c>
      <c r="N291" s="258">
        <f t="array" ref="N291">INDEX('SUR - ESTER'!N:N, MATCH(S291,'SUR - ESTER'!K:K, 0), )</f>
        <v>0</v>
      </c>
      <c r="O291" s="253">
        <f t="array" ref="O291">INDEX('SUR - ESTER'!O:O, MATCH(S291,'SUR - ESTER'!K:K, 0), )</f>
        <v>0</v>
      </c>
      <c r="P291" s="236">
        <v>-16.404583333333331</v>
      </c>
      <c r="Q291" s="236">
        <v>-71.582027777777768</v>
      </c>
      <c r="R291" s="243" t="s">
        <v>1760</v>
      </c>
      <c r="S291" s="246" t="s">
        <v>1762</v>
      </c>
      <c r="U291" s="245"/>
    </row>
    <row r="292" spans="1:21" ht="17.25" customHeight="1">
      <c r="A292" s="236">
        <v>291</v>
      </c>
      <c r="B292" s="256" t="str">
        <f t="array" ref="B292">INDEX('SUR - ESTER'!B:B, MATCH(S292,'SUR - ESTER'!K:K, 0), )</f>
        <v>Arequipa</v>
      </c>
      <c r="C292" s="156" t="str">
        <f t="array" ref="C292">INDEX('SUR - ESTER'!C:C, MATCH(S292,'SUR - ESTER'!K:K, 0), )</f>
        <v>Arequipa</v>
      </c>
      <c r="D292" s="156" t="str">
        <f t="array" ref="D292">INDEX('SUR - ESTER'!D:D, MATCH(S292,'SUR - ESTER'!K:K, 0), )</f>
        <v>FM</v>
      </c>
      <c r="E292" s="156" t="str">
        <f t="array" ref="E292">INDEX('SUR - ESTER'!E:E, MATCH(S292,'SUR - ESTER'!K:K, 0), )</f>
        <v>96.5</v>
      </c>
      <c r="F292" s="156">
        <f t="array" ref="F292">INDEX('SUR - ESTER'!F:F, MATCH(S292,'SUR - ESTER'!K:K, 0), )</f>
        <v>3</v>
      </c>
      <c r="G292" s="159" t="str">
        <f t="array" ref="G292">INDEX('SUR - ESTER'!G:G, MATCH(S292,'SUR - ESTER'!K:K, 0), )</f>
        <v>A.A</v>
      </c>
      <c r="H292" s="238" t="str">
        <f t="array" ref="H292">INDEX('SUR - ESTER'!H:H, MATCH(S292,'SUR - ESTER'!K:K, 0), )</f>
        <v>AREQUIPA</v>
      </c>
      <c r="I292" s="239" t="str">
        <f t="array" ref="I292">INDEX('SUR - ESTER'!I:I, MATCH(S292,'SUR - ESTER'!K:K, 0), )</f>
        <v>12/11/2025 - Sectoristas - Opera con normalidad / Inf. Ps Adrián Loayza</v>
      </c>
      <c r="J292" s="257">
        <f t="array" ref="J292">INDEX('SUR - ESTER'!J:J, MATCH(S292,'SUR - ESTER'!K:K, 0), )</f>
        <v>0</v>
      </c>
      <c r="K292" s="156" t="str">
        <f t="array" ref="K292">INDEX('SUR - ESTER'!K:K, MATCH(S292,'SUR - ESTER'!K:K, 0), )</f>
        <v>E - 16</v>
      </c>
      <c r="L292" s="251">
        <f t="array" ref="L292">INDEX('SUR - ESTER'!L:L, MATCH(S292,'SUR - ESTER'!K:K, 0), )</f>
        <v>0</v>
      </c>
      <c r="M292" s="251">
        <f t="array" ref="M292">INDEX('SUR - ESTER'!M:M, MATCH(S292,'SUR - ESTER'!K:K, 0), )</f>
        <v>0</v>
      </c>
      <c r="N292" s="258">
        <f t="array" ref="N292">INDEX('SUR - ESTER'!N:N, MATCH(S292,'SUR - ESTER'!K:K, 0), )</f>
        <v>0</v>
      </c>
      <c r="O292" s="253">
        <f t="array" ref="O292">INDEX('SUR - ESTER'!O:O, MATCH(S292,'SUR - ESTER'!K:K, 0), )</f>
        <v>0</v>
      </c>
      <c r="P292" s="236">
        <v>-16.393694444444446</v>
      </c>
      <c r="Q292" s="236">
        <v>-71.523416666666662</v>
      </c>
      <c r="R292" s="243" t="s">
        <v>1763</v>
      </c>
      <c r="S292" s="246" t="s">
        <v>1764</v>
      </c>
      <c r="U292" s="245"/>
    </row>
    <row r="293" spans="1:21" ht="17.25" customHeight="1">
      <c r="A293" s="236">
        <v>292</v>
      </c>
      <c r="B293" s="256" t="str">
        <f t="array" ref="B293">INDEX('SUR - ESTER'!B:B, MATCH(S293,'SUR - ESTER'!K:K, 0), )</f>
        <v>Arequipa - Miraflores</v>
      </c>
      <c r="C293" s="156" t="str">
        <f t="array" ref="C293">INDEX('SUR - ESTER'!C:C, MATCH(S293,'SUR - ESTER'!K:K, 0), )</f>
        <v>Arequipa</v>
      </c>
      <c r="D293" s="156" t="str">
        <f t="array" ref="D293">INDEX('SUR - ESTER'!D:D, MATCH(S293,'SUR - ESTER'!K:K, 0), )</f>
        <v>UHF</v>
      </c>
      <c r="E293" s="156" t="str">
        <f t="array" ref="E293">INDEX('SUR - ESTER'!E:E, MATCH(S293,'SUR - ESTER'!K:K, 0), )</f>
        <v>47.1</v>
      </c>
      <c r="F293" s="156">
        <f t="array" ref="F293">INDEX('SUR - ESTER'!F:F, MATCH(S293,'SUR - ESTER'!K:K, 0), )</f>
        <v>3</v>
      </c>
      <c r="G293" s="159" t="str">
        <f t="array" ref="G293">INDEX('SUR - ESTER'!G:G, MATCH(S293,'SUR - ESTER'!K:K, 0), )</f>
        <v>A.A</v>
      </c>
      <c r="H293" s="238" t="str">
        <f t="array" ref="H293">INDEX('SUR - ESTER'!H:H, MATCH(S293,'SUR - ESTER'!K:K, 0), )</f>
        <v>AREQUIPA UHF</v>
      </c>
      <c r="I293" s="239" t="str">
        <f t="array" ref="I293">INDEX('SUR - ESTER'!I:I, MATCH(S293,'SUR - ESTER'!K:K, 0), )</f>
        <v>12/11/2025 - Sectoristas - Opera con normalidad / Inf. Ps Adrián Loayza</v>
      </c>
      <c r="J293" s="257">
        <f t="array" ref="J293">INDEX('SUR - ESTER'!J:J, MATCH(S293,'SUR - ESTER'!K:K, 0), )</f>
        <v>0</v>
      </c>
      <c r="K293" s="156" t="str">
        <f t="array" ref="K293">INDEX('SUR - ESTER'!K:K, MATCH(S293,'SUR - ESTER'!K:K, 0), )</f>
        <v>E - 17</v>
      </c>
      <c r="L293" s="251">
        <f t="array" ref="L293">INDEX('SUR - ESTER'!L:L, MATCH(S293,'SUR - ESTER'!K:K, 0), )</f>
        <v>0</v>
      </c>
      <c r="M293" s="251">
        <f t="array" ref="M293">INDEX('SUR - ESTER'!M:M, MATCH(S293,'SUR - ESTER'!K:K, 0), )</f>
        <v>0</v>
      </c>
      <c r="N293" s="258">
        <f t="array" ref="N293">INDEX('SUR - ESTER'!N:N, MATCH(S293,'SUR - ESTER'!K:K, 0), )</f>
        <v>0</v>
      </c>
      <c r="O293" s="253">
        <f t="array" ref="O293">INDEX('SUR - ESTER'!O:O, MATCH(S293,'SUR - ESTER'!K:K, 0), )</f>
        <v>0</v>
      </c>
      <c r="P293" s="236">
        <v>-16.393694444444446</v>
      </c>
      <c r="Q293" s="236">
        <v>-71.523416666666662</v>
      </c>
      <c r="R293" s="243" t="s">
        <v>1763</v>
      </c>
      <c r="S293" s="246" t="s">
        <v>1765</v>
      </c>
      <c r="U293" s="245"/>
    </row>
    <row r="294" spans="1:21" ht="17.25" customHeight="1">
      <c r="A294" s="236">
        <v>293</v>
      </c>
      <c r="B294" s="256" t="str">
        <f t="array" ref="B294">INDEX('SUR - ESTER'!B:B, MATCH(S294,'SUR - ESTER'!K:K, 0), )</f>
        <v>Atíco</v>
      </c>
      <c r="C294" s="156" t="str">
        <f t="array" ref="C294">INDEX('SUR - ESTER'!C:C, MATCH(S294,'SUR - ESTER'!K:K, 0), )</f>
        <v>Arequipa</v>
      </c>
      <c r="D294" s="156" t="str">
        <f t="array" ref="D294">INDEX('SUR - ESTER'!D:D, MATCH(S294,'SUR - ESTER'!K:K, 0), )</f>
        <v>FM</v>
      </c>
      <c r="E294" s="156" t="str">
        <f t="array" ref="E294">INDEX('SUR - ESTER'!E:E, MATCH(S294,'SUR - ESTER'!K:K, 0), )</f>
        <v>94,9</v>
      </c>
      <c r="F294" s="156">
        <f t="array" ref="F294">INDEX('SUR - ESTER'!F:F, MATCH(S294,'SUR - ESTER'!K:K, 0), )</f>
        <v>40</v>
      </c>
      <c r="G294" s="159" t="str">
        <f t="array" ref="G294">INDEX('SUR - ESTER'!G:G, MATCH(S294,'SUR - ESTER'!K:K, 0), )</f>
        <v>A.A</v>
      </c>
      <c r="H294" s="238" t="str">
        <f t="array" ref="H294">INDEX('SUR - ESTER'!H:H, MATCH(S294,'SUR - ESTER'!K:K, 0), )</f>
        <v>ATICO</v>
      </c>
      <c r="I294" s="239" t="str">
        <f t="array" ref="I294">INDEX('SUR - ESTER'!I:I, MATCH(S294,'SUR - ESTER'!K:K, 0), )</f>
        <v>17/11/2025 - Sectoristas - Opera con normalidad / Inf. Ps. Henry</v>
      </c>
      <c r="J294" s="257">
        <f t="array" ref="J294">INDEX('SUR - ESTER'!J:J, MATCH(S294,'SUR - ESTER'!K:K, 0), )</f>
        <v>0</v>
      </c>
      <c r="K294" s="156" t="str">
        <f t="array" ref="K294">INDEX('SUR - ESTER'!K:K, MATCH(S294,'SUR - ESTER'!K:K, 0), )</f>
        <v>E - 18</v>
      </c>
      <c r="L294" s="251">
        <f t="array" ref="L294">INDEX('SUR - ESTER'!L:L, MATCH(S294,'SUR - ESTER'!K:K, 0), )</f>
        <v>0</v>
      </c>
      <c r="M294" s="251">
        <f t="array" ref="M294">INDEX('SUR - ESTER'!M:M, MATCH(S294,'SUR - ESTER'!K:K, 0), )</f>
        <v>0</v>
      </c>
      <c r="N294" s="258">
        <f t="array" ref="N294">INDEX('SUR - ESTER'!N:N, MATCH(S294,'SUR - ESTER'!K:K, 0), )</f>
        <v>0</v>
      </c>
      <c r="O294" s="253">
        <f t="array" ref="O294">INDEX('SUR - ESTER'!O:O, MATCH(S294,'SUR - ESTER'!K:K, 0), )</f>
        <v>0</v>
      </c>
      <c r="P294" s="236">
        <v>-16.224658333333331</v>
      </c>
      <c r="Q294" s="236">
        <v>-73.612294444444444</v>
      </c>
      <c r="R294" s="243" t="s">
        <v>1766</v>
      </c>
      <c r="S294" s="246" t="s">
        <v>1767</v>
      </c>
      <c r="U294" s="245"/>
    </row>
    <row r="295" spans="1:21" ht="17.25" customHeight="1">
      <c r="A295" s="236">
        <v>294</v>
      </c>
      <c r="B295" s="256" t="str">
        <f t="array" ref="B295">INDEX('SUR - ESTER'!B:B, MATCH(S295,'SUR - ESTER'!K:K, 0), )</f>
        <v>Ayapata</v>
      </c>
      <c r="C295" s="156" t="str">
        <f t="array" ref="C295">INDEX('SUR - ESTER'!C:C, MATCH(S295,'SUR - ESTER'!K:K, 0), )</f>
        <v>Puno</v>
      </c>
      <c r="D295" s="156" t="str">
        <f t="array" ref="D295">INDEX('SUR - ESTER'!D:D, MATCH(S295,'SUR - ESTER'!K:K, 0), )</f>
        <v>FM</v>
      </c>
      <c r="E295" s="156" t="str">
        <f t="array" ref="E295">INDEX('SUR - ESTER'!E:E, MATCH(S295,'SUR - ESTER'!K:K, 0), )</f>
        <v>89,5</v>
      </c>
      <c r="F295" s="156">
        <f t="array" ref="F295">INDEX('SUR - ESTER'!F:F, MATCH(S295,'SUR - ESTER'!K:K, 0), )</f>
        <v>138</v>
      </c>
      <c r="G295" s="159" t="str">
        <f t="array" ref="G295">INDEX('SUR - ESTER'!G:G, MATCH(S295,'SUR - ESTER'!K:K, 0), )</f>
        <v>F.A</v>
      </c>
      <c r="H295" s="238" t="str">
        <f t="array" ref="H295">INDEX('SUR - ESTER'!H:H, MATCH(S295,'SUR - ESTER'!K:K, 0), )</f>
        <v>AYAPATA</v>
      </c>
      <c r="I295" s="239" t="str">
        <f t="array" ref="I295">INDEX('SUR - ESTER'!I:I, MATCH(S295,'SUR - ESTER'!K:K, 0), )</f>
        <v>25/11/2025 - Sectoristas - El pastor indico que ya se establecio un nuevo obrero y esta en la busqueda de un lugar para instalar la planta.</v>
      </c>
      <c r="J295" s="257" t="str">
        <f t="array" ref="J295">INDEX('SUR - ESTER'!J:J, MATCH(S295,'SUR - ESTER'!K:K, 0), )</f>
        <v>NO HAY OBRERO</v>
      </c>
      <c r="K295" s="156" t="str">
        <f t="array" ref="K295">INDEX('SUR - ESTER'!K:K, MATCH(S295,'SUR - ESTER'!K:K, 0), )</f>
        <v>E - 19</v>
      </c>
      <c r="L295" s="251" t="str">
        <f t="array" ref="L295">INDEX('SUR - ESTER'!L:L, MATCH(S295,'SUR - ESTER'!K:K, 0), )</f>
        <v>Iglesia Local</v>
      </c>
      <c r="M295" s="251" t="str">
        <f t="array" ref="M295">INDEX('SUR - ESTER'!M:M, MATCH(S295,'SUR - ESTER'!K:K, 0), )</f>
        <v>Nivel 2</v>
      </c>
      <c r="N295" s="258">
        <f t="array" ref="N295">INDEX('SUR - ESTER'!N:N, MATCH(S295,'SUR - ESTER'!K:K, 0), )</f>
        <v>0</v>
      </c>
      <c r="O295" s="253">
        <f t="array" ref="O295">INDEX('SUR - ESTER'!O:O, MATCH(S295,'SUR - ESTER'!K:K, 0), )</f>
        <v>0</v>
      </c>
      <c r="P295" s="236">
        <v>-13.774222222222223</v>
      </c>
      <c r="Q295" s="236">
        <v>-70.31894444444444</v>
      </c>
      <c r="R295" s="243" t="s">
        <v>1768</v>
      </c>
      <c r="S295" s="246" t="s">
        <v>1227</v>
      </c>
      <c r="U295" s="245"/>
    </row>
    <row r="296" spans="1:21" ht="17.25" customHeight="1">
      <c r="A296" s="236">
        <v>295</v>
      </c>
      <c r="B296" s="256" t="str">
        <f t="array" ref="B296">INDEX('SUR - ESTER'!B:B, MATCH(S296,'SUR - ESTER'!K:K, 0), )</f>
        <v>Ayaviri</v>
      </c>
      <c r="C296" s="156" t="str">
        <f t="array" ref="C296">INDEX('SUR - ESTER'!C:C, MATCH(S296,'SUR - ESTER'!K:K, 0), )</f>
        <v>Puno</v>
      </c>
      <c r="D296" s="156" t="str">
        <f t="array" ref="D296">INDEX('SUR - ESTER'!D:D, MATCH(S296,'SUR - ESTER'!K:K, 0), )</f>
        <v>FM</v>
      </c>
      <c r="E296" s="156" t="str">
        <f t="array" ref="E296">INDEX('SUR - ESTER'!E:E, MATCH(S296,'SUR - ESTER'!K:K, 0), )</f>
        <v>106,3</v>
      </c>
      <c r="F296" s="156">
        <f t="array" ref="F296">INDEX('SUR - ESTER'!F:F, MATCH(S296,'SUR - ESTER'!K:K, 0), )</f>
        <v>138</v>
      </c>
      <c r="G296" s="159" t="str">
        <f t="array" ref="G296">INDEX('SUR - ESTER'!G:G, MATCH(S296,'SUR - ESTER'!K:K, 0), )</f>
        <v>A.A</v>
      </c>
      <c r="H296" s="238" t="str">
        <f t="array" ref="H296">INDEX('SUR - ESTER'!H:H, MATCH(S296,'SUR - ESTER'!K:K, 0), )</f>
        <v>AYAVIRI</v>
      </c>
      <c r="I296" s="239" t="str">
        <f t="array" ref="I296">INDEX('SUR - ESTER'!I:I, MATCH(S296,'SUR - ESTER'!K:K, 0), )</f>
        <v>11/11/2025 - Sectoristas - Opera con normalidad / inf. Ps. Jonathan Flores</v>
      </c>
      <c r="J296" s="257">
        <f t="array" ref="J296">INDEX('SUR - ESTER'!J:J, MATCH(S296,'SUR - ESTER'!K:K, 0), )</f>
        <v>0</v>
      </c>
      <c r="K296" s="156" t="str">
        <f t="array" ref="K296">INDEX('SUR - ESTER'!K:K, MATCH(S296,'SUR - ESTER'!K:K, 0), )</f>
        <v>E - 20</v>
      </c>
      <c r="L296" s="251" t="str">
        <f t="array" ref="L296">INDEX('SUR - ESTER'!L:L, MATCH(S296,'SUR - ESTER'!K:K, 0), )</f>
        <v>Sectoristas</v>
      </c>
      <c r="M296" s="251" t="str">
        <f t="array" ref="M296">INDEX('SUR - ESTER'!M:M, MATCH(S296,'SUR - ESTER'!K:K, 0), )</f>
        <v>Nivel 1</v>
      </c>
      <c r="N296" s="258">
        <f t="array" ref="N296">INDEX('SUR - ESTER'!N:N, MATCH(S296,'SUR - ESTER'!K:K, 0), )</f>
        <v>0</v>
      </c>
      <c r="O296" s="253">
        <f t="array" ref="O296">INDEX('SUR - ESTER'!O:O, MATCH(S296,'SUR - ESTER'!K:K, 0), )</f>
        <v>0</v>
      </c>
      <c r="P296" s="236">
        <v>-14.8805</v>
      </c>
      <c r="Q296" s="236">
        <v>-70.597583333333333</v>
      </c>
      <c r="R296" s="243" t="s">
        <v>1769</v>
      </c>
      <c r="S296" s="246" t="s">
        <v>1770</v>
      </c>
      <c r="U296" s="245"/>
    </row>
    <row r="297" spans="1:21" ht="17.25" customHeight="1">
      <c r="A297" s="236">
        <v>296</v>
      </c>
      <c r="B297" s="256" t="str">
        <f t="array" ref="B297">INDEX('SUR - ESTER'!B:B, MATCH(S297,'SUR - ESTER'!K:K, 0), )</f>
        <v>Azangaro</v>
      </c>
      <c r="C297" s="156" t="str">
        <f t="array" ref="C297">INDEX('SUR - ESTER'!C:C, MATCH(S297,'SUR - ESTER'!K:K, 0), )</f>
        <v>Puno</v>
      </c>
      <c r="D297" s="156" t="str">
        <f t="array" ref="D297">INDEX('SUR - ESTER'!D:D, MATCH(S297,'SUR - ESTER'!K:K, 0), )</f>
        <v>FM</v>
      </c>
      <c r="E297" s="156" t="str">
        <f t="array" ref="E297">INDEX('SUR - ESTER'!E:E, MATCH(S297,'SUR - ESTER'!K:K, 0), )</f>
        <v>97,3</v>
      </c>
      <c r="F297" s="156">
        <f t="array" ref="F297">INDEX('SUR - ESTER'!F:F, MATCH(S297,'SUR - ESTER'!K:K, 0), )</f>
        <v>138</v>
      </c>
      <c r="G297" s="159" t="str">
        <f t="array" ref="G297">INDEX('SUR - ESTER'!G:G, MATCH(S297,'SUR - ESTER'!K:K, 0), )</f>
        <v>A.A</v>
      </c>
      <c r="H297" s="238" t="str">
        <f t="array" ref="H297">INDEX('SUR - ESTER'!H:H, MATCH(S297,'SUR - ESTER'!K:K, 0), )</f>
        <v>AZANGARO</v>
      </c>
      <c r="I297" s="239" t="str">
        <f t="array" ref="I297">INDEX('SUR - ESTER'!I:I, MATCH(S297,'SUR - ESTER'!K:K, 0), )</f>
        <v>11/11/2025 - Sectoristas - Opera con normalidad / Info. Ps. Alfredo Janco</v>
      </c>
      <c r="J297" s="257">
        <f t="array" ref="J297">INDEX('SUR - ESTER'!J:J, MATCH(S297,'SUR - ESTER'!K:K, 0), )</f>
        <v>0</v>
      </c>
      <c r="K297" s="156" t="str">
        <f t="array" ref="K297">INDEX('SUR - ESTER'!K:K, MATCH(S297,'SUR - ESTER'!K:K, 0), )</f>
        <v>E - 21</v>
      </c>
      <c r="L297" s="251" t="str">
        <f t="array" ref="L297">INDEX('SUR - ESTER'!L:L, MATCH(S297,'SUR - ESTER'!K:K, 0), )</f>
        <v>Sectoristas</v>
      </c>
      <c r="M297" s="251" t="str">
        <f t="array" ref="M297">INDEX('SUR - ESTER'!M:M, MATCH(S297,'SUR - ESTER'!K:K, 0), )</f>
        <v>Nivel 1</v>
      </c>
      <c r="N297" s="258">
        <f t="array" ref="N297">INDEX('SUR - ESTER'!N:N, MATCH(S297,'SUR - ESTER'!K:K, 0), )</f>
        <v>0</v>
      </c>
      <c r="O297" s="253">
        <f t="array" ref="O297">INDEX('SUR - ESTER'!O:O, MATCH(S297,'SUR - ESTER'!K:K, 0), )</f>
        <v>0</v>
      </c>
      <c r="P297" s="236">
        <v>-14.900833333333333</v>
      </c>
      <c r="Q297" s="236">
        <v>-70.191722222222225</v>
      </c>
      <c r="R297" s="243" t="s">
        <v>1771</v>
      </c>
      <c r="S297" s="246" t="s">
        <v>1772</v>
      </c>
      <c r="U297" s="245"/>
    </row>
    <row r="298" spans="1:21" ht="17.25" customHeight="1">
      <c r="A298" s="236">
        <v>297</v>
      </c>
      <c r="B298" s="256" t="str">
        <f t="array" ref="B298">INDEX('SUR - ESTER'!B:B, MATCH(S298,'SUR - ESTER'!K:K, 0), )</f>
        <v>Boca Colorado</v>
      </c>
      <c r="C298" s="156" t="str">
        <f t="array" ref="C298">INDEX('SUR - ESTER'!C:C, MATCH(S298,'SUR - ESTER'!K:K, 0), )</f>
        <v>Madre de Dios</v>
      </c>
      <c r="D298" s="156" t="str">
        <f t="array" ref="D298">INDEX('SUR - ESTER'!D:D, MATCH(S298,'SUR - ESTER'!K:K, 0), )</f>
        <v>FM</v>
      </c>
      <c r="E298" s="156" t="str">
        <f t="array" ref="E298">INDEX('SUR - ESTER'!E:E, MATCH(S298,'SUR - ESTER'!K:K, 0), )</f>
        <v>100,1</v>
      </c>
      <c r="F298" s="156">
        <f t="array" ref="F298">INDEX('SUR - ESTER'!F:F, MATCH(S298,'SUR - ESTER'!K:K, 0), )</f>
        <v>131</v>
      </c>
      <c r="G298" s="159" t="str">
        <f t="array" ref="G298">INDEX('SUR - ESTER'!G:G, MATCH(S298,'SUR - ESTER'!K:K, 0), )</f>
        <v>A.A</v>
      </c>
      <c r="H298" s="238" t="str">
        <f t="array" ref="H298">INDEX('SUR - ESTER'!H:H, MATCH(S298,'SUR - ESTER'!K:K, 0), )</f>
        <v>BOCA COLORADO</v>
      </c>
      <c r="I298" s="239" t="str">
        <f t="array" ref="I298">INDEX('SUR - ESTER'!I:I, MATCH(S298,'SUR - ESTER'!K:K, 0), )</f>
        <v>11/11/2025 - Sectoristas - Opera con normalidad - inf. encargado hno. Yasmani Esteban</v>
      </c>
      <c r="J298" s="257">
        <f t="array" ref="J298">INDEX('SUR - ESTER'!J:J, MATCH(S298,'SUR - ESTER'!K:K, 0), )</f>
        <v>0</v>
      </c>
      <c r="K298" s="156" t="str">
        <f t="array" ref="K298">INDEX('SUR - ESTER'!K:K, MATCH(S298,'SUR - ESTER'!K:K, 0), )</f>
        <v>E - 22</v>
      </c>
      <c r="L298" s="251" t="str">
        <f t="array" ref="L298">INDEX('SUR - ESTER'!L:L, MATCH(S298,'SUR - ESTER'!K:K, 0), )</f>
        <v>Sectoristas</v>
      </c>
      <c r="M298" s="251" t="str">
        <f t="array" ref="M298">INDEX('SUR - ESTER'!M:M, MATCH(S298,'SUR - ESTER'!K:K, 0), )</f>
        <v>Nivel 1</v>
      </c>
      <c r="N298" s="258">
        <f t="array" ref="N298">INDEX('SUR - ESTER'!N:N, MATCH(S298,'SUR - ESTER'!K:K, 0), )</f>
        <v>0</v>
      </c>
      <c r="O298" s="253">
        <f t="array" ref="O298">INDEX('SUR - ESTER'!O:O, MATCH(S298,'SUR - ESTER'!K:K, 0), )</f>
        <v>0</v>
      </c>
      <c r="P298" s="236">
        <v>-12.621022222222223</v>
      </c>
      <c r="Q298" s="236">
        <v>-70.394863888888892</v>
      </c>
      <c r="R298" s="243" t="s">
        <v>1773</v>
      </c>
      <c r="S298" s="246" t="s">
        <v>1774</v>
      </c>
      <c r="U298" s="245"/>
    </row>
    <row r="299" spans="1:21" ht="17.25" customHeight="1">
      <c r="A299" s="236">
        <v>298</v>
      </c>
      <c r="B299" s="256" t="str">
        <f t="array" ref="B299">INDEX('SUR - ESTER'!B:B, MATCH(S299,'SUR - ESTER'!K:K, 0), )</f>
        <v>Cabanilla</v>
      </c>
      <c r="C299" s="156" t="str">
        <f t="array" ref="C299">INDEX('SUR - ESTER'!C:C, MATCH(S299,'SUR - ESTER'!K:K, 0), )</f>
        <v>Puno</v>
      </c>
      <c r="D299" s="156" t="str">
        <f t="array" ref="D299">INDEX('SUR - ESTER'!D:D, MATCH(S299,'SUR - ESTER'!K:K, 0), )</f>
        <v>FM</v>
      </c>
      <c r="E299" s="156" t="str">
        <f t="array" ref="E299">INDEX('SUR - ESTER'!E:E, MATCH(S299,'SUR - ESTER'!K:K, 0), )</f>
        <v>89,3</v>
      </c>
      <c r="F299" s="156">
        <f t="array" ref="F299">INDEX('SUR - ESTER'!F:F, MATCH(S299,'SUR - ESTER'!K:K, 0), )</f>
        <v>31</v>
      </c>
      <c r="G299" s="159" t="str">
        <f t="array" ref="G299">INDEX('SUR - ESTER'!G:G, MATCH(S299,'SUR - ESTER'!K:K, 0), )</f>
        <v>A.A</v>
      </c>
      <c r="H299" s="238" t="str">
        <f t="array" ref="H299">INDEX('SUR - ESTER'!H:H, MATCH(S299,'SUR - ESTER'!K:K, 0), )</f>
        <v>CABANILLA</v>
      </c>
      <c r="I299" s="239" t="str">
        <f t="array" ref="I299">INDEX('SUR - ESTER'!I:I, MATCH(S299,'SUR - ESTER'!K:K, 0), )</f>
        <v>20/11/2025 - Sectoristas - Opera con normalidad / Inf. Ps. Ernesto Zamata</v>
      </c>
      <c r="J299" s="257">
        <f t="array" ref="J299">INDEX('SUR - ESTER'!J:J, MATCH(S299,'SUR - ESTER'!K:K, 0), )</f>
        <v>0</v>
      </c>
      <c r="K299" s="156" t="str">
        <f t="array" ref="K299">INDEX('SUR - ESTER'!K:K, MATCH(S299,'SUR - ESTER'!K:K, 0), )</f>
        <v>E - 23</v>
      </c>
      <c r="L299" s="251" t="str">
        <f t="array" ref="L299">INDEX('SUR - ESTER'!L:L, MATCH(S299,'SUR - ESTER'!K:K, 0), )</f>
        <v>Sectoristas</v>
      </c>
      <c r="M299" s="251" t="str">
        <f t="array" ref="M299">INDEX('SUR - ESTER'!M:M, MATCH(S299,'SUR - ESTER'!K:K, 0), )</f>
        <v>Nivel 1</v>
      </c>
      <c r="N299" s="258">
        <f t="array" ref="N299">INDEX('SUR - ESTER'!N:N, MATCH(S299,'SUR - ESTER'!K:K, 0), )</f>
        <v>0</v>
      </c>
      <c r="O299" s="253">
        <f t="array" ref="O299">INDEX('SUR - ESTER'!O:O, MATCH(S299,'SUR - ESTER'!K:K, 0), )</f>
        <v>0</v>
      </c>
      <c r="P299" s="236">
        <v>-15.625277777777779</v>
      </c>
      <c r="Q299" s="236">
        <v>-70.347777777777779</v>
      </c>
      <c r="R299" s="243" t="s">
        <v>1775</v>
      </c>
      <c r="S299" s="246" t="s">
        <v>1776</v>
      </c>
      <c r="U299" s="245"/>
    </row>
    <row r="300" spans="1:21" ht="17.25" customHeight="1">
      <c r="A300" s="236">
        <v>299</v>
      </c>
      <c r="B300" s="256" t="str">
        <f t="array" ref="B300">INDEX('SUR - ESTER'!B:B, MATCH(S300,'SUR - ESTER'!K:K, 0), )</f>
        <v>Calca</v>
      </c>
      <c r="C300" s="156" t="str">
        <f t="array" ref="C300">INDEX('SUR - ESTER'!C:C, MATCH(S300,'SUR - ESTER'!K:K, 0), )</f>
        <v>Cusco</v>
      </c>
      <c r="D300" s="156" t="str">
        <f t="array" ref="D300">INDEX('SUR - ESTER'!D:D, MATCH(S300,'SUR - ESTER'!K:K, 0), )</f>
        <v>FM</v>
      </c>
      <c r="E300" s="156" t="str">
        <f t="array" ref="E300">INDEX('SUR - ESTER'!E:E, MATCH(S300,'SUR - ESTER'!K:K, 0), )</f>
        <v>92,9</v>
      </c>
      <c r="F300" s="156">
        <f t="array" ref="F300">INDEX('SUR - ESTER'!F:F, MATCH(S300,'SUR - ESTER'!K:K, 0), )</f>
        <v>124</v>
      </c>
      <c r="G300" s="159" t="str">
        <f t="array" ref="G300">INDEX('SUR - ESTER'!G:G, MATCH(S300,'SUR - ESTER'!K:K, 0), )</f>
        <v>A.A</v>
      </c>
      <c r="H300" s="238" t="str">
        <f t="array" ref="H300">INDEX('SUR - ESTER'!H:H, MATCH(S300,'SUR - ESTER'!K:K, 0), )</f>
        <v>CALCA</v>
      </c>
      <c r="I300" s="239" t="str">
        <f t="array" ref="I300">INDEX('SUR - ESTER'!I:I, MATCH(S300,'SUR - ESTER'!K:K, 0), )</f>
        <v>20/11/2025 - Sectoristas - Opera con normalidad / Inf. Ps. Ricardo Angel</v>
      </c>
      <c r="J300" s="257" t="str">
        <f t="array" ref="J300">INDEX('SUR - ESTER'!J:J, MATCH(S300,'SUR - ESTER'!K:K, 0), )</f>
        <v>Local prestado, gratiuto</v>
      </c>
      <c r="K300" s="156" t="str">
        <f t="array" ref="K300">INDEX('SUR - ESTER'!K:K, MATCH(S300,'SUR - ESTER'!K:K, 0), )</f>
        <v>E - 24</v>
      </c>
      <c r="L300" s="251" t="str">
        <f t="array" ref="L300">INDEX('SUR - ESTER'!L:L, MATCH(S300,'SUR - ESTER'!K:K, 0), )</f>
        <v>Sectoristas</v>
      </c>
      <c r="M300" s="251" t="str">
        <f t="array" ref="M300">INDEX('SUR - ESTER'!M:M, MATCH(S300,'SUR - ESTER'!K:K, 0), )</f>
        <v>Nivel 1</v>
      </c>
      <c r="N300" s="258">
        <f t="array" ref="N300">INDEX('SUR - ESTER'!N:N, MATCH(S300,'SUR - ESTER'!K:K, 0), )</f>
        <v>0</v>
      </c>
      <c r="O300" s="253">
        <f t="array" ref="O300">INDEX('SUR - ESTER'!O:O, MATCH(S300,'SUR - ESTER'!K:K, 0), )</f>
        <v>0</v>
      </c>
      <c r="P300" s="236">
        <v>-13.291583333333334</v>
      </c>
      <c r="Q300" s="236">
        <v>-71.92861666666667</v>
      </c>
      <c r="R300" s="243" t="s">
        <v>1777</v>
      </c>
      <c r="S300" s="246" t="s">
        <v>1778</v>
      </c>
      <c r="U300" s="245"/>
    </row>
    <row r="301" spans="1:21" ht="17.25" customHeight="1">
      <c r="A301" s="236">
        <v>300</v>
      </c>
      <c r="B301" s="256" t="str">
        <f t="array" ref="B301">INDEX('SUR - ESTER'!B:B, MATCH(S301,'SUR - ESTER'!K:K, 0), )</f>
        <v>Camaná</v>
      </c>
      <c r="C301" s="156" t="str">
        <f t="array" ref="C301">INDEX('SUR - ESTER'!C:C, MATCH(S301,'SUR - ESTER'!K:K, 0), )</f>
        <v>Arequipa</v>
      </c>
      <c r="D301" s="156" t="str">
        <f t="array" ref="D301">INDEX('SUR - ESTER'!D:D, MATCH(S301,'SUR - ESTER'!K:K, 0), )</f>
        <v>FM</v>
      </c>
      <c r="E301" s="156" t="str">
        <f t="array" ref="E301">INDEX('SUR - ESTER'!E:E, MATCH(S301,'SUR - ESTER'!K:K, 0), )</f>
        <v>91,7</v>
      </c>
      <c r="F301" s="156">
        <f t="array" ref="F301">INDEX('SUR - ESTER'!F:F, MATCH(S301,'SUR - ESTER'!K:K, 0), )</f>
        <v>40</v>
      </c>
      <c r="G301" s="159" t="str">
        <f t="array" ref="G301">INDEX('SUR - ESTER'!G:G, MATCH(S301,'SUR - ESTER'!K:K, 0), )</f>
        <v>A.A</v>
      </c>
      <c r="H301" s="238" t="str">
        <f t="array" ref="H301">INDEX('SUR - ESTER'!H:H, MATCH(S301,'SUR - ESTER'!K:K, 0), )</f>
        <v>CAMANA</v>
      </c>
      <c r="I301" s="239" t="str">
        <f t="array" ref="I301">INDEX('SUR - ESTER'!I:I, MATCH(S301,'SUR - ESTER'!K:K, 0), )</f>
        <v>11/11/2025 - Sectoristas - Opera con normalidad / Inf. Ps. Santos Wilfredo Figueroa</v>
      </c>
      <c r="J301" s="257">
        <f t="array" ref="J301">INDEX('SUR - ESTER'!J:J, MATCH(S301,'SUR - ESTER'!K:K, 0), )</f>
        <v>0</v>
      </c>
      <c r="K301" s="156" t="str">
        <f t="array" ref="K301">INDEX('SUR - ESTER'!K:K, MATCH(S301,'SUR - ESTER'!K:K, 0), )</f>
        <v>E - 25</v>
      </c>
      <c r="L301" s="251" t="str">
        <f t="array" ref="L301">INDEX('SUR - ESTER'!L:L, MATCH(S301,'SUR - ESTER'!K:K, 0), )</f>
        <v>Sectoristas</v>
      </c>
      <c r="M301" s="251" t="str">
        <f t="array" ref="M301">INDEX('SUR - ESTER'!M:M, MATCH(S301,'SUR - ESTER'!K:K, 0), )</f>
        <v>Nivel 1</v>
      </c>
      <c r="N301" s="258">
        <f t="array" ref="N301">INDEX('SUR - ESTER'!N:N, MATCH(S301,'SUR - ESTER'!K:K, 0), )</f>
        <v>0</v>
      </c>
      <c r="O301" s="253">
        <f t="array" ref="O301">INDEX('SUR - ESTER'!O:O, MATCH(S301,'SUR - ESTER'!K:K, 0), )</f>
        <v>0</v>
      </c>
      <c r="P301" s="236">
        <v>-16.622333333333334</v>
      </c>
      <c r="Q301" s="236">
        <v>-72.712333333333333</v>
      </c>
      <c r="R301" s="243" t="s">
        <v>1779</v>
      </c>
      <c r="S301" s="246" t="s">
        <v>1780</v>
      </c>
      <c r="U301" s="245"/>
    </row>
    <row r="302" spans="1:21" ht="17.25" customHeight="1">
      <c r="A302" s="236">
        <v>301</v>
      </c>
      <c r="B302" s="256" t="str">
        <f t="array" ref="B302">INDEX('SUR - ESTER'!B:B, MATCH(S302,'SUR - ESTER'!K:K, 0), )</f>
        <v>Camaná</v>
      </c>
      <c r="C302" s="156" t="str">
        <f t="array" ref="C302">INDEX('SUR - ESTER'!C:C, MATCH(S302,'SUR - ESTER'!K:K, 0), )</f>
        <v>Arequipa</v>
      </c>
      <c r="D302" s="156" t="str">
        <f t="array" ref="D302">INDEX('SUR - ESTER'!D:D, MATCH(S302,'SUR - ESTER'!K:K, 0), )</f>
        <v>UHF</v>
      </c>
      <c r="E302" s="156">
        <f t="array" ref="E302">INDEX('SUR - ESTER'!E:E, MATCH(S302,'SUR - ESTER'!K:K, 0), )</f>
        <v>21</v>
      </c>
      <c r="F302" s="156">
        <f t="array" ref="F302">INDEX('SUR - ESTER'!F:F, MATCH(S302,'SUR - ESTER'!K:K, 0), )</f>
        <v>40</v>
      </c>
      <c r="G302" s="159" t="str">
        <f t="array" ref="G302">INDEX('SUR - ESTER'!G:G, MATCH(S302,'SUR - ESTER'!K:K, 0), )</f>
        <v>A.A</v>
      </c>
      <c r="H302" s="238" t="str">
        <f t="array" ref="H302">INDEX('SUR - ESTER'!H:H, MATCH(S302,'SUR - ESTER'!K:K, 0), )</f>
        <v>CAMANA UHF</v>
      </c>
      <c r="I302" s="239" t="str">
        <f t="array" ref="I302">INDEX('SUR - ESTER'!I:I, MATCH(S302,'SUR - ESTER'!K:K, 0), )</f>
        <v>11/11/2025 - Sectoristas - Opera con normalidad / Inf. Ps. Santos Wilfredo Figueroa</v>
      </c>
      <c r="J302" s="257">
        <f t="array" ref="J302">INDEX('SUR - ESTER'!J:J, MATCH(S302,'SUR - ESTER'!K:K, 0), )</f>
        <v>0</v>
      </c>
      <c r="K302" s="156" t="str">
        <f t="array" ref="K302">INDEX('SUR - ESTER'!K:K, MATCH(S302,'SUR - ESTER'!K:K, 0), )</f>
        <v>E - 26</v>
      </c>
      <c r="L302" s="251" t="str">
        <f t="array" ref="L302">INDEX('SUR - ESTER'!L:L, MATCH(S302,'SUR - ESTER'!K:K, 0), )</f>
        <v>Sectoristas</v>
      </c>
      <c r="M302" s="251" t="str">
        <f t="array" ref="M302">INDEX('SUR - ESTER'!M:M, MATCH(S302,'SUR - ESTER'!K:K, 0), )</f>
        <v>Nivel 1</v>
      </c>
      <c r="N302" s="258">
        <f t="array" ref="N302">INDEX('SUR - ESTER'!N:N, MATCH(S302,'SUR - ESTER'!K:K, 0), )</f>
        <v>0</v>
      </c>
      <c r="O302" s="253">
        <f t="array" ref="O302">INDEX('SUR - ESTER'!O:O, MATCH(S302,'SUR - ESTER'!K:K, 0), )</f>
        <v>0</v>
      </c>
      <c r="P302" s="236">
        <v>-16.622444444444444</v>
      </c>
      <c r="Q302" s="236">
        <v>-72.712249999999997</v>
      </c>
      <c r="R302" s="243" t="s">
        <v>1781</v>
      </c>
      <c r="S302" s="246" t="s">
        <v>1782</v>
      </c>
      <c r="U302" s="245"/>
    </row>
    <row r="303" spans="1:21" ht="17.25" customHeight="1">
      <c r="A303" s="236">
        <v>302</v>
      </c>
      <c r="B303" s="256" t="str">
        <f t="array" ref="B303">INDEX('SUR - ESTER'!B:B, MATCH(S303,'SUR - ESTER'!K:K, 0), )</f>
        <v>Candarave</v>
      </c>
      <c r="C303" s="156" t="str">
        <f t="array" ref="C303">INDEX('SUR - ESTER'!C:C, MATCH(S303,'SUR - ESTER'!K:K, 0), )</f>
        <v>Tacna</v>
      </c>
      <c r="D303" s="156" t="str">
        <f t="array" ref="D303">INDEX('SUR - ESTER'!D:D, MATCH(S303,'SUR - ESTER'!K:K, 0), )</f>
        <v>FM</v>
      </c>
      <c r="E303" s="156" t="str">
        <f t="array" ref="E303">INDEX('SUR - ESTER'!E:E, MATCH(S303,'SUR - ESTER'!K:K, 0), )</f>
        <v>97,5</v>
      </c>
      <c r="F303" s="156">
        <f t="array" ref="F303">INDEX('SUR - ESTER'!F:F, MATCH(S303,'SUR - ESTER'!K:K, 0), )</f>
        <v>38</v>
      </c>
      <c r="G303" s="159" t="str">
        <f t="array" ref="G303">INDEX('SUR - ESTER'!G:G, MATCH(S303,'SUR - ESTER'!K:K, 0), )</f>
        <v>A.A</v>
      </c>
      <c r="H303" s="238" t="str">
        <f t="array" ref="H303">INDEX('SUR - ESTER'!H:H, MATCH(S303,'SUR - ESTER'!K:K, 0), )</f>
        <v>CANDARAVE</v>
      </c>
      <c r="I303" s="239" t="str">
        <f t="array" ref="I303">INDEX('SUR - ESTER'!I:I, MATCH(S303,'SUR - ESTER'!K:K, 0), )</f>
        <v>16/09/2025 - Sectoristas - OPERA CON NORMALIDAD</v>
      </c>
      <c r="J303" s="257">
        <f t="array" ref="J303">INDEX('SUR - ESTER'!J:J, MATCH(S303,'SUR - ESTER'!K:K, 0), )</f>
        <v>0</v>
      </c>
      <c r="K303" s="156" t="str">
        <f t="array" ref="K303">INDEX('SUR - ESTER'!K:K, MATCH(S303,'SUR - ESTER'!K:K, 0), )</f>
        <v>E - 27</v>
      </c>
      <c r="L303" s="251">
        <f t="array" ref="L303">INDEX('SUR - ESTER'!L:L, MATCH(S303,'SUR - ESTER'!K:K, 0), )</f>
        <v>0</v>
      </c>
      <c r="M303" s="251">
        <f t="array" ref="M303">INDEX('SUR - ESTER'!M:M, MATCH(S303,'SUR - ESTER'!K:K, 0), )</f>
        <v>0</v>
      </c>
      <c r="N303" s="258">
        <f t="array" ref="N303">INDEX('SUR - ESTER'!N:N, MATCH(S303,'SUR - ESTER'!K:K, 0), )</f>
        <v>0</v>
      </c>
      <c r="O303" s="253">
        <f t="array" ref="O303">INDEX('SUR - ESTER'!O:O, MATCH(S303,'SUR - ESTER'!K:K, 0), )</f>
        <v>0</v>
      </c>
      <c r="P303" s="236">
        <v>-17.264630555555556</v>
      </c>
      <c r="Q303" s="236">
        <v>-70.251713888888887</v>
      </c>
      <c r="R303" s="243" t="s">
        <v>1783</v>
      </c>
      <c r="S303" s="246" t="s">
        <v>1784</v>
      </c>
      <c r="U303" s="245"/>
    </row>
    <row r="304" spans="1:21" ht="17.25" customHeight="1">
      <c r="A304" s="236">
        <v>303</v>
      </c>
      <c r="B304" s="256" t="str">
        <f t="array" ref="B304">INDEX('SUR - ESTER'!B:B, MATCH(S304,'SUR - ESTER'!K:K, 0), )</f>
        <v>Caraveli</v>
      </c>
      <c r="C304" s="156" t="str">
        <f t="array" ref="C304">INDEX('SUR - ESTER'!C:C, MATCH(S304,'SUR - ESTER'!K:K, 0), )</f>
        <v>Arequipa</v>
      </c>
      <c r="D304" s="156" t="str">
        <f t="array" ref="D304">INDEX('SUR - ESTER'!D:D, MATCH(S304,'SUR - ESTER'!K:K, 0), )</f>
        <v>FM</v>
      </c>
      <c r="E304" s="156" t="str">
        <f t="array" ref="E304">INDEX('SUR - ESTER'!E:E, MATCH(S304,'SUR - ESTER'!K:K, 0), )</f>
        <v>95,3</v>
      </c>
      <c r="F304" s="156">
        <f t="array" ref="F304">INDEX('SUR - ESTER'!F:F, MATCH(S304,'SUR - ESTER'!K:K, 0), )</f>
        <v>40</v>
      </c>
      <c r="G304" s="159" t="str">
        <f t="array" ref="G304">INDEX('SUR - ESTER'!G:G, MATCH(S304,'SUR - ESTER'!K:K, 0), )</f>
        <v>A.A</v>
      </c>
      <c r="H304" s="238" t="str">
        <f t="array" ref="H304">INDEX('SUR - ESTER'!H:H, MATCH(S304,'SUR - ESTER'!K:K, 0), )</f>
        <v>CARAVELI</v>
      </c>
      <c r="I304" s="239" t="str">
        <f t="array" ref="I304">INDEX('SUR - ESTER'!I:I, MATCH(S304,'SUR - ESTER'!K:K, 0), )</f>
        <v>11/11/2025 - Sectoristas - Opera con normalidad / Inf. Ps. Ismael Bautista</v>
      </c>
      <c r="J304" s="257">
        <f t="array" ref="J304">INDEX('SUR - ESTER'!J:J, MATCH(S304,'SUR - ESTER'!K:K, 0), )</f>
        <v>0</v>
      </c>
      <c r="K304" s="156" t="str">
        <f t="array" ref="K304">INDEX('SUR - ESTER'!K:K, MATCH(S304,'SUR - ESTER'!K:K, 0), )</f>
        <v>E - 28</v>
      </c>
      <c r="L304" s="251" t="str">
        <f t="array" ref="L304">INDEX('SUR - ESTER'!L:L, MATCH(S304,'SUR - ESTER'!K:K, 0), )</f>
        <v>Sectoristas</v>
      </c>
      <c r="M304" s="251" t="str">
        <f t="array" ref="M304">INDEX('SUR - ESTER'!M:M, MATCH(S304,'SUR - ESTER'!K:K, 0), )</f>
        <v>Nivel 1</v>
      </c>
      <c r="N304" s="258">
        <f t="array" ref="N304">INDEX('SUR - ESTER'!N:N, MATCH(S304,'SUR - ESTER'!K:K, 0), )</f>
        <v>0</v>
      </c>
      <c r="O304" s="253">
        <f t="array" ref="O304">INDEX('SUR - ESTER'!O:O, MATCH(S304,'SUR - ESTER'!K:K, 0), )</f>
        <v>0</v>
      </c>
      <c r="P304" s="236">
        <v>-15.775583333333334</v>
      </c>
      <c r="Q304" s="236">
        <v>-73.376916666666659</v>
      </c>
      <c r="R304" s="243" t="s">
        <v>1785</v>
      </c>
      <c r="S304" s="246" t="s">
        <v>1786</v>
      </c>
      <c r="U304" s="245"/>
    </row>
    <row r="305" spans="1:21" ht="17.25" customHeight="1">
      <c r="A305" s="236">
        <v>304</v>
      </c>
      <c r="B305" s="256" t="str">
        <f t="array" ref="B305">INDEX('SUR - ESTER'!B:B, MATCH(S305,'SUR - ESTER'!K:K, 0), )</f>
        <v>Ccorca</v>
      </c>
      <c r="C305" s="156" t="str">
        <f t="array" ref="C305">INDEX('SUR - ESTER'!C:C, MATCH(S305,'SUR - ESTER'!K:K, 0), )</f>
        <v>Cusco</v>
      </c>
      <c r="D305" s="156" t="str">
        <f t="array" ref="D305">INDEX('SUR - ESTER'!D:D, MATCH(S305,'SUR - ESTER'!K:K, 0), )</f>
        <v>VHF</v>
      </c>
      <c r="E305" s="156">
        <f t="array" ref="E305">INDEX('SUR - ESTER'!E:E, MATCH(S305,'SUR - ESTER'!K:K, 0), )</f>
        <v>8</v>
      </c>
      <c r="F305" s="156">
        <f t="array" ref="F305">INDEX('SUR - ESTER'!F:F, MATCH(S305,'SUR - ESTER'!K:K, 0), )</f>
        <v>21</v>
      </c>
      <c r="G305" s="159" t="str">
        <f t="array" ref="G305">INDEX('SUR - ESTER'!G:G, MATCH(S305,'SUR - ESTER'!K:K, 0), )</f>
        <v>F.A</v>
      </c>
      <c r="H305" s="238" t="str">
        <f t="array" ref="H305">INDEX('SUR - ESTER'!H:H, MATCH(S305,'SUR - ESTER'!K:K, 0), )</f>
        <v>CCORCA</v>
      </c>
      <c r="I305" s="239" t="str">
        <f t="array" ref="I305">INDEX('SUR - ESTER'!I:I, MATCH(S305,'SUR - ESTER'!K:K, 0), )</f>
        <v>18/11/2025 - Sectoristas - El pastor comento que el dia jueves de la proxima semana estara confirmando si la planta se queda en el mismo lugar donde estaban antes.</v>
      </c>
      <c r="J305" s="257" t="str">
        <f t="array" ref="J305">INDEX('SUR - ESTER'!J:J, MATCH(S305,'SUR - ESTER'!K:K, 0), )</f>
        <v>LA COMUNIDAD LE PIDEN APOYO DE CALAMINA / DEBEN MUDARSE A 20 METROS DE LUGAR DONDE ESTAN</v>
      </c>
      <c r="K305" s="156" t="str">
        <f t="array" ref="K305">INDEX('SUR - ESTER'!K:K, MATCH(S305,'SUR - ESTER'!K:K, 0), )</f>
        <v>E - 29</v>
      </c>
      <c r="L305" s="251">
        <f t="array" ref="L305">INDEX('SUR - ESTER'!L:L, MATCH(S305,'SUR - ESTER'!K:K, 0), )</f>
        <v>0</v>
      </c>
      <c r="M305" s="251">
        <f t="array" ref="M305">INDEX('SUR - ESTER'!M:M, MATCH(S305,'SUR - ESTER'!K:K, 0), )</f>
        <v>0</v>
      </c>
      <c r="N305" s="258">
        <f t="array" ref="N305">INDEX('SUR - ESTER'!N:N, MATCH(S305,'SUR - ESTER'!K:K, 0), )</f>
        <v>0</v>
      </c>
      <c r="O305" s="253">
        <f t="array" ref="O305">INDEX('SUR - ESTER'!O:O, MATCH(S305,'SUR - ESTER'!K:K, 0), )</f>
        <v>0</v>
      </c>
      <c r="P305" s="236">
        <v>-13.583558333333334</v>
      </c>
      <c r="Q305" s="236">
        <v>-72.066147222222213</v>
      </c>
      <c r="R305" s="243" t="s">
        <v>1787</v>
      </c>
      <c r="S305" s="246" t="s">
        <v>1229</v>
      </c>
      <c r="U305" s="245"/>
    </row>
    <row r="306" spans="1:21" ht="17.25" customHeight="1">
      <c r="A306" s="236">
        <v>305</v>
      </c>
      <c r="B306" s="256" t="str">
        <f t="array" ref="B306">INDEX('SUR - ESTER'!B:B, MATCH(S306,'SUR - ESTER'!K:K, 0), )</f>
        <v>Ccorca</v>
      </c>
      <c r="C306" s="156" t="str">
        <f t="array" ref="C306">INDEX('SUR - ESTER'!C:C, MATCH(S306,'SUR - ESTER'!K:K, 0), )</f>
        <v>Cusco</v>
      </c>
      <c r="D306" s="156" t="str">
        <f t="array" ref="D306">INDEX('SUR - ESTER'!D:D, MATCH(S306,'SUR - ESTER'!K:K, 0), )</f>
        <v>FM</v>
      </c>
      <c r="E306" s="156">
        <f t="array" ref="E306">INDEX('SUR - ESTER'!E:E, MATCH(S306,'SUR - ESTER'!K:K, 0), )</f>
        <v>96.5</v>
      </c>
      <c r="F306" s="156">
        <f t="array" ref="F306">INDEX('SUR - ESTER'!F:F, MATCH(S306,'SUR - ESTER'!K:K, 0), )</f>
        <v>21</v>
      </c>
      <c r="G306" s="159" t="str">
        <f t="array" ref="G306">INDEX('SUR - ESTER'!G:G, MATCH(S306,'SUR - ESTER'!K:K, 0), )</f>
        <v>F.A</v>
      </c>
      <c r="H306" s="238" t="str">
        <f t="array" ref="H306">INDEX('SUR - ESTER'!H:H, MATCH(S306,'SUR - ESTER'!K:K, 0), )</f>
        <v>CCORCA</v>
      </c>
      <c r="I306" s="239" t="str">
        <f t="array" ref="I306">INDEX('SUR - ESTER'!I:I, MATCH(S306,'SUR - ESTER'!K:K, 0), )</f>
        <v>12/11/2025 - Sectoristas - El hermano Abel B. comento que en coordinacion con el Ps. Samuel el lunes 17/11 estaran evaluando la ubicacion donde se instalara la planta.</v>
      </c>
      <c r="J306" s="257" t="str">
        <f t="array" ref="J306">INDEX('SUR - ESTER'!J:J, MATCH(S306,'SUR - ESTER'!K:K, 0), )</f>
        <v>LA COMUNIDAD LE PIDEN APOYO DE CALAMINA / DEBEN MUDARSE A 20 METROS DE LUGAR DONDE ESTAN</v>
      </c>
      <c r="K306" s="156" t="str">
        <f t="array" ref="K306">INDEX('SUR - ESTER'!K:K, MATCH(S306,'SUR - ESTER'!K:K, 0), )</f>
        <v>E - 30</v>
      </c>
      <c r="L306" s="251" t="str">
        <f t="array" ref="L306">INDEX('SUR - ESTER'!L:L, MATCH(S306,'SUR - ESTER'!K:K, 0), )</f>
        <v>Iglesia Local</v>
      </c>
      <c r="M306" s="251" t="str">
        <f t="array" ref="M306">INDEX('SUR - ESTER'!M:M, MATCH(S306,'SUR - ESTER'!K:K, 0), )</f>
        <v>Nivel 2</v>
      </c>
      <c r="N306" s="258">
        <f t="array" ref="N306">INDEX('SUR - ESTER'!N:N, MATCH(S306,'SUR - ESTER'!K:K, 0), )</f>
        <v>0</v>
      </c>
      <c r="O306" s="253">
        <f t="array" ref="O306">INDEX('SUR - ESTER'!O:O, MATCH(S306,'SUR - ESTER'!K:K, 0), )</f>
        <v>0</v>
      </c>
      <c r="P306" s="236">
        <v>-13.583558333333334</v>
      </c>
      <c r="Q306" s="236">
        <v>-72.066147222222213</v>
      </c>
      <c r="R306" s="243" t="s">
        <v>1787</v>
      </c>
      <c r="S306" s="246" t="s">
        <v>1231</v>
      </c>
      <c r="U306" s="245"/>
    </row>
    <row r="307" spans="1:21" ht="17.25" customHeight="1">
      <c r="A307" s="236">
        <v>306</v>
      </c>
      <c r="B307" s="256" t="str">
        <f t="array" ref="B307">INDEX('SUR - ESTER'!B:B, MATCH(S307,'SUR - ESTER'!K:K, 0), )</f>
        <v>Chala</v>
      </c>
      <c r="C307" s="156" t="str">
        <f t="array" ref="C307">INDEX('SUR - ESTER'!C:C, MATCH(S307,'SUR - ESTER'!K:K, 0), )</f>
        <v>Arequipa</v>
      </c>
      <c r="D307" s="156" t="str">
        <f t="array" ref="D307">INDEX('SUR - ESTER'!D:D, MATCH(S307,'SUR - ESTER'!K:K, 0), )</f>
        <v>FM</v>
      </c>
      <c r="E307" s="156" t="str">
        <f t="array" ref="E307">INDEX('SUR - ESTER'!E:E, MATCH(S307,'SUR - ESTER'!K:K, 0), )</f>
        <v>98,7</v>
      </c>
      <c r="F307" s="156">
        <f t="array" ref="F307">INDEX('SUR - ESTER'!F:F, MATCH(S307,'SUR - ESTER'!K:K, 0), )</f>
        <v>40</v>
      </c>
      <c r="G307" s="159" t="str">
        <f t="array" ref="G307">INDEX('SUR - ESTER'!G:G, MATCH(S307,'SUR - ESTER'!K:K, 0), )</f>
        <v>A.A</v>
      </c>
      <c r="H307" s="238" t="str">
        <f t="array" ref="H307">INDEX('SUR - ESTER'!H:H, MATCH(S307,'SUR - ESTER'!K:K, 0), )</f>
        <v>CHALA</v>
      </c>
      <c r="I307" s="239" t="str">
        <f t="array" ref="I307">INDEX('SUR - ESTER'!I:I, MATCH(S307,'SUR - ESTER'!K:K, 0), )</f>
        <v>11/11/2025 - Sectoristas - Opera con normalidad / Inf. Ps. Elias Chambe</v>
      </c>
      <c r="J307" s="257">
        <f t="array" ref="J307">INDEX('SUR - ESTER'!J:J, MATCH(S307,'SUR - ESTER'!K:K, 0), )</f>
        <v>0</v>
      </c>
      <c r="K307" s="156" t="str">
        <f t="array" ref="K307">INDEX('SUR - ESTER'!K:K, MATCH(S307,'SUR - ESTER'!K:K, 0), )</f>
        <v>E - 31</v>
      </c>
      <c r="L307" s="251" t="str">
        <f t="array" ref="L307">INDEX('SUR - ESTER'!L:L, MATCH(S307,'SUR - ESTER'!K:K, 0), )</f>
        <v>Sectoristas</v>
      </c>
      <c r="M307" s="251" t="str">
        <f t="array" ref="M307">INDEX('SUR - ESTER'!M:M, MATCH(S307,'SUR - ESTER'!K:K, 0), )</f>
        <v>Nivel 1</v>
      </c>
      <c r="N307" s="258">
        <f t="array" ref="N307">INDEX('SUR - ESTER'!N:N, MATCH(S307,'SUR - ESTER'!K:K, 0), )</f>
        <v>0</v>
      </c>
      <c r="O307" s="253">
        <f t="array" ref="O307">INDEX('SUR - ESTER'!O:O, MATCH(S307,'SUR - ESTER'!K:K, 0), )</f>
        <v>0</v>
      </c>
      <c r="P307" s="236">
        <v>-15.851611111111112</v>
      </c>
      <c r="Q307" s="236">
        <v>-74.250805555555559</v>
      </c>
      <c r="R307" s="243" t="s">
        <v>1788</v>
      </c>
      <c r="S307" s="246" t="s">
        <v>1789</v>
      </c>
      <c r="U307" s="245"/>
    </row>
    <row r="308" spans="1:21" ht="17.25" customHeight="1">
      <c r="A308" s="236">
        <v>307</v>
      </c>
      <c r="B308" s="256" t="str">
        <f t="array" ref="B308">INDEX('SUR - ESTER'!B:B, MATCH(S308,'SUR - ESTER'!K:K, 0), )</f>
        <v>Chalhuanca</v>
      </c>
      <c r="C308" s="156" t="str">
        <f t="array" ref="C308">INDEX('SUR - ESTER'!C:C, MATCH(S308,'SUR - ESTER'!K:K, 0), )</f>
        <v>Apurimac</v>
      </c>
      <c r="D308" s="156" t="str">
        <f t="array" ref="D308">INDEX('SUR - ESTER'!D:D, MATCH(S308,'SUR - ESTER'!K:K, 0), )</f>
        <v>FM</v>
      </c>
      <c r="E308" s="156" t="str">
        <f t="array" ref="E308">INDEX('SUR - ESTER'!E:E, MATCH(S308,'SUR - ESTER'!K:K, 0), )</f>
        <v>96,9</v>
      </c>
      <c r="F308" s="156">
        <f t="array" ref="F308">INDEX('SUR - ESTER'!F:F, MATCH(S308,'SUR - ESTER'!K:K, 0), )</f>
        <v>67</v>
      </c>
      <c r="G308" s="159" t="str">
        <f t="array" ref="G308">INDEX('SUR - ESTER'!G:G, MATCH(S308,'SUR - ESTER'!K:K, 0), )</f>
        <v>A.A</v>
      </c>
      <c r="H308" s="238" t="str">
        <f t="array" ref="H308">INDEX('SUR - ESTER'!H:H, MATCH(S308,'SUR - ESTER'!K:K, 0), )</f>
        <v>CHALHUANCA</v>
      </c>
      <c r="I308" s="239" t="str">
        <f t="array" ref="I308">INDEX('SUR - ESTER'!I:I, MATCH(S308,'SUR - ESTER'!K:K, 0), )</f>
        <v>11/11/2025 - Sectoristas - Opera con normalidad / Inf. Ps. Samuel Quispe</v>
      </c>
      <c r="J308" s="257">
        <f t="array" ref="J308">INDEX('SUR - ESTER'!J:J, MATCH(S308,'SUR - ESTER'!K:K, 0), )</f>
        <v>0</v>
      </c>
      <c r="K308" s="156" t="str">
        <f t="array" ref="K308">INDEX('SUR - ESTER'!K:K, MATCH(S308,'SUR - ESTER'!K:K, 0), )</f>
        <v>E - 32</v>
      </c>
      <c r="L308" s="251" t="str">
        <f t="array" ref="L308">INDEX('SUR - ESTER'!L:L, MATCH(S308,'SUR - ESTER'!K:K, 0), )</f>
        <v>Sectoristas</v>
      </c>
      <c r="M308" s="251" t="str">
        <f t="array" ref="M308">INDEX('SUR - ESTER'!M:M, MATCH(S308,'SUR - ESTER'!K:K, 0), )</f>
        <v>Nivel 1</v>
      </c>
      <c r="N308" s="258">
        <f t="array" ref="N308">INDEX('SUR - ESTER'!N:N, MATCH(S308,'SUR - ESTER'!K:K, 0), )</f>
        <v>0</v>
      </c>
      <c r="O308" s="253">
        <f t="array" ref="O308">INDEX('SUR - ESTER'!O:O, MATCH(S308,'SUR - ESTER'!K:K, 0), )</f>
        <v>0</v>
      </c>
      <c r="P308" s="236">
        <v>-14.295583333333333</v>
      </c>
      <c r="Q308" s="236">
        <v>-73.249944444444452</v>
      </c>
      <c r="R308" s="243" t="s">
        <v>1790</v>
      </c>
      <c r="S308" s="246" t="s">
        <v>1791</v>
      </c>
      <c r="U308" s="245"/>
    </row>
    <row r="309" spans="1:21" ht="17.25" customHeight="1">
      <c r="A309" s="236">
        <v>308</v>
      </c>
      <c r="B309" s="256" t="str">
        <f t="array" ref="B309">INDEX('SUR - ESTER'!B:B, MATCH(S309,'SUR - ESTER'!K:K, 0), )</f>
        <v>Checacupe</v>
      </c>
      <c r="C309" s="156" t="str">
        <f t="array" ref="C309">INDEX('SUR - ESTER'!C:C, MATCH(S309,'SUR - ESTER'!K:K, 0), )</f>
        <v>Cusco</v>
      </c>
      <c r="D309" s="156" t="str">
        <f t="array" ref="D309">INDEX('SUR - ESTER'!D:D, MATCH(S309,'SUR - ESTER'!K:K, 0), )</f>
        <v>FM</v>
      </c>
      <c r="E309" s="156">
        <f t="array" ref="E309">INDEX('SUR - ESTER'!E:E, MATCH(S309,'SUR - ESTER'!K:K, 0), )</f>
        <v>99.5</v>
      </c>
      <c r="F309" s="156">
        <f t="array" ref="F309">INDEX('SUR - ESTER'!F:F, MATCH(S309,'SUR - ESTER'!K:K, 0), )</f>
        <v>93</v>
      </c>
      <c r="G309" s="159" t="str">
        <f t="array" ref="G309">INDEX('SUR - ESTER'!G:G, MATCH(S309,'SUR - ESTER'!K:K, 0), )</f>
        <v>A.A</v>
      </c>
      <c r="H309" s="238" t="str">
        <f t="array" ref="H309">INDEX('SUR - ESTER'!H:H, MATCH(S309,'SUR - ESTER'!K:K, 0), )</f>
        <v>CHECACUPE</v>
      </c>
      <c r="I309" s="239" t="str">
        <f t="array" ref="I309">INDEX('SUR - ESTER'!I:I, MATCH(S309,'SUR - ESTER'!K:K, 0), )</f>
        <v>22/09/2025 - Sectoristas - Opera con normalidad</v>
      </c>
      <c r="J309" s="257">
        <f t="array" ref="J309">INDEX('SUR - ESTER'!J:J, MATCH(S309,'SUR - ESTER'!K:K, 0), )</f>
        <v>0</v>
      </c>
      <c r="K309" s="156" t="str">
        <f t="array" ref="K309">INDEX('SUR - ESTER'!K:K, MATCH(S309,'SUR - ESTER'!K:K, 0), )</f>
        <v>E - 33</v>
      </c>
      <c r="L309" s="251">
        <f t="array" ref="L309">INDEX('SUR - ESTER'!L:L, MATCH(S309,'SUR - ESTER'!K:K, 0), )</f>
        <v>0</v>
      </c>
      <c r="M309" s="251">
        <f t="array" ref="M309">INDEX('SUR - ESTER'!M:M, MATCH(S309,'SUR - ESTER'!K:K, 0), )</f>
        <v>0</v>
      </c>
      <c r="N309" s="258">
        <f t="array" ref="N309">INDEX('SUR - ESTER'!N:N, MATCH(S309,'SUR - ESTER'!K:K, 0), )</f>
        <v>0</v>
      </c>
      <c r="O309" s="253">
        <f t="array" ref="O309">INDEX('SUR - ESTER'!O:O, MATCH(S309,'SUR - ESTER'!K:K, 0), )</f>
        <v>0</v>
      </c>
      <c r="P309" s="236">
        <v>-13.970863888888889</v>
      </c>
      <c r="Q309" s="236">
        <v>-71.416644444444444</v>
      </c>
      <c r="R309" s="243" t="s">
        <v>1792</v>
      </c>
      <c r="S309" s="246" t="s">
        <v>1793</v>
      </c>
      <c r="U309" s="245"/>
    </row>
    <row r="310" spans="1:21" ht="17.25" customHeight="1">
      <c r="A310" s="236">
        <v>309</v>
      </c>
      <c r="B310" s="256" t="str">
        <f t="array" ref="B310">INDEX('SUR - ESTER'!B:B, MATCH(S310,'SUR - ESTER'!K:K, 0), )</f>
        <v>Chincha - Grocio Prado</v>
      </c>
      <c r="C310" s="156" t="str">
        <f t="array" ref="C310">INDEX('SUR - ESTER'!C:C, MATCH(S310,'SUR - ESTER'!K:K, 0), )</f>
        <v>Ica</v>
      </c>
      <c r="D310" s="156" t="str">
        <f t="array" ref="D310">INDEX('SUR - ESTER'!D:D, MATCH(S310,'SUR - ESTER'!K:K, 0), )</f>
        <v>FM</v>
      </c>
      <c r="E310" s="156" t="str">
        <f t="array" ref="E310">INDEX('SUR - ESTER'!E:E, MATCH(S310,'SUR - ESTER'!K:K, 0), )</f>
        <v>95,1</v>
      </c>
      <c r="F310" s="156">
        <f t="array" ref="F310">INDEX('SUR - ESTER'!F:F, MATCH(S310,'SUR - ESTER'!K:K, 0), )</f>
        <v>115</v>
      </c>
      <c r="G310" s="159" t="str">
        <f t="array" ref="G310">INDEX('SUR - ESTER'!G:G, MATCH(S310,'SUR - ESTER'!K:K, 0), )</f>
        <v>A.A</v>
      </c>
      <c r="H310" s="238" t="str">
        <f t="array" ref="H310">INDEX('SUR - ESTER'!H:H, MATCH(S310,'SUR - ESTER'!K:K, 0), )</f>
        <v>CHINCHA</v>
      </c>
      <c r="I310" s="239" t="str">
        <f t="array" ref="I310">INDEX('SUR - ESTER'!I:I, MATCH(S310,'SUR - ESTER'!K:K, 0), )</f>
        <v>1/10/2025 - Sectoristas - Opera con Normalidad</v>
      </c>
      <c r="J310" s="257">
        <f t="array" ref="J310">INDEX('SUR - ESTER'!J:J, MATCH(S310,'SUR - ESTER'!K:K, 0), )</f>
        <v>0</v>
      </c>
      <c r="K310" s="156" t="str">
        <f t="array" ref="K310">INDEX('SUR - ESTER'!K:K, MATCH(S310,'SUR - ESTER'!K:K, 0), )</f>
        <v>E - 34</v>
      </c>
      <c r="L310" s="251">
        <f t="array" ref="L310">INDEX('SUR - ESTER'!L:L, MATCH(S310,'SUR - ESTER'!K:K, 0), )</f>
        <v>0</v>
      </c>
      <c r="M310" s="251">
        <f t="array" ref="M310">INDEX('SUR - ESTER'!M:M, MATCH(S310,'SUR - ESTER'!K:K, 0), )</f>
        <v>0</v>
      </c>
      <c r="N310" s="258">
        <f t="array" ref="N310">INDEX('SUR - ESTER'!N:N, MATCH(S310,'SUR - ESTER'!K:K, 0), )</f>
        <v>0</v>
      </c>
      <c r="O310" s="253">
        <f t="array" ref="O310">INDEX('SUR - ESTER'!O:O, MATCH(S310,'SUR - ESTER'!K:K, 0), )</f>
        <v>0</v>
      </c>
      <c r="P310" s="236">
        <v>-13.408055555555556</v>
      </c>
      <c r="Q310" s="236">
        <v>-76.145555555555561</v>
      </c>
      <c r="R310" s="243" t="s">
        <v>1794</v>
      </c>
      <c r="S310" s="246" t="s">
        <v>1795</v>
      </c>
      <c r="U310" s="245"/>
    </row>
    <row r="311" spans="1:21" ht="17.25" customHeight="1">
      <c r="A311" s="236">
        <v>310</v>
      </c>
      <c r="B311" s="256" t="str">
        <f t="array" ref="B311">INDEX('SUR - ESTER'!B:B, MATCH(S311,'SUR - ESTER'!K:K, 0), )</f>
        <v>Chinchero</v>
      </c>
      <c r="C311" s="156" t="str">
        <f t="array" ref="C311">INDEX('SUR - ESTER'!C:C, MATCH(S311,'SUR - ESTER'!K:K, 0), )</f>
        <v>Cusco</v>
      </c>
      <c r="D311" s="156" t="str">
        <f t="array" ref="D311">INDEX('SUR - ESTER'!D:D, MATCH(S311,'SUR - ESTER'!K:K, 0), )</f>
        <v>VHF</v>
      </c>
      <c r="E311" s="156">
        <f t="array" ref="E311">INDEX('SUR - ESTER'!E:E, MATCH(S311,'SUR - ESTER'!K:K, 0), )</f>
        <v>10</v>
      </c>
      <c r="F311" s="156">
        <f t="array" ref="F311">INDEX('SUR - ESTER'!F:F, MATCH(S311,'SUR - ESTER'!K:K, 0), )</f>
        <v>124</v>
      </c>
      <c r="G311" s="159" t="str">
        <f t="array" ref="G311">INDEX('SUR - ESTER'!G:G, MATCH(S311,'SUR - ESTER'!K:K, 0), )</f>
        <v>A.A</v>
      </c>
      <c r="H311" s="238" t="str">
        <f t="array" ref="H311">INDEX('SUR - ESTER'!H:H, MATCH(S311,'SUR - ESTER'!K:K, 0), )</f>
        <v>CHINCHERO</v>
      </c>
      <c r="I311" s="239" t="str">
        <f t="array" ref="I311">INDEX('SUR - ESTER'!I:I, MATCH(S311,'SUR - ESTER'!K:K, 0), )</f>
        <v>1/09/2025 - Sectoristas - Opera con normalidad</v>
      </c>
      <c r="J311" s="257">
        <f t="array" ref="J311">INDEX('SUR - ESTER'!J:J, MATCH(S311,'SUR - ESTER'!K:K, 0), )</f>
        <v>0</v>
      </c>
      <c r="K311" s="156" t="str">
        <f t="array" ref="K311">INDEX('SUR - ESTER'!K:K, MATCH(S311,'SUR - ESTER'!K:K, 0), )</f>
        <v>E - 35</v>
      </c>
      <c r="L311" s="251">
        <f t="array" ref="L311">INDEX('SUR - ESTER'!L:L, MATCH(S311,'SUR - ESTER'!K:K, 0), )</f>
        <v>0</v>
      </c>
      <c r="M311" s="251">
        <f t="array" ref="M311">INDEX('SUR - ESTER'!M:M, MATCH(S311,'SUR - ESTER'!K:K, 0), )</f>
        <v>0</v>
      </c>
      <c r="N311" s="258">
        <f t="array" ref="N311">INDEX('SUR - ESTER'!N:N, MATCH(S311,'SUR - ESTER'!K:K, 0), )</f>
        <v>0</v>
      </c>
      <c r="O311" s="253">
        <f t="array" ref="O311">INDEX('SUR - ESTER'!O:O, MATCH(S311,'SUR - ESTER'!K:K, 0), )</f>
        <v>0</v>
      </c>
      <c r="P311" s="236">
        <v>-13.393597222222223</v>
      </c>
      <c r="Q311" s="236">
        <v>-72.04998333333333</v>
      </c>
      <c r="R311" s="243" t="s">
        <v>1796</v>
      </c>
      <c r="S311" s="246" t="s">
        <v>1797</v>
      </c>
      <c r="U311" s="245"/>
    </row>
    <row r="312" spans="1:21" ht="17.25" customHeight="1">
      <c r="A312" s="236">
        <v>311</v>
      </c>
      <c r="B312" s="256" t="str">
        <f t="array" ref="B312">INDEX('SUR - ESTER'!B:B, MATCH(S312,'SUR - ESTER'!K:K, 0), )</f>
        <v>Chincheros - Anco - Huallo</v>
      </c>
      <c r="C312" s="156" t="str">
        <f t="array" ref="C312">INDEX('SUR - ESTER'!C:C, MATCH(S312,'SUR - ESTER'!K:K, 0), )</f>
        <v>Apurimac</v>
      </c>
      <c r="D312" s="156" t="str">
        <f t="array" ref="D312">INDEX('SUR - ESTER'!D:D, MATCH(S312,'SUR - ESTER'!K:K, 0), )</f>
        <v>FM</v>
      </c>
      <c r="E312" s="156" t="str">
        <f t="array" ref="E312">INDEX('SUR - ESTER'!E:E, MATCH(S312,'SUR - ESTER'!K:K, 0), )</f>
        <v>93,1</v>
      </c>
      <c r="F312" s="156">
        <f t="array" ref="F312">INDEX('SUR - ESTER'!F:F, MATCH(S312,'SUR - ESTER'!K:K, 0), )</f>
        <v>22</v>
      </c>
      <c r="G312" s="159" t="str">
        <f t="array" ref="G312">INDEX('SUR - ESTER'!G:G, MATCH(S312,'SUR - ESTER'!K:K, 0), )</f>
        <v>A.A</v>
      </c>
      <c r="H312" s="238" t="str">
        <f t="array" ref="H312">INDEX('SUR - ESTER'!H:H, MATCH(S312,'SUR - ESTER'!K:K, 0), )</f>
        <v>CHINCHEROS</v>
      </c>
      <c r="I312" s="239" t="str">
        <f t="array" ref="I312">INDEX('SUR - ESTER'!I:I, MATCH(S312,'SUR - ESTER'!K:K, 0), )</f>
        <v>1/09/2025 - Sectoristas - Opera con normalidad</v>
      </c>
      <c r="J312" s="257">
        <f t="array" ref="J312">INDEX('SUR - ESTER'!J:J, MATCH(S312,'SUR - ESTER'!K:K, 0), )</f>
        <v>0</v>
      </c>
      <c r="K312" s="156" t="str">
        <f t="array" ref="K312">INDEX('SUR - ESTER'!K:K, MATCH(S312,'SUR - ESTER'!K:K, 0), )</f>
        <v>E - 36</v>
      </c>
      <c r="L312" s="251">
        <f t="array" ref="L312">INDEX('SUR - ESTER'!L:L, MATCH(S312,'SUR - ESTER'!K:K, 0), )</f>
        <v>0</v>
      </c>
      <c r="M312" s="251">
        <f t="array" ref="M312">INDEX('SUR - ESTER'!M:M, MATCH(S312,'SUR - ESTER'!K:K, 0), )</f>
        <v>0</v>
      </c>
      <c r="N312" s="258">
        <f t="array" ref="N312">INDEX('SUR - ESTER'!N:N, MATCH(S312,'SUR - ESTER'!K:K, 0), )</f>
        <v>0</v>
      </c>
      <c r="O312" s="253">
        <f t="array" ref="O312">INDEX('SUR - ESTER'!O:O, MATCH(S312,'SUR - ESTER'!K:K, 0), )</f>
        <v>0</v>
      </c>
      <c r="P312" s="236">
        <v>-13.526250000000001</v>
      </c>
      <c r="Q312" s="236">
        <v>-73.704805555555552</v>
      </c>
      <c r="R312" s="243" t="s">
        <v>1798</v>
      </c>
      <c r="S312" s="246" t="s">
        <v>1799</v>
      </c>
      <c r="U312" s="245"/>
    </row>
    <row r="313" spans="1:21" ht="17.25" customHeight="1">
      <c r="A313" s="236">
        <v>312</v>
      </c>
      <c r="B313" s="256" t="str">
        <f t="array" ref="B313">INDEX('SUR - ESTER'!B:B, MATCH(S313,'SUR - ESTER'!K:K, 0), )</f>
        <v>Chivay</v>
      </c>
      <c r="C313" s="156" t="str">
        <f t="array" ref="C313">INDEX('SUR - ESTER'!C:C, MATCH(S313,'SUR - ESTER'!K:K, 0), )</f>
        <v>Arequipa</v>
      </c>
      <c r="D313" s="156" t="str">
        <f t="array" ref="D313">INDEX('SUR - ESTER'!D:D, MATCH(S313,'SUR - ESTER'!K:K, 0), )</f>
        <v>FM</v>
      </c>
      <c r="E313" s="156" t="str">
        <f t="array" ref="E313">INDEX('SUR - ESTER'!E:E, MATCH(S313,'SUR - ESTER'!K:K, 0), )</f>
        <v>93,3</v>
      </c>
      <c r="F313" s="156">
        <f t="array" ref="F313">INDEX('SUR - ESTER'!F:F, MATCH(S313,'SUR - ESTER'!K:K, 0), )</f>
        <v>125</v>
      </c>
      <c r="G313" s="159" t="str">
        <f t="array" ref="G313">INDEX('SUR - ESTER'!G:G, MATCH(S313,'SUR - ESTER'!K:K, 0), )</f>
        <v>A.A</v>
      </c>
      <c r="H313" s="238" t="str">
        <f t="array" ref="H313">INDEX('SUR - ESTER'!H:H, MATCH(S313,'SUR - ESTER'!K:K, 0), )</f>
        <v>CHIVAY</v>
      </c>
      <c r="I313" s="239" t="str">
        <f t="array" ref="I313">INDEX('SUR - ESTER'!I:I, MATCH(S313,'SUR - ESTER'!K:K, 0), )</f>
        <v>20/10/2025 - Sectoristas - Opera con normalidad de acuerdo a lo informado por el hno. Manuel Espinoza (Tecnico)</v>
      </c>
      <c r="J313" s="257" t="str">
        <f t="array" ref="J313">INDEX('SUR - ESTER'!J:J, MATCH(S313,'SUR - ESTER'!K:K, 0), )</f>
        <v>VIAJE TECNICO 13/10/25</v>
      </c>
      <c r="K313" s="156" t="str">
        <f t="array" ref="K313">INDEX('SUR - ESTER'!K:K, MATCH(S313,'SUR - ESTER'!K:K, 0), )</f>
        <v>E - 37</v>
      </c>
      <c r="L313" s="251">
        <f t="array" ref="L313">INDEX('SUR - ESTER'!L:L, MATCH(S313,'SUR - ESTER'!K:K, 0), )</f>
        <v>0</v>
      </c>
      <c r="M313" s="251">
        <f t="array" ref="M313">INDEX('SUR - ESTER'!M:M, MATCH(S313,'SUR - ESTER'!K:K, 0), )</f>
        <v>0</v>
      </c>
      <c r="N313" s="258">
        <f t="array" ref="N313">INDEX('SUR - ESTER'!N:N, MATCH(S313,'SUR - ESTER'!K:K, 0), )</f>
        <v>0</v>
      </c>
      <c r="O313" s="253">
        <f t="array" ref="O313">INDEX('SUR - ESTER'!O:O, MATCH(S313,'SUR - ESTER'!K:K, 0), )</f>
        <v>0</v>
      </c>
      <c r="P313" s="236">
        <v>-15.637333333333332</v>
      </c>
      <c r="Q313" s="236">
        <v>-71.598861111111106</v>
      </c>
      <c r="R313" s="243" t="s">
        <v>1800</v>
      </c>
      <c r="S313" s="246" t="s">
        <v>1801</v>
      </c>
      <c r="U313" s="245"/>
    </row>
    <row r="314" spans="1:21" ht="17.25" customHeight="1">
      <c r="A314" s="236">
        <v>313</v>
      </c>
      <c r="B314" s="256" t="str">
        <f t="array" ref="B314">INDEX('SUR - ESTER'!B:B, MATCH(S314,'SUR - ESTER'!K:K, 0), )</f>
        <v>Chuquibamba</v>
      </c>
      <c r="C314" s="156" t="str">
        <f t="array" ref="C314">INDEX('SUR - ESTER'!C:C, MATCH(S314,'SUR - ESTER'!K:K, 0), )</f>
        <v>Arequipa</v>
      </c>
      <c r="D314" s="156" t="str">
        <f t="array" ref="D314">INDEX('SUR - ESTER'!D:D, MATCH(S314,'SUR - ESTER'!K:K, 0), )</f>
        <v>FM</v>
      </c>
      <c r="E314" s="156" t="str">
        <f t="array" ref="E314">INDEX('SUR - ESTER'!E:E, MATCH(S314,'SUR - ESTER'!K:K, 0), )</f>
        <v>98,9</v>
      </c>
      <c r="F314" s="156">
        <f t="array" ref="F314">INDEX('SUR - ESTER'!F:F, MATCH(S314,'SUR - ESTER'!K:K, 0), )</f>
        <v>39</v>
      </c>
      <c r="G314" s="159" t="str">
        <f t="array" ref="G314">INDEX('SUR - ESTER'!G:G, MATCH(S314,'SUR - ESTER'!K:K, 0), )</f>
        <v>A.A</v>
      </c>
      <c r="H314" s="238" t="str">
        <f t="array" ref="H314">INDEX('SUR - ESTER'!H:H, MATCH(S314,'SUR - ESTER'!K:K, 0), )</f>
        <v>CHUQUIBAMBA</v>
      </c>
      <c r="I314" s="239" t="str">
        <f t="array" ref="I314">INDEX('SUR - ESTER'!I:I, MATCH(S314,'SUR - ESTER'!K:K, 0), )</f>
        <v>30/10/2025 - Sectoristas - Opera con normalidad por informacion del pastor</v>
      </c>
      <c r="J314" s="257" t="str">
        <f t="array" ref="J314">INDEX('SUR - ESTER'!J:J, MATCH(S314,'SUR - ESTER'!K:K, 0), )</f>
        <v xml:space="preserve">ELECTRICO / se pagaron 5000 soles y deben 2500 soles </v>
      </c>
      <c r="K314" s="156" t="str">
        <f t="array" ref="K314">INDEX('SUR - ESTER'!K:K, MATCH(S314,'SUR - ESTER'!K:K, 0), )</f>
        <v>E - 38</v>
      </c>
      <c r="L314" s="251">
        <f t="array" ref="L314">INDEX('SUR - ESTER'!L:L, MATCH(S314,'SUR - ESTER'!K:K, 0), )</f>
        <v>0</v>
      </c>
      <c r="M314" s="251">
        <f t="array" ref="M314">INDEX('SUR - ESTER'!M:M, MATCH(S314,'SUR - ESTER'!K:K, 0), )</f>
        <v>0</v>
      </c>
      <c r="N314" s="258">
        <f t="array" ref="N314">INDEX('SUR - ESTER'!N:N, MATCH(S314,'SUR - ESTER'!K:K, 0), )</f>
        <v>0</v>
      </c>
      <c r="O314" s="253">
        <f t="array" ref="O314">INDEX('SUR - ESTER'!O:O, MATCH(S314,'SUR - ESTER'!K:K, 0), )</f>
        <v>0</v>
      </c>
      <c r="P314" s="236">
        <v>-15.841750000000001</v>
      </c>
      <c r="Q314" s="236">
        <v>-72.662833333333339</v>
      </c>
      <c r="R314" s="243" t="s">
        <v>1802</v>
      </c>
      <c r="S314" s="246" t="s">
        <v>1803</v>
      </c>
      <c r="U314" s="245"/>
    </row>
    <row r="315" spans="1:21" ht="17.25" customHeight="1">
      <c r="A315" s="236">
        <v>314</v>
      </c>
      <c r="B315" s="256" t="str">
        <f t="array" ref="B315">INDEX('SUR - ESTER'!B:B, MATCH(S315,'SUR - ESTER'!K:K, 0), )</f>
        <v>Chuquibambilla</v>
      </c>
      <c r="C315" s="156" t="str">
        <f t="array" ref="C315">INDEX('SUR - ESTER'!C:C, MATCH(S315,'SUR - ESTER'!K:K, 0), )</f>
        <v>Apurimac</v>
      </c>
      <c r="D315" s="156" t="str">
        <f t="array" ref="D315">INDEX('SUR - ESTER'!D:D, MATCH(S315,'SUR - ESTER'!K:K, 0), )</f>
        <v>FM</v>
      </c>
      <c r="E315" s="156" t="str">
        <f t="array" ref="E315">INDEX('SUR - ESTER'!E:E, MATCH(S315,'SUR - ESTER'!K:K, 0), )</f>
        <v>95,5</v>
      </c>
      <c r="F315" s="156">
        <f t="array" ref="F315">INDEX('SUR - ESTER'!F:F, MATCH(S315,'SUR - ESTER'!K:K, 0), )</f>
        <v>67</v>
      </c>
      <c r="G315" s="159" t="str">
        <f t="array" ref="G315">INDEX('SUR - ESTER'!G:G, MATCH(S315,'SUR - ESTER'!K:K, 0), )</f>
        <v>A.A</v>
      </c>
      <c r="H315" s="238" t="str">
        <f t="array" ref="H315">INDEX('SUR - ESTER'!H:H, MATCH(S315,'SUR - ESTER'!K:K, 0), )</f>
        <v>CHUQUIBAMBILLA</v>
      </c>
      <c r="I315" s="239" t="str">
        <f t="array" ref="I315">INDEX('SUR - ESTER'!I:I, MATCH(S315,'SUR - ESTER'!K:K, 0), )</f>
        <v>12/11/2025 - Sectoristas - El Pastor de la zona comunico que el hermano Fidel no pudo ir el dia que indico para instalar los equipos (distribuidor y transfomador de aislamiento), pero que Dios mediante estara yendo el dia de hoy.</v>
      </c>
      <c r="J315" s="257">
        <f t="array" ref="J315">INDEX('SUR - ESTER'!J:J, MATCH(S315,'SUR - ESTER'!K:K, 0), )</f>
        <v>0</v>
      </c>
      <c r="K315" s="156" t="str">
        <f t="array" ref="K315">INDEX('SUR - ESTER'!K:K, MATCH(S315,'SUR - ESTER'!K:K, 0), )</f>
        <v>E - 39</v>
      </c>
      <c r="L315" s="251">
        <f t="array" ref="L315">INDEX('SUR - ESTER'!L:L, MATCH(S315,'SUR - ESTER'!K:K, 0), )</f>
        <v>0</v>
      </c>
      <c r="M315" s="251">
        <f t="array" ref="M315">INDEX('SUR - ESTER'!M:M, MATCH(S315,'SUR - ESTER'!K:K, 0), )</f>
        <v>0</v>
      </c>
      <c r="N315" s="258">
        <f t="array" ref="N315">INDEX('SUR - ESTER'!N:N, MATCH(S315,'SUR - ESTER'!K:K, 0), )</f>
        <v>0</v>
      </c>
      <c r="O315" s="253">
        <f t="array" ref="O315">INDEX('SUR - ESTER'!O:O, MATCH(S315,'SUR - ESTER'!K:K, 0), )</f>
        <v>0</v>
      </c>
      <c r="P315" s="236">
        <v>-14.104166666666666</v>
      </c>
      <c r="Q315" s="236">
        <v>-72.715000000000003</v>
      </c>
      <c r="R315" s="243" t="s">
        <v>1804</v>
      </c>
      <c r="S315" s="246" t="s">
        <v>1805</v>
      </c>
      <c r="U315" s="245"/>
    </row>
    <row r="316" spans="1:21" ht="17.25" customHeight="1">
      <c r="A316" s="236">
        <v>315</v>
      </c>
      <c r="B316" s="256" t="str">
        <f t="array" ref="B316">INDEX('SUR - ESTER'!B:B, MATCH(S316,'SUR - ESTER'!K:K, 0), )</f>
        <v>Combapata</v>
      </c>
      <c r="C316" s="156" t="str">
        <f t="array" ref="C316">INDEX('SUR - ESTER'!C:C, MATCH(S316,'SUR - ESTER'!K:K, 0), )</f>
        <v>Cusco</v>
      </c>
      <c r="D316" s="156" t="str">
        <f t="array" ref="D316">INDEX('SUR - ESTER'!D:D, MATCH(S316,'SUR - ESTER'!K:K, 0), )</f>
        <v>FM</v>
      </c>
      <c r="E316" s="156" t="str">
        <f t="array" ref="E316">INDEX('SUR - ESTER'!E:E, MATCH(S316,'SUR - ESTER'!K:K, 0), )</f>
        <v>104,9</v>
      </c>
      <c r="F316" s="156">
        <f t="array" ref="F316">INDEX('SUR - ESTER'!F:F, MATCH(S316,'SUR - ESTER'!K:K, 0), )</f>
        <v>93</v>
      </c>
      <c r="G316" s="159" t="str">
        <f t="array" ref="G316">INDEX('SUR - ESTER'!G:G, MATCH(S316,'SUR - ESTER'!K:K, 0), )</f>
        <v>A.A</v>
      </c>
      <c r="H316" s="238" t="str">
        <f t="array" ref="H316">INDEX('SUR - ESTER'!H:H, MATCH(S316,'SUR - ESTER'!K:K, 0), )</f>
        <v>COMBAPATA</v>
      </c>
      <c r="I316" s="239" t="str">
        <f t="array" ref="I316">INDEX('SUR - ESTER'!I:I, MATCH(S316,'SUR - ESTER'!K:K, 0), )</f>
        <v>22/09/2025 - Sectoristas - Opera con normalidad</v>
      </c>
      <c r="J316" s="257">
        <f t="array" ref="J316">INDEX('SUR - ESTER'!J:J, MATCH(S316,'SUR - ESTER'!K:K, 0), )</f>
        <v>0</v>
      </c>
      <c r="K316" s="156" t="str">
        <f t="array" ref="K316">INDEX('SUR - ESTER'!K:K, MATCH(S316,'SUR - ESTER'!K:K, 0), )</f>
        <v>E - 40</v>
      </c>
      <c r="L316" s="251">
        <f t="array" ref="L316">INDEX('SUR - ESTER'!L:L, MATCH(S316,'SUR - ESTER'!K:K, 0), )</f>
        <v>0</v>
      </c>
      <c r="M316" s="251">
        <f t="array" ref="M316">INDEX('SUR - ESTER'!M:M, MATCH(S316,'SUR - ESTER'!K:K, 0), )</f>
        <v>0</v>
      </c>
      <c r="N316" s="258">
        <f t="array" ref="N316">INDEX('SUR - ESTER'!N:N, MATCH(S316,'SUR - ESTER'!K:K, 0), )</f>
        <v>0</v>
      </c>
      <c r="O316" s="253">
        <f t="array" ref="O316">INDEX('SUR - ESTER'!O:O, MATCH(S316,'SUR - ESTER'!K:K, 0), )</f>
        <v>0</v>
      </c>
      <c r="P316" s="236">
        <v>-14.09995</v>
      </c>
      <c r="Q316" s="236">
        <v>-71.433466666666675</v>
      </c>
      <c r="R316" s="243" t="s">
        <v>1806</v>
      </c>
      <c r="S316" s="246" t="s">
        <v>1807</v>
      </c>
      <c r="U316" s="245"/>
    </row>
    <row r="317" spans="1:21" ht="17.25" customHeight="1">
      <c r="A317" s="236">
        <v>316</v>
      </c>
      <c r="B317" s="256" t="str">
        <f t="array" ref="B317">INDEX('SUR - ESTER'!B:B, MATCH(S317,'SUR - ESTER'!K:K, 0), )</f>
        <v>Cotahuasi</v>
      </c>
      <c r="C317" s="156" t="str">
        <f t="array" ref="C317">INDEX('SUR - ESTER'!C:C, MATCH(S317,'SUR - ESTER'!K:K, 0), )</f>
        <v>Arequipa</v>
      </c>
      <c r="D317" s="156" t="str">
        <f t="array" ref="D317">INDEX('SUR - ESTER'!D:D, MATCH(S317,'SUR - ESTER'!K:K, 0), )</f>
        <v>FM</v>
      </c>
      <c r="E317" s="156" t="str">
        <f t="array" ref="E317">INDEX('SUR - ESTER'!E:E, MATCH(S317,'SUR - ESTER'!K:K, 0), )</f>
        <v>93,5</v>
      </c>
      <c r="F317" s="156">
        <f t="array" ref="F317">INDEX('SUR - ESTER'!F:F, MATCH(S317,'SUR - ESTER'!K:K, 0), )</f>
        <v>39</v>
      </c>
      <c r="G317" s="159" t="str">
        <f t="array" ref="G317">INDEX('SUR - ESTER'!G:G, MATCH(S317,'SUR - ESTER'!K:K, 0), )</f>
        <v>A.A</v>
      </c>
      <c r="H317" s="238" t="str">
        <f t="array" ref="H317">INDEX('SUR - ESTER'!H:H, MATCH(S317,'SUR - ESTER'!K:K, 0), )</f>
        <v>COTAHUASI</v>
      </c>
      <c r="I317" s="239" t="str">
        <f t="array" ref="I317">INDEX('SUR - ESTER'!I:I, MATCH(S317,'SUR - ESTER'!K:K, 0), )</f>
        <v>18/11/2025 - Sectoristas - Opera con normalidad / Inf. Ps. Henry Aguilar</v>
      </c>
      <c r="J317" s="257">
        <f t="array" ref="J317">INDEX('SUR - ESTER'!J:J, MATCH(S317,'SUR - ESTER'!K:K, 0), )</f>
        <v>0</v>
      </c>
      <c r="K317" s="156" t="str">
        <f t="array" ref="K317">INDEX('SUR - ESTER'!K:K, MATCH(S317,'SUR - ESTER'!K:K, 0), )</f>
        <v>E - 41</v>
      </c>
      <c r="L317" s="251">
        <f t="array" ref="L317">INDEX('SUR - ESTER'!L:L, MATCH(S317,'SUR - ESTER'!K:K, 0), )</f>
        <v>0</v>
      </c>
      <c r="M317" s="251">
        <f t="array" ref="M317">INDEX('SUR - ESTER'!M:M, MATCH(S317,'SUR - ESTER'!K:K, 0), )</f>
        <v>0</v>
      </c>
      <c r="N317" s="258">
        <f t="array" ref="N317">INDEX('SUR - ESTER'!N:N, MATCH(S317,'SUR - ESTER'!K:K, 0), )</f>
        <v>0</v>
      </c>
      <c r="O317" s="253">
        <f t="array" ref="O317">INDEX('SUR - ESTER'!O:O, MATCH(S317,'SUR - ESTER'!K:K, 0), )</f>
        <v>0</v>
      </c>
      <c r="P317" s="236">
        <v>-15.221633333333333</v>
      </c>
      <c r="Q317" s="236">
        <v>-72.892800000000008</v>
      </c>
      <c r="R317" s="243" t="s">
        <v>1808</v>
      </c>
      <c r="S317" s="246" t="s">
        <v>1809</v>
      </c>
      <c r="U317" s="245"/>
    </row>
    <row r="318" spans="1:21" ht="17.25" customHeight="1">
      <c r="A318" s="236">
        <v>317</v>
      </c>
      <c r="B318" s="256" t="str">
        <f t="array" ref="B318">INDEX('SUR - ESTER'!B:B, MATCH(S318,'SUR - ESTER'!K:K, 0), )</f>
        <v>Crucero</v>
      </c>
      <c r="C318" s="156" t="str">
        <f t="array" ref="C318">INDEX('SUR - ESTER'!C:C, MATCH(S318,'SUR - ESTER'!K:K, 0), )</f>
        <v>Puno</v>
      </c>
      <c r="D318" s="156" t="str">
        <f t="array" ref="D318">INDEX('SUR - ESTER'!D:D, MATCH(S318,'SUR - ESTER'!K:K, 0), )</f>
        <v>FM</v>
      </c>
      <c r="E318" s="156" t="str">
        <f t="array" ref="E318">INDEX('SUR - ESTER'!E:E, MATCH(S318,'SUR - ESTER'!K:K, 0), )</f>
        <v>98,1</v>
      </c>
      <c r="F318" s="156">
        <f t="array" ref="F318">INDEX('SUR - ESTER'!F:F, MATCH(S318,'SUR - ESTER'!K:K, 0), )</f>
        <v>138</v>
      </c>
      <c r="G318" s="159" t="str">
        <f t="array" ref="G318">INDEX('SUR - ESTER'!G:G, MATCH(S318,'SUR - ESTER'!K:K, 0), )</f>
        <v>A.A</v>
      </c>
      <c r="H318" s="238" t="str">
        <f t="array" ref="H318">INDEX('SUR - ESTER'!H:H, MATCH(S318,'SUR - ESTER'!K:K, 0), )</f>
        <v>CRUCERO</v>
      </c>
      <c r="I318" s="239" t="str">
        <f t="array" ref="I318">INDEX('SUR - ESTER'!I:I, MATCH(S318,'SUR - ESTER'!K:K, 0), )</f>
        <v>25/09/2025 - Sectoristas - Opera con normalidad</v>
      </c>
      <c r="J318" s="257">
        <f t="array" ref="J318">INDEX('SUR - ESTER'!J:J, MATCH(S318,'SUR - ESTER'!K:K, 0), )</f>
        <v>0</v>
      </c>
      <c r="K318" s="156" t="str">
        <f t="array" ref="K318">INDEX('SUR - ESTER'!K:K, MATCH(S318,'SUR - ESTER'!K:K, 0), )</f>
        <v>E - 42</v>
      </c>
      <c r="L318" s="251">
        <f t="array" ref="L318">INDEX('SUR - ESTER'!L:L, MATCH(S318,'SUR - ESTER'!K:K, 0), )</f>
        <v>0</v>
      </c>
      <c r="M318" s="251">
        <f t="array" ref="M318">INDEX('SUR - ESTER'!M:M, MATCH(S318,'SUR - ESTER'!K:K, 0), )</f>
        <v>0</v>
      </c>
      <c r="N318" s="258">
        <f t="array" ref="N318">INDEX('SUR - ESTER'!N:N, MATCH(S318,'SUR - ESTER'!K:K, 0), )</f>
        <v>0</v>
      </c>
      <c r="O318" s="253">
        <f t="array" ref="O318">INDEX('SUR - ESTER'!O:O, MATCH(S318,'SUR - ESTER'!K:K, 0), )</f>
        <v>0</v>
      </c>
      <c r="P318" s="236">
        <v>-14.359055555555555</v>
      </c>
      <c r="Q318" s="236">
        <v>-70.019638888888892</v>
      </c>
      <c r="R318" s="243" t="s">
        <v>1810</v>
      </c>
      <c r="S318" s="246" t="s">
        <v>1811</v>
      </c>
      <c r="U318" s="245"/>
    </row>
    <row r="319" spans="1:21" ht="17.25" customHeight="1">
      <c r="A319" s="236">
        <v>318</v>
      </c>
      <c r="B319" s="256" t="str">
        <f t="array" ref="B319">INDEX('SUR - ESTER'!B:B, MATCH(S319,'SUR - ESTER'!K:K, 0), )</f>
        <v>Curahuasi</v>
      </c>
      <c r="C319" s="156" t="str">
        <f t="array" ref="C319">INDEX('SUR - ESTER'!C:C, MATCH(S319,'SUR - ESTER'!K:K, 0), )</f>
        <v>Apurimac</v>
      </c>
      <c r="D319" s="156" t="str">
        <f t="array" ref="D319">INDEX('SUR - ESTER'!D:D, MATCH(S319,'SUR - ESTER'!K:K, 0), )</f>
        <v>VHF</v>
      </c>
      <c r="E319" s="156">
        <f t="array" ref="E319">INDEX('SUR - ESTER'!E:E, MATCH(S319,'SUR - ESTER'!K:K, 0), )</f>
        <v>9</v>
      </c>
      <c r="F319" s="156">
        <f t="array" ref="F319">INDEX('SUR - ESTER'!F:F, MATCH(S319,'SUR - ESTER'!K:K, 0), )</f>
        <v>67</v>
      </c>
      <c r="G319" s="159" t="str">
        <f t="array" ref="G319">INDEX('SUR - ESTER'!G:G, MATCH(S319,'SUR - ESTER'!K:K, 0), )</f>
        <v>A.A</v>
      </c>
      <c r="H319" s="238" t="str">
        <f t="array" ref="H319">INDEX('SUR - ESTER'!H:H, MATCH(S319,'SUR - ESTER'!K:K, 0), )</f>
        <v>CURAHUASI</v>
      </c>
      <c r="I319" s="239" t="str">
        <f t="array" ref="I319">INDEX('SUR - ESTER'!I:I, MATCH(S319,'SUR - ESTER'!K:K, 0), )</f>
        <v>17/11/2025 - Sectoristas - Opera con normalidad / Inf. Ps. David Campos, esta semana estara visitando la estacion el ps. Genaro</v>
      </c>
      <c r="J319" s="257">
        <f t="array" ref="J319">INDEX('SUR - ESTER'!J:J, MATCH(S319,'SUR - ESTER'!K:K, 0), )</f>
        <v>0</v>
      </c>
      <c r="K319" s="156" t="str">
        <f t="array" ref="K319">INDEX('SUR - ESTER'!K:K, MATCH(S319,'SUR - ESTER'!K:K, 0), )</f>
        <v>E - 43</v>
      </c>
      <c r="L319" s="251">
        <f t="array" ref="L319">INDEX('SUR - ESTER'!L:L, MATCH(S319,'SUR - ESTER'!K:K, 0), )</f>
        <v>0</v>
      </c>
      <c r="M319" s="251">
        <f t="array" ref="M319">INDEX('SUR - ESTER'!M:M, MATCH(S319,'SUR - ESTER'!K:K, 0), )</f>
        <v>0</v>
      </c>
      <c r="N319" s="258">
        <f t="array" ref="N319">INDEX('SUR - ESTER'!N:N, MATCH(S319,'SUR - ESTER'!K:K, 0), )</f>
        <v>0</v>
      </c>
      <c r="O319" s="253">
        <f t="array" ref="O319">INDEX('SUR - ESTER'!O:O, MATCH(S319,'SUR - ESTER'!K:K, 0), )</f>
        <v>0</v>
      </c>
      <c r="P319" s="236">
        <v>-13.536741666666666</v>
      </c>
      <c r="Q319" s="236">
        <v>-72.696325000000002</v>
      </c>
      <c r="R319" s="243" t="s">
        <v>1812</v>
      </c>
      <c r="S319" s="246" t="s">
        <v>1813</v>
      </c>
      <c r="U319" s="245"/>
    </row>
    <row r="320" spans="1:21" ht="17.25" customHeight="1">
      <c r="A320" s="236">
        <v>319</v>
      </c>
      <c r="B320" s="256" t="str">
        <f t="array" ref="B320">INDEX('SUR - ESTER'!B:B, MATCH(S320,'SUR - ESTER'!K:K, 0), )</f>
        <v>Curahuasi</v>
      </c>
      <c r="C320" s="156" t="str">
        <f t="array" ref="C320">INDEX('SUR - ESTER'!C:C, MATCH(S320,'SUR - ESTER'!K:K, 0), )</f>
        <v>Apurimac</v>
      </c>
      <c r="D320" s="156" t="str">
        <f t="array" ref="D320">INDEX('SUR - ESTER'!D:D, MATCH(S320,'SUR - ESTER'!K:K, 0), )</f>
        <v>FM</v>
      </c>
      <c r="E320" s="156" t="str">
        <f t="array" ref="E320">INDEX('SUR - ESTER'!E:E, MATCH(S320,'SUR - ESTER'!K:K, 0), )</f>
        <v>90,9</v>
      </c>
      <c r="F320" s="156">
        <f t="array" ref="F320">INDEX('SUR - ESTER'!F:F, MATCH(S320,'SUR - ESTER'!K:K, 0), )</f>
        <v>67</v>
      </c>
      <c r="G320" s="159" t="str">
        <f t="array" ref="G320">INDEX('SUR - ESTER'!G:G, MATCH(S320,'SUR - ESTER'!K:K, 0), )</f>
        <v>A.A</v>
      </c>
      <c r="H320" s="238" t="str">
        <f t="array" ref="H320">INDEX('SUR - ESTER'!H:H, MATCH(S320,'SUR - ESTER'!K:K, 0), )</f>
        <v>CURAHUASI</v>
      </c>
      <c r="I320" s="239" t="str">
        <f t="array" ref="I320">INDEX('SUR - ESTER'!I:I, MATCH(S320,'SUR - ESTER'!K:K, 0), )</f>
        <v>17/11/2025 - Sectoristas - Opera con normalidad / Inf. Ps. David Campos</v>
      </c>
      <c r="J320" s="257">
        <f t="array" ref="J320">INDEX('SUR - ESTER'!J:J, MATCH(S320,'SUR - ESTER'!K:K, 0), )</f>
        <v>0</v>
      </c>
      <c r="K320" s="156" t="str">
        <f t="array" ref="K320">INDEX('SUR - ESTER'!K:K, MATCH(S320,'SUR - ESTER'!K:K, 0), )</f>
        <v>E - 44</v>
      </c>
      <c r="L320" s="251">
        <f t="array" ref="L320">INDEX('SUR - ESTER'!L:L, MATCH(S320,'SUR - ESTER'!K:K, 0), )</f>
        <v>0</v>
      </c>
      <c r="M320" s="251">
        <f t="array" ref="M320">INDEX('SUR - ESTER'!M:M, MATCH(S320,'SUR - ESTER'!K:K, 0), )</f>
        <v>0</v>
      </c>
      <c r="N320" s="258">
        <f t="array" ref="N320">INDEX('SUR - ESTER'!N:N, MATCH(S320,'SUR - ESTER'!K:K, 0), )</f>
        <v>0</v>
      </c>
      <c r="O320" s="253">
        <f t="array" ref="O320">INDEX('SUR - ESTER'!O:O, MATCH(S320,'SUR - ESTER'!K:K, 0), )</f>
        <v>0</v>
      </c>
      <c r="P320" s="236">
        <v>-13.536741666666666</v>
      </c>
      <c r="Q320" s="236">
        <v>-72.696325000000002</v>
      </c>
      <c r="R320" s="243" t="s">
        <v>1812</v>
      </c>
      <c r="S320" s="246" t="s">
        <v>1814</v>
      </c>
      <c r="U320" s="245"/>
    </row>
    <row r="321" spans="1:21" ht="17.25" customHeight="1">
      <c r="A321" s="236">
        <v>320</v>
      </c>
      <c r="B321" s="256" t="str">
        <f t="array" ref="B321">INDEX('SUR - ESTER'!B:B, MATCH(S321,'SUR - ESTER'!K:K, 0), )</f>
        <v>Cusco</v>
      </c>
      <c r="C321" s="156" t="str">
        <f t="array" ref="C321">INDEX('SUR - ESTER'!C:C, MATCH(S321,'SUR - ESTER'!K:K, 0), )</f>
        <v>Cusco</v>
      </c>
      <c r="D321" s="156" t="str">
        <f t="array" ref="D321">INDEX('SUR - ESTER'!D:D, MATCH(S321,'SUR - ESTER'!K:K, 0), )</f>
        <v>UHF</v>
      </c>
      <c r="E321" s="156">
        <f t="array" ref="E321">INDEX('SUR - ESTER'!E:E, MATCH(S321,'SUR - ESTER'!K:K, 0), )</f>
        <v>19</v>
      </c>
      <c r="F321" s="156">
        <f t="array" ref="F321">INDEX('SUR - ESTER'!F:F, MATCH(S321,'SUR - ESTER'!K:K, 0), )</f>
        <v>21</v>
      </c>
      <c r="G321" s="159" t="str">
        <f t="array" ref="G321">INDEX('SUR - ESTER'!G:G, MATCH(S321,'SUR - ESTER'!K:K, 0), )</f>
        <v>A.A</v>
      </c>
      <c r="H321" s="238" t="str">
        <f t="array" ref="H321">INDEX('SUR - ESTER'!H:H, MATCH(S321,'SUR - ESTER'!K:K, 0), )</f>
        <v>CUSCO</v>
      </c>
      <c r="I321" s="239" t="str">
        <f t="array" ref="I321">INDEX('SUR - ESTER'!I:I, MATCH(S321,'SUR - ESTER'!K:K, 0), )</f>
        <v>2/09/2025 - Sectoristas - Opera con normalidad, local alquilado</v>
      </c>
      <c r="J321" s="257">
        <f t="array" ref="J321">INDEX('SUR - ESTER'!J:J, MATCH(S321,'SUR - ESTER'!K:K, 0), )</f>
        <v>0</v>
      </c>
      <c r="K321" s="156" t="str">
        <f t="array" ref="K321">INDEX('SUR - ESTER'!K:K, MATCH(S321,'SUR - ESTER'!K:K, 0), )</f>
        <v>E - 45</v>
      </c>
      <c r="L321" s="251">
        <f t="array" ref="L321">INDEX('SUR - ESTER'!L:L, MATCH(S321,'SUR - ESTER'!K:K, 0), )</f>
        <v>0</v>
      </c>
      <c r="M321" s="251">
        <f t="array" ref="M321">INDEX('SUR - ESTER'!M:M, MATCH(S321,'SUR - ESTER'!K:K, 0), )</f>
        <v>0</v>
      </c>
      <c r="N321" s="258">
        <f t="array" ref="N321">INDEX('SUR - ESTER'!N:N, MATCH(S321,'SUR - ESTER'!K:K, 0), )</f>
        <v>0</v>
      </c>
      <c r="O321" s="253">
        <f t="array" ref="O321">INDEX('SUR - ESTER'!O:O, MATCH(S321,'SUR - ESTER'!K:K, 0), )</f>
        <v>0</v>
      </c>
      <c r="P321" s="236">
        <v>-13.512916666666667</v>
      </c>
      <c r="Q321" s="236">
        <v>-71.995305555555561</v>
      </c>
      <c r="R321" s="243" t="s">
        <v>1815</v>
      </c>
      <c r="S321" s="246" t="s">
        <v>1816</v>
      </c>
      <c r="U321" s="245"/>
    </row>
    <row r="322" spans="1:21" ht="17.25" customHeight="1">
      <c r="A322" s="236">
        <v>321</v>
      </c>
      <c r="B322" s="256" t="str">
        <f t="array" ref="B322">INDEX('SUR - ESTER'!B:B, MATCH(S322,'SUR - ESTER'!K:K, 0), )</f>
        <v>Cusco</v>
      </c>
      <c r="C322" s="156" t="str">
        <f t="array" ref="C322">INDEX('SUR - ESTER'!C:C, MATCH(S322,'SUR - ESTER'!K:K, 0), )</f>
        <v>Cusco</v>
      </c>
      <c r="D322" s="156" t="str">
        <f t="array" ref="D322">INDEX('SUR - ESTER'!D:D, MATCH(S322,'SUR - ESTER'!K:K, 0), )</f>
        <v>AM</v>
      </c>
      <c r="E322" s="156">
        <f t="array" ref="E322">INDEX('SUR - ESTER'!E:E, MATCH(S322,'SUR - ESTER'!K:K, 0), )</f>
        <v>1170</v>
      </c>
      <c r="F322" s="156">
        <f t="array" ref="F322">INDEX('SUR - ESTER'!F:F, MATCH(S322,'SUR - ESTER'!K:K, 0), )</f>
        <v>21</v>
      </c>
      <c r="G322" s="159" t="str">
        <f t="array" ref="G322">INDEX('SUR - ESTER'!G:G, MATCH(S322,'SUR - ESTER'!K:K, 0), )</f>
        <v>A.A</v>
      </c>
      <c r="H322" s="238" t="str">
        <f t="array" ref="H322">INDEX('SUR - ESTER'!H:H, MATCH(S322,'SUR - ESTER'!K:K, 0), )</f>
        <v>CUSCO</v>
      </c>
      <c r="I322" s="239" t="str">
        <f t="array" ref="I322">INDEX('SUR - ESTER'!I:I, MATCH(S322,'SUR - ESTER'!K:K, 0), )</f>
        <v>2/09/2025 - Sectoristas - Opera con normalidad, local propio, alta presencia de rayos</v>
      </c>
      <c r="J322" s="257">
        <f t="array" ref="J322">INDEX('SUR - ESTER'!J:J, MATCH(S322,'SUR - ESTER'!K:K, 0), )</f>
        <v>0</v>
      </c>
      <c r="K322" s="156" t="str">
        <f t="array" ref="K322">INDEX('SUR - ESTER'!K:K, MATCH(S322,'SUR - ESTER'!K:K, 0), )</f>
        <v>E - 46</v>
      </c>
      <c r="L322" s="251">
        <f t="array" ref="L322">INDEX('SUR - ESTER'!L:L, MATCH(S322,'SUR - ESTER'!K:K, 0), )</f>
        <v>0</v>
      </c>
      <c r="M322" s="251">
        <f t="array" ref="M322">INDEX('SUR - ESTER'!M:M, MATCH(S322,'SUR - ESTER'!K:K, 0), )</f>
        <v>0</v>
      </c>
      <c r="N322" s="258">
        <f t="array" ref="N322">INDEX('SUR - ESTER'!N:N, MATCH(S322,'SUR - ESTER'!K:K, 0), )</f>
        <v>0</v>
      </c>
      <c r="O322" s="253">
        <f t="array" ref="O322">INDEX('SUR - ESTER'!O:O, MATCH(S322,'SUR - ESTER'!K:K, 0), )</f>
        <v>0</v>
      </c>
      <c r="P322" s="236">
        <v>-13.529416666666668</v>
      </c>
      <c r="Q322" s="236">
        <v>-72.013555555555556</v>
      </c>
      <c r="R322" s="243" t="s">
        <v>1817</v>
      </c>
      <c r="S322" s="246" t="s">
        <v>1818</v>
      </c>
      <c r="U322" s="245"/>
    </row>
    <row r="323" spans="1:21" ht="17.25" customHeight="1">
      <c r="A323" s="236">
        <v>322</v>
      </c>
      <c r="B323" s="256" t="str">
        <f t="array" ref="B323">INDEX('SUR - ESTER'!B:B, MATCH(S323,'SUR - ESTER'!K:K, 0), )</f>
        <v>Desaguadero</v>
      </c>
      <c r="C323" s="156" t="str">
        <f t="array" ref="C323">INDEX('SUR - ESTER'!C:C, MATCH(S323,'SUR - ESTER'!K:K, 0), )</f>
        <v>Puno</v>
      </c>
      <c r="D323" s="156" t="str">
        <f t="array" ref="D323">INDEX('SUR - ESTER'!D:D, MATCH(S323,'SUR - ESTER'!K:K, 0), )</f>
        <v>VHF</v>
      </c>
      <c r="E323" s="156">
        <f t="array" ref="E323">INDEX('SUR - ESTER'!E:E, MATCH(S323,'SUR - ESTER'!K:K, 0), )</f>
        <v>6</v>
      </c>
      <c r="F323" s="156">
        <f t="array" ref="F323">INDEX('SUR - ESTER'!F:F, MATCH(S323,'SUR - ESTER'!K:K, 0), )</f>
        <v>84</v>
      </c>
      <c r="G323" s="159" t="str">
        <f t="array" ref="G323">INDEX('SUR - ESTER'!G:G, MATCH(S323,'SUR - ESTER'!K:K, 0), )</f>
        <v>A.A</v>
      </c>
      <c r="H323" s="238" t="str">
        <f t="array" ref="H323">INDEX('SUR - ESTER'!H:H, MATCH(S323,'SUR - ESTER'!K:K, 0), )</f>
        <v>DESAGUADERO</v>
      </c>
      <c r="I323" s="239" t="str">
        <f t="array" ref="I323">INDEX('SUR - ESTER'!I:I, MATCH(S323,'SUR - ESTER'!K:K, 0), )</f>
        <v>1/10/2025 - Sectoristas - Opera con Normalidad</v>
      </c>
      <c r="J323" s="257">
        <f t="array" ref="J323">INDEX('SUR - ESTER'!J:J, MATCH(S323,'SUR - ESTER'!K:K, 0), )</f>
        <v>0</v>
      </c>
      <c r="K323" s="156" t="str">
        <f t="array" ref="K323">INDEX('SUR - ESTER'!K:K, MATCH(S323,'SUR - ESTER'!K:K, 0), )</f>
        <v>E - 47</v>
      </c>
      <c r="L323" s="251">
        <f t="array" ref="L323">INDEX('SUR - ESTER'!L:L, MATCH(S323,'SUR - ESTER'!K:K, 0), )</f>
        <v>0</v>
      </c>
      <c r="M323" s="251">
        <f t="array" ref="M323">INDEX('SUR - ESTER'!M:M, MATCH(S323,'SUR - ESTER'!K:K, 0), )</f>
        <v>0</v>
      </c>
      <c r="N323" s="258">
        <f t="array" ref="N323">INDEX('SUR - ESTER'!N:N, MATCH(S323,'SUR - ESTER'!K:K, 0), )</f>
        <v>0</v>
      </c>
      <c r="O323" s="253">
        <f t="array" ref="O323">INDEX('SUR - ESTER'!O:O, MATCH(S323,'SUR - ESTER'!K:K, 0), )</f>
        <v>0</v>
      </c>
      <c r="P323" s="236">
        <v>-16.561666666666667</v>
      </c>
      <c r="Q323" s="236">
        <v>-69.039749999999998</v>
      </c>
      <c r="R323" s="243" t="s">
        <v>1819</v>
      </c>
      <c r="S323" s="246" t="s">
        <v>1820</v>
      </c>
      <c r="U323" s="245"/>
    </row>
    <row r="324" spans="1:21" ht="17.25" customHeight="1">
      <c r="A324" s="236">
        <v>323</v>
      </c>
      <c r="B324" s="256" t="str">
        <f t="array" ref="B324">INDEX('SUR - ESTER'!B:B, MATCH(S324,'SUR - ESTER'!K:K, 0), )</f>
        <v>Desaguadero</v>
      </c>
      <c r="C324" s="156" t="str">
        <f t="array" ref="C324">INDEX('SUR - ESTER'!C:C, MATCH(S324,'SUR - ESTER'!K:K, 0), )</f>
        <v>Puno</v>
      </c>
      <c r="D324" s="156" t="str">
        <f t="array" ref="D324">INDEX('SUR - ESTER'!D:D, MATCH(S324,'SUR - ESTER'!K:K, 0), )</f>
        <v>FM</v>
      </c>
      <c r="E324" s="156" t="str">
        <f t="array" ref="E324">INDEX('SUR - ESTER'!E:E, MATCH(S324,'SUR - ESTER'!K:K, 0), )</f>
        <v>94.9</v>
      </c>
      <c r="F324" s="156">
        <f t="array" ref="F324">INDEX('SUR - ESTER'!F:F, MATCH(S324,'SUR - ESTER'!K:K, 0), )</f>
        <v>84</v>
      </c>
      <c r="G324" s="159" t="str">
        <f t="array" ref="G324">INDEX('SUR - ESTER'!G:G, MATCH(S324,'SUR - ESTER'!K:K, 0), )</f>
        <v>A.A</v>
      </c>
      <c r="H324" s="238" t="str">
        <f t="array" ref="H324">INDEX('SUR - ESTER'!H:H, MATCH(S324,'SUR - ESTER'!K:K, 0), )</f>
        <v>DESAGUADERO</v>
      </c>
      <c r="I324" s="239" t="str">
        <f t="array" ref="I324">INDEX('SUR - ESTER'!I:I, MATCH(S324,'SUR - ESTER'!K:K, 0), )</f>
        <v>1/10/2025 - Sectoristas - Opera con Normalidad</v>
      </c>
      <c r="J324" s="257">
        <f t="array" ref="J324">INDEX('SUR - ESTER'!J:J, MATCH(S324,'SUR - ESTER'!K:K, 0), )</f>
        <v>0</v>
      </c>
      <c r="K324" s="156" t="str">
        <f t="array" ref="K324">INDEX('SUR - ESTER'!K:K, MATCH(S324,'SUR - ESTER'!K:K, 0), )</f>
        <v>E - 48</v>
      </c>
      <c r="L324" s="251">
        <f t="array" ref="L324">INDEX('SUR - ESTER'!L:L, MATCH(S324,'SUR - ESTER'!K:K, 0), )</f>
        <v>0</v>
      </c>
      <c r="M324" s="251">
        <f t="array" ref="M324">INDEX('SUR - ESTER'!M:M, MATCH(S324,'SUR - ESTER'!K:K, 0), )</f>
        <v>0</v>
      </c>
      <c r="N324" s="258">
        <f t="array" ref="N324">INDEX('SUR - ESTER'!N:N, MATCH(S324,'SUR - ESTER'!K:K, 0), )</f>
        <v>0</v>
      </c>
      <c r="O324" s="253">
        <f t="array" ref="O324">INDEX('SUR - ESTER'!O:O, MATCH(S324,'SUR - ESTER'!K:K, 0), )</f>
        <v>0</v>
      </c>
      <c r="P324" s="236">
        <v>-16.561666666666667</v>
      </c>
      <c r="Q324" s="236">
        <v>-69.039833333333334</v>
      </c>
      <c r="R324" s="243" t="s">
        <v>1821</v>
      </c>
      <c r="S324" s="246" t="s">
        <v>1822</v>
      </c>
      <c r="U324" s="245"/>
    </row>
    <row r="325" spans="1:21" ht="17.25" customHeight="1">
      <c r="A325" s="236">
        <v>324</v>
      </c>
      <c r="B325" s="256" t="str">
        <f t="array" ref="B325">INDEX('SUR - ESTER'!B:B, MATCH(S325,'SUR - ESTER'!K:K, 0), )</f>
        <v>Espinar</v>
      </c>
      <c r="C325" s="156" t="str">
        <f t="array" ref="C325">INDEX('SUR - ESTER'!C:C, MATCH(S325,'SUR - ESTER'!K:K, 0), )</f>
        <v>Cusco</v>
      </c>
      <c r="D325" s="156" t="str">
        <f t="array" ref="D325">INDEX('SUR - ESTER'!D:D, MATCH(S325,'SUR - ESTER'!K:K, 0), )</f>
        <v>FM</v>
      </c>
      <c r="E325" s="156" t="str">
        <f t="array" ref="E325">INDEX('SUR - ESTER'!E:E, MATCH(S325,'SUR - ESTER'!K:K, 0), )</f>
        <v>94,7</v>
      </c>
      <c r="F325" s="156">
        <f t="array" ref="F325">INDEX('SUR - ESTER'!F:F, MATCH(S325,'SUR - ESTER'!K:K, 0), )</f>
        <v>100</v>
      </c>
      <c r="G325" s="159" t="str">
        <f t="array" ref="G325">INDEX('SUR - ESTER'!G:G, MATCH(S325,'SUR - ESTER'!K:K, 0), )</f>
        <v>A.A</v>
      </c>
      <c r="H325" s="238" t="str">
        <f t="array" ref="H325">INDEX('SUR - ESTER'!H:H, MATCH(S325,'SUR - ESTER'!K:K, 0), )</f>
        <v>ESPINAR</v>
      </c>
      <c r="I325" s="239" t="str">
        <f t="array" ref="I325">INDEX('SUR - ESTER'!I:I, MATCH(S325,'SUR - ESTER'!K:K, 0), )</f>
        <v>14/11/2025 - Sectoristas - Opera con normalidad / Inf. Ps. Cristian Hans Torres</v>
      </c>
      <c r="J325" s="257">
        <f t="array" ref="J325">INDEX('SUR - ESTER'!J:J, MATCH(S325,'SUR - ESTER'!K:K, 0), )</f>
        <v>0</v>
      </c>
      <c r="K325" s="156" t="str">
        <f t="array" ref="K325">INDEX('SUR - ESTER'!K:K, MATCH(S325,'SUR - ESTER'!K:K, 0), )</f>
        <v>E - 49</v>
      </c>
      <c r="L325" s="251">
        <f t="array" ref="L325">INDEX('SUR - ESTER'!L:L, MATCH(S325,'SUR - ESTER'!K:K, 0), )</f>
        <v>0</v>
      </c>
      <c r="M325" s="251">
        <f t="array" ref="M325">INDEX('SUR - ESTER'!M:M, MATCH(S325,'SUR - ESTER'!K:K, 0), )</f>
        <v>0</v>
      </c>
      <c r="N325" s="258">
        <f t="array" ref="N325">INDEX('SUR - ESTER'!N:N, MATCH(S325,'SUR - ESTER'!K:K, 0), )</f>
        <v>0</v>
      </c>
      <c r="O325" s="253">
        <f t="array" ref="O325">INDEX('SUR - ESTER'!O:O, MATCH(S325,'SUR - ESTER'!K:K, 0), )</f>
        <v>0</v>
      </c>
      <c r="P325" s="236">
        <v>-14.789633333333333</v>
      </c>
      <c r="Q325" s="236">
        <v>-71.395766666666674</v>
      </c>
      <c r="R325" s="243" t="s">
        <v>1823</v>
      </c>
      <c r="S325" s="246" t="s">
        <v>1824</v>
      </c>
      <c r="U325" s="245"/>
    </row>
    <row r="326" spans="1:21" ht="17.25" customHeight="1">
      <c r="A326" s="236">
        <v>325</v>
      </c>
      <c r="B326" s="256" t="str">
        <f t="array" ref="B326">INDEX('SUR - ESTER'!B:B, MATCH(S326,'SUR - ESTER'!K:K, 0), )</f>
        <v>Huancané</v>
      </c>
      <c r="C326" s="156" t="str">
        <f t="array" ref="C326">INDEX('SUR - ESTER'!C:C, MATCH(S326,'SUR - ESTER'!K:K, 0), )</f>
        <v>Puno</v>
      </c>
      <c r="D326" s="156" t="str">
        <f t="array" ref="D326">INDEX('SUR - ESTER'!D:D, MATCH(S326,'SUR - ESTER'!K:K, 0), )</f>
        <v>FM</v>
      </c>
      <c r="E326" s="156" t="str">
        <f t="array" ref="E326">INDEX('SUR - ESTER'!E:E, MATCH(S326,'SUR - ESTER'!K:K, 0), )</f>
        <v>95,5</v>
      </c>
      <c r="F326" s="156">
        <f t="array" ref="F326">INDEX('SUR - ESTER'!F:F, MATCH(S326,'SUR - ESTER'!K:K, 0), )</f>
        <v>31</v>
      </c>
      <c r="G326" s="159" t="str">
        <f t="array" ref="G326">INDEX('SUR - ESTER'!G:G, MATCH(S326,'SUR - ESTER'!K:K, 0), )</f>
        <v>A.A</v>
      </c>
      <c r="H326" s="238" t="str">
        <f t="array" ref="H326">INDEX('SUR - ESTER'!H:H, MATCH(S326,'SUR - ESTER'!K:K, 0), )</f>
        <v>HUANCANE</v>
      </c>
      <c r="I326" s="239" t="str">
        <f t="array" ref="I326">INDEX('SUR - ESTER'!I:I, MATCH(S326,'SUR - ESTER'!K:K, 0), )</f>
        <v>1/10/2025 - Sectoristas - Opera con Normalidad</v>
      </c>
      <c r="J326" s="257">
        <f t="array" ref="J326">INDEX('SUR - ESTER'!J:J, MATCH(S326,'SUR - ESTER'!K:K, 0), )</f>
        <v>0</v>
      </c>
      <c r="K326" s="156" t="str">
        <f t="array" ref="K326">INDEX('SUR - ESTER'!K:K, MATCH(S326,'SUR - ESTER'!K:K, 0), )</f>
        <v>E - 50</v>
      </c>
      <c r="L326" s="251">
        <f t="array" ref="L326">INDEX('SUR - ESTER'!L:L, MATCH(S326,'SUR - ESTER'!K:K, 0), )</f>
        <v>0</v>
      </c>
      <c r="M326" s="251">
        <f t="array" ref="M326">INDEX('SUR - ESTER'!M:M, MATCH(S326,'SUR - ESTER'!K:K, 0), )</f>
        <v>0</v>
      </c>
      <c r="N326" s="258">
        <f t="array" ref="N326">INDEX('SUR - ESTER'!N:N, MATCH(S326,'SUR - ESTER'!K:K, 0), )</f>
        <v>0</v>
      </c>
      <c r="O326" s="253">
        <f t="array" ref="O326">INDEX('SUR - ESTER'!O:O, MATCH(S326,'SUR - ESTER'!K:K, 0), )</f>
        <v>0</v>
      </c>
      <c r="P326" s="236">
        <v>-15.202611111111111</v>
      </c>
      <c r="Q326" s="236">
        <v>-69.764472222222224</v>
      </c>
      <c r="R326" s="243" t="s">
        <v>1825</v>
      </c>
      <c r="S326" s="246" t="s">
        <v>1826</v>
      </c>
      <c r="U326" s="245"/>
    </row>
    <row r="327" spans="1:21" ht="17.25" customHeight="1">
      <c r="A327" s="236">
        <v>326</v>
      </c>
      <c r="B327" s="256" t="str">
        <f t="array" ref="B327">INDEX('SUR - ESTER'!B:B, MATCH(S327,'SUR - ESTER'!K:K, 0), )</f>
        <v>Huancarama</v>
      </c>
      <c r="C327" s="156" t="str">
        <f t="array" ref="C327">INDEX('SUR - ESTER'!C:C, MATCH(S327,'SUR - ESTER'!K:K, 0), )</f>
        <v>Apurimac</v>
      </c>
      <c r="D327" s="156" t="str">
        <f t="array" ref="D327">INDEX('SUR - ESTER'!D:D, MATCH(S327,'SUR - ESTER'!K:K, 0), )</f>
        <v>FM</v>
      </c>
      <c r="E327" s="156" t="str">
        <f t="array" ref="E327">INDEX('SUR - ESTER'!E:E, MATCH(S327,'SUR - ESTER'!K:K, 0), )</f>
        <v>94,9</v>
      </c>
      <c r="F327" s="156">
        <f t="array" ref="F327">INDEX('SUR - ESTER'!F:F, MATCH(S327,'SUR - ESTER'!K:K, 0), )</f>
        <v>22</v>
      </c>
      <c r="G327" s="159" t="str">
        <f t="array" ref="G327">INDEX('SUR - ESTER'!G:G, MATCH(S327,'SUR - ESTER'!K:K, 0), )</f>
        <v>A.A</v>
      </c>
      <c r="H327" s="238" t="str">
        <f t="array" ref="H327">INDEX('SUR - ESTER'!H:H, MATCH(S327,'SUR - ESTER'!K:K, 0), )</f>
        <v>HUANCARAMA</v>
      </c>
      <c r="I327" s="239" t="str">
        <f t="array" ref="I327">INDEX('SUR - ESTER'!I:I, MATCH(S327,'SUR - ESTER'!K:K, 0), )</f>
        <v>1/09/2025 - Sectoristas - Opera con normalidad</v>
      </c>
      <c r="J327" s="257">
        <f t="array" ref="J327">INDEX('SUR - ESTER'!J:J, MATCH(S327,'SUR - ESTER'!K:K, 0), )</f>
        <v>0</v>
      </c>
      <c r="K327" s="156" t="str">
        <f t="array" ref="K327">INDEX('SUR - ESTER'!K:K, MATCH(S327,'SUR - ESTER'!K:K, 0), )</f>
        <v>E - 51</v>
      </c>
      <c r="L327" s="251">
        <f t="array" ref="L327">INDEX('SUR - ESTER'!L:L, MATCH(S327,'SUR - ESTER'!K:K, 0), )</f>
        <v>0</v>
      </c>
      <c r="M327" s="251">
        <f t="array" ref="M327">INDEX('SUR - ESTER'!M:M, MATCH(S327,'SUR - ESTER'!K:K, 0), )</f>
        <v>0</v>
      </c>
      <c r="N327" s="258">
        <f t="array" ref="N327">INDEX('SUR - ESTER'!N:N, MATCH(S327,'SUR - ESTER'!K:K, 0), )</f>
        <v>0</v>
      </c>
      <c r="O327" s="253">
        <f t="array" ref="O327">INDEX('SUR - ESTER'!O:O, MATCH(S327,'SUR - ESTER'!K:K, 0), )</f>
        <v>0</v>
      </c>
      <c r="P327" s="236">
        <v>-13.645925</v>
      </c>
      <c r="Q327" s="236">
        <v>-73.054672222222223</v>
      </c>
      <c r="R327" s="243" t="s">
        <v>1827</v>
      </c>
      <c r="S327" s="246" t="s">
        <v>1828</v>
      </c>
      <c r="U327" s="245"/>
    </row>
    <row r="328" spans="1:21" ht="17.25" customHeight="1">
      <c r="A328" s="236">
        <v>327</v>
      </c>
      <c r="B328" s="256" t="str">
        <f t="array" ref="B328">INDEX('SUR - ESTER'!B:B, MATCH(S328,'SUR - ESTER'!K:K, 0), )</f>
        <v>Huancarani</v>
      </c>
      <c r="C328" s="156" t="str">
        <f t="array" ref="C328">INDEX('SUR - ESTER'!C:C, MATCH(S328,'SUR - ESTER'!K:K, 0), )</f>
        <v>Cusco</v>
      </c>
      <c r="D328" s="156" t="str">
        <f t="array" ref="D328">INDEX('SUR - ESTER'!D:D, MATCH(S328,'SUR - ESTER'!K:K, 0), )</f>
        <v>FM</v>
      </c>
      <c r="E328" s="156" t="str">
        <f t="array" ref="E328">INDEX('SUR - ESTER'!E:E, MATCH(S328,'SUR - ESTER'!K:K, 0), )</f>
        <v>92,3</v>
      </c>
      <c r="F328" s="156">
        <f t="array" ref="F328">INDEX('SUR - ESTER'!F:F, MATCH(S328,'SUR - ESTER'!K:K, 0), )</f>
        <v>21</v>
      </c>
      <c r="G328" s="159" t="str">
        <f t="array" ref="G328">INDEX('SUR - ESTER'!G:G, MATCH(S328,'SUR - ESTER'!K:K, 0), )</f>
        <v>A.A</v>
      </c>
      <c r="H328" s="238" t="str">
        <f t="array" ref="H328">INDEX('SUR - ESTER'!H:H, MATCH(S328,'SUR - ESTER'!K:K, 0), )</f>
        <v>HUANCARANI</v>
      </c>
      <c r="I328" s="239" t="str">
        <f t="array" ref="I328">INDEX('SUR - ESTER'!I:I, MATCH(S328,'SUR - ESTER'!K:K, 0), )</f>
        <v>14/10/2025 - Sectoristas - Opera con Normalidad / se mejoro mucho la cobertura con el cambio de ubicación, cubre Colquepata y Paucartambo parte alta / Quiere evaluación para aumento de potencia.</v>
      </c>
      <c r="J328" s="257">
        <f t="array" ref="J328">INDEX('SUR - ESTER'!J:J, MATCH(S328,'SUR - ESTER'!K:K, 0), )</f>
        <v>0</v>
      </c>
      <c r="K328" s="156" t="str">
        <f t="array" ref="K328">INDEX('SUR - ESTER'!K:K, MATCH(S328,'SUR - ESTER'!K:K, 0), )</f>
        <v>E - 52</v>
      </c>
      <c r="L328" s="251">
        <f t="array" ref="L328">INDEX('SUR - ESTER'!L:L, MATCH(S328,'SUR - ESTER'!K:K, 0), )</f>
        <v>0</v>
      </c>
      <c r="M328" s="251">
        <f t="array" ref="M328">INDEX('SUR - ESTER'!M:M, MATCH(S328,'SUR - ESTER'!K:K, 0), )</f>
        <v>0</v>
      </c>
      <c r="N328" s="258">
        <f t="array" ref="N328">INDEX('SUR - ESTER'!N:N, MATCH(S328,'SUR - ESTER'!K:K, 0), )</f>
        <v>0</v>
      </c>
      <c r="O328" s="253">
        <f t="array" ref="O328">INDEX('SUR - ESTER'!O:O, MATCH(S328,'SUR - ESTER'!K:K, 0), )</f>
        <v>0</v>
      </c>
      <c r="P328" s="236">
        <v>-13.509611111111111</v>
      </c>
      <c r="Q328" s="236">
        <v>-71.652361111111119</v>
      </c>
      <c r="R328" s="243" t="s">
        <v>1829</v>
      </c>
      <c r="S328" s="246" t="s">
        <v>1830</v>
      </c>
      <c r="U328" s="245"/>
    </row>
    <row r="329" spans="1:21" ht="17.25" customHeight="1">
      <c r="A329" s="236">
        <v>328</v>
      </c>
      <c r="B329" s="256" t="str">
        <f t="array" ref="B329">INDEX('SUR - ESTER'!B:B, MATCH(S329,'SUR - ESTER'!K:K, 0), )</f>
        <v>Huaynacotas</v>
      </c>
      <c r="C329" s="156" t="str">
        <f t="array" ref="C329">INDEX('SUR - ESTER'!C:C, MATCH(S329,'SUR - ESTER'!K:K, 0), )</f>
        <v>Arequipa</v>
      </c>
      <c r="D329" s="156" t="str">
        <f t="array" ref="D329">INDEX('SUR - ESTER'!D:D, MATCH(S329,'SUR - ESTER'!K:K, 0), )</f>
        <v>FM</v>
      </c>
      <c r="E329" s="156" t="str">
        <f t="array" ref="E329">INDEX('SUR - ESTER'!E:E, MATCH(S329,'SUR - ESTER'!K:K, 0), )</f>
        <v>106,3</v>
      </c>
      <c r="F329" s="156">
        <f t="array" ref="F329">INDEX('SUR - ESTER'!F:F, MATCH(S329,'SUR - ESTER'!K:K, 0), )</f>
        <v>39</v>
      </c>
      <c r="G329" s="159" t="str">
        <f t="array" ref="G329">INDEX('SUR - ESTER'!G:G, MATCH(S329,'SUR - ESTER'!K:K, 0), )</f>
        <v>A.A</v>
      </c>
      <c r="H329" s="238" t="str">
        <f t="array" ref="H329">INDEX('SUR - ESTER'!H:H, MATCH(S329,'SUR - ESTER'!K:K, 0), )</f>
        <v>HUAYNACOTAS</v>
      </c>
      <c r="I329" s="239" t="str">
        <f t="array" ref="I329">INDEX('SUR - ESTER'!I:I, MATCH(S329,'SUR - ESTER'!K:K, 0), )</f>
        <v>7/11/2025 - Sectoristas - Opera con normalidad / ya instalaron el transmisor</v>
      </c>
      <c r="J329" s="257">
        <f t="array" ref="J329">INDEX('SUR - ESTER'!J:J, MATCH(S329,'SUR - ESTER'!K:K, 0), )</f>
        <v>0</v>
      </c>
      <c r="K329" s="156" t="str">
        <f t="array" ref="K329">INDEX('SUR - ESTER'!K:K, MATCH(S329,'SUR - ESTER'!K:K, 0), )</f>
        <v>E - 53</v>
      </c>
      <c r="L329" s="251" t="str">
        <f t="array" ref="L329">INDEX('SUR - ESTER'!L:L, MATCH(S329,'SUR - ESTER'!K:K, 0), )</f>
        <v>Sectoristas</v>
      </c>
      <c r="M329" s="251" t="str">
        <f t="array" ref="M329">INDEX('SUR - ESTER'!M:M, MATCH(S329,'SUR - ESTER'!K:K, 0), )</f>
        <v>Nivel 1</v>
      </c>
      <c r="N329" s="258">
        <f t="array" ref="N329">INDEX('SUR - ESTER'!N:N, MATCH(S329,'SUR - ESTER'!K:K, 0), )</f>
        <v>0</v>
      </c>
      <c r="O329" s="253">
        <f t="array" ref="O329">INDEX('SUR - ESTER'!O:O, MATCH(S329,'SUR - ESTER'!K:K, 0), )</f>
        <v>0</v>
      </c>
      <c r="P329" s="236">
        <v>-15.145333333333333</v>
      </c>
      <c r="Q329" s="236">
        <v>-72.772499999999994</v>
      </c>
      <c r="R329" s="243" t="s">
        <v>1831</v>
      </c>
      <c r="S329" s="246" t="s">
        <v>1832</v>
      </c>
      <c r="U329" s="245"/>
    </row>
    <row r="330" spans="1:21" ht="17.25" customHeight="1">
      <c r="A330" s="236">
        <v>329</v>
      </c>
      <c r="B330" s="256" t="str">
        <f t="array" ref="B330">INDEX('SUR - ESTER'!B:B, MATCH(S330,'SUR - ESTER'!K:K, 0), )</f>
        <v>Huepetuhe</v>
      </c>
      <c r="C330" s="156" t="str">
        <f t="array" ref="C330">INDEX('SUR - ESTER'!C:C, MATCH(S330,'SUR - ESTER'!K:K, 0), )</f>
        <v>Madre de Dios</v>
      </c>
      <c r="D330" s="156" t="str">
        <f t="array" ref="D330">INDEX('SUR - ESTER'!D:D, MATCH(S330,'SUR - ESTER'!K:K, 0), )</f>
        <v>VHF</v>
      </c>
      <c r="E330" s="156">
        <f t="array" ref="E330">INDEX('SUR - ESTER'!E:E, MATCH(S330,'SUR - ESTER'!K:K, 0), )</f>
        <v>9</v>
      </c>
      <c r="F330" s="156">
        <f t="array" ref="F330">INDEX('SUR - ESTER'!F:F, MATCH(S330,'SUR - ESTER'!K:K, 0), )</f>
        <v>131</v>
      </c>
      <c r="G330" s="159" t="str">
        <f t="array" ref="G330">INDEX('SUR - ESTER'!G:G, MATCH(S330,'SUR - ESTER'!K:K, 0), )</f>
        <v>A.A</v>
      </c>
      <c r="H330" s="238" t="str">
        <f t="array" ref="H330">INDEX('SUR - ESTER'!H:H, MATCH(S330,'SUR - ESTER'!K:K, 0), )</f>
        <v>HUEPETUE</v>
      </c>
      <c r="I330" s="239" t="str">
        <f t="array" ref="I330">INDEX('SUR - ESTER'!I:I, MATCH(S330,'SUR - ESTER'!K:K, 0), )</f>
        <v>11/11/2025 - Sectoristas - Operacion con normaliad / El pastor informo que ya no se cambiaran de lugar.</v>
      </c>
      <c r="J330" s="257">
        <f t="array" ref="J330">INDEX('SUR - ESTER'!J:J, MATCH(S330,'SUR - ESTER'!K:K, 0), )</f>
        <v>0</v>
      </c>
      <c r="K330" s="156" t="str">
        <f t="array" ref="K330">INDEX('SUR - ESTER'!K:K, MATCH(S330,'SUR - ESTER'!K:K, 0), )</f>
        <v>E - 54</v>
      </c>
      <c r="L330" s="251" t="str">
        <f t="array" ref="L330">INDEX('SUR - ESTER'!L:L, MATCH(S330,'SUR - ESTER'!K:K, 0), )</f>
        <v>Sectoristas</v>
      </c>
      <c r="M330" s="251" t="str">
        <f t="array" ref="M330">INDEX('SUR - ESTER'!M:M, MATCH(S330,'SUR - ESTER'!K:K, 0), )</f>
        <v>Nivel 1</v>
      </c>
      <c r="N330" s="258">
        <f t="array" ref="N330">INDEX('SUR - ESTER'!N:N, MATCH(S330,'SUR - ESTER'!K:K, 0), )</f>
        <v>0</v>
      </c>
      <c r="O330" s="253">
        <f t="array" ref="O330">INDEX('SUR - ESTER'!O:O, MATCH(S330,'SUR - ESTER'!K:K, 0), )</f>
        <v>0</v>
      </c>
      <c r="P330" s="236">
        <v>-12.996102777777777</v>
      </c>
      <c r="Q330" s="236">
        <v>-70.525400000000005</v>
      </c>
      <c r="R330" s="243" t="s">
        <v>1833</v>
      </c>
      <c r="S330" s="246" t="s">
        <v>1834</v>
      </c>
      <c r="U330" s="245"/>
    </row>
    <row r="331" spans="1:21" ht="17.25" customHeight="1">
      <c r="A331" s="236">
        <v>330</v>
      </c>
      <c r="B331" s="256" t="str">
        <f t="array" ref="B331">INDEX('SUR - ESTER'!B:B, MATCH(S331,'SUR - ESTER'!K:K, 0), )</f>
        <v>Iberia</v>
      </c>
      <c r="C331" s="156" t="str">
        <f t="array" ref="C331">INDEX('SUR - ESTER'!C:C, MATCH(S331,'SUR - ESTER'!K:K, 0), )</f>
        <v>Madre de Dios</v>
      </c>
      <c r="D331" s="156" t="str">
        <f t="array" ref="D331">INDEX('SUR - ESTER'!D:D, MATCH(S331,'SUR - ESTER'!K:K, 0), )</f>
        <v>FM</v>
      </c>
      <c r="E331" s="156" t="str">
        <f t="array" ref="E331">INDEX('SUR - ESTER'!E:E, MATCH(S331,'SUR - ESTER'!K:K, 0), )</f>
        <v>104,1</v>
      </c>
      <c r="F331" s="156">
        <f t="array" ref="F331">INDEX('SUR - ESTER'!F:F, MATCH(S331,'SUR - ESTER'!K:K, 0), )</f>
        <v>34</v>
      </c>
      <c r="G331" s="159" t="str">
        <f t="array" ref="G331">INDEX('SUR - ESTER'!G:G, MATCH(S331,'SUR - ESTER'!K:K, 0), )</f>
        <v>A.A</v>
      </c>
      <c r="H331" s="238" t="str">
        <f t="array" ref="H331">INDEX('SUR - ESTER'!H:H, MATCH(S331,'SUR - ESTER'!K:K, 0), )</f>
        <v xml:space="preserve">IBERIA </v>
      </c>
      <c r="I331" s="239" t="str">
        <f t="array" ref="I331">INDEX('SUR - ESTER'!I:I, MATCH(S331,'SUR - ESTER'!K:K, 0), )</f>
        <v>10/10/2025 - Sectoristas - Opera con normalidad</v>
      </c>
      <c r="J331" s="257">
        <f t="array" ref="J331">INDEX('SUR - ESTER'!J:J, MATCH(S331,'SUR - ESTER'!K:K, 0), )</f>
        <v>0</v>
      </c>
      <c r="K331" s="156" t="str">
        <f t="array" ref="K331">INDEX('SUR - ESTER'!K:K, MATCH(S331,'SUR - ESTER'!K:K, 0), )</f>
        <v>E - 55</v>
      </c>
      <c r="L331" s="251">
        <f t="array" ref="L331">INDEX('SUR - ESTER'!L:L, MATCH(S331,'SUR - ESTER'!K:K, 0), )</f>
        <v>0</v>
      </c>
      <c r="M331" s="251">
        <f t="array" ref="M331">INDEX('SUR - ESTER'!M:M, MATCH(S331,'SUR - ESTER'!K:K, 0), )</f>
        <v>0</v>
      </c>
      <c r="N331" s="258">
        <f t="array" ref="N331">INDEX('SUR - ESTER'!N:N, MATCH(S331,'SUR - ESTER'!K:K, 0), )</f>
        <v>0</v>
      </c>
      <c r="O331" s="253">
        <f t="array" ref="O331">INDEX('SUR - ESTER'!O:O, MATCH(S331,'SUR - ESTER'!K:K, 0), )</f>
        <v>0</v>
      </c>
      <c r="P331" s="236">
        <v>-11.407500000000001</v>
      </c>
      <c r="Q331" s="236">
        <v>-69.488527777777776</v>
      </c>
      <c r="R331" s="243" t="s">
        <v>1835</v>
      </c>
      <c r="S331" s="246" t="s">
        <v>1836</v>
      </c>
      <c r="U331" s="245"/>
    </row>
    <row r="332" spans="1:21" ht="17.25" customHeight="1">
      <c r="A332" s="236">
        <v>331</v>
      </c>
      <c r="B332" s="256" t="str">
        <f t="array" ref="B332">INDEX('SUR - ESTER'!B:B, MATCH(S332,'SUR - ESTER'!K:K, 0), )</f>
        <v>Iberia</v>
      </c>
      <c r="C332" s="156" t="str">
        <f t="array" ref="C332">INDEX('SUR - ESTER'!C:C, MATCH(S332,'SUR - ESTER'!K:K, 0), )</f>
        <v>Madre de Dios</v>
      </c>
      <c r="D332" s="156" t="str">
        <f t="array" ref="D332">INDEX('SUR - ESTER'!D:D, MATCH(S332,'SUR - ESTER'!K:K, 0), )</f>
        <v>VHF</v>
      </c>
      <c r="E332" s="156">
        <f t="array" ref="E332">INDEX('SUR - ESTER'!E:E, MATCH(S332,'SUR - ESTER'!K:K, 0), )</f>
        <v>4</v>
      </c>
      <c r="F332" s="156">
        <f t="array" ref="F332">INDEX('SUR - ESTER'!F:F, MATCH(S332,'SUR - ESTER'!K:K, 0), )</f>
        <v>34</v>
      </c>
      <c r="G332" s="159" t="str">
        <f t="array" ref="G332">INDEX('SUR - ESTER'!G:G, MATCH(S332,'SUR - ESTER'!K:K, 0), )</f>
        <v>A.A</v>
      </c>
      <c r="H332" s="238" t="str">
        <f t="array" ref="H332">INDEX('SUR - ESTER'!H:H, MATCH(S332,'SUR - ESTER'!K:K, 0), )</f>
        <v xml:space="preserve">IBERIA </v>
      </c>
      <c r="I332" s="239" t="str">
        <f t="array" ref="I332">INDEX('SUR - ESTER'!I:I, MATCH(S332,'SUR - ESTER'!K:K, 0), )</f>
        <v>10/10/2025 - Sectoristas - Opera con normalidad</v>
      </c>
      <c r="J332" s="257">
        <f t="array" ref="J332">INDEX('SUR - ESTER'!J:J, MATCH(S332,'SUR - ESTER'!K:K, 0), )</f>
        <v>0</v>
      </c>
      <c r="K332" s="156" t="str">
        <f t="array" ref="K332">INDEX('SUR - ESTER'!K:K, MATCH(S332,'SUR - ESTER'!K:K, 0), )</f>
        <v>E - 56</v>
      </c>
      <c r="L332" s="251">
        <f t="array" ref="L332">INDEX('SUR - ESTER'!L:L, MATCH(S332,'SUR - ESTER'!K:K, 0), )</f>
        <v>0</v>
      </c>
      <c r="M332" s="251">
        <f t="array" ref="M332">INDEX('SUR - ESTER'!M:M, MATCH(S332,'SUR - ESTER'!K:K, 0), )</f>
        <v>0</v>
      </c>
      <c r="N332" s="258">
        <f t="array" ref="N332">INDEX('SUR - ESTER'!N:N, MATCH(S332,'SUR - ESTER'!K:K, 0), )</f>
        <v>0</v>
      </c>
      <c r="O332" s="253">
        <f t="array" ref="O332">INDEX('SUR - ESTER'!O:O, MATCH(S332,'SUR - ESTER'!K:K, 0), )</f>
        <v>0</v>
      </c>
      <c r="P332" s="236">
        <v>-11.407500000000001</v>
      </c>
      <c r="Q332" s="236">
        <v>-69.488527777777776</v>
      </c>
      <c r="R332" s="243" t="s">
        <v>1835</v>
      </c>
      <c r="S332" s="246" t="s">
        <v>1837</v>
      </c>
      <c r="U332" s="245"/>
    </row>
    <row r="333" spans="1:21" ht="17.25" customHeight="1">
      <c r="A333" s="236">
        <v>332</v>
      </c>
      <c r="B333" s="256" t="str">
        <f t="array" ref="B333">INDEX('SUR - ESTER'!B:B, MATCH(S333,'SUR - ESTER'!K:K, 0), )</f>
        <v>Ica</v>
      </c>
      <c r="C333" s="156" t="str">
        <f t="array" ref="C333">INDEX('SUR - ESTER'!C:C, MATCH(S333,'SUR - ESTER'!K:K, 0), )</f>
        <v>Ica</v>
      </c>
      <c r="D333" s="156" t="str">
        <f t="array" ref="D333">INDEX('SUR - ESTER'!D:D, MATCH(S333,'SUR - ESTER'!K:K, 0), )</f>
        <v>FM</v>
      </c>
      <c r="E333" s="156" t="str">
        <f t="array" ref="E333">INDEX('SUR - ESTER'!E:E, MATCH(S333,'SUR - ESTER'!K:K, 0), )</f>
        <v>88,9</v>
      </c>
      <c r="F333" s="156">
        <f t="array" ref="F333">INDEX('SUR - ESTER'!F:F, MATCH(S333,'SUR - ESTER'!K:K, 0), )</f>
        <v>19</v>
      </c>
      <c r="G333" s="159" t="str">
        <f t="array" ref="G333">INDEX('SUR - ESTER'!G:G, MATCH(S333,'SUR - ESTER'!K:K, 0), )</f>
        <v>A.A</v>
      </c>
      <c r="H333" s="238" t="str">
        <f t="array" ref="H333">INDEX('SUR - ESTER'!H:H, MATCH(S333,'SUR - ESTER'!K:K, 0), )</f>
        <v>ICA</v>
      </c>
      <c r="I333" s="239" t="str">
        <f t="array" ref="I333">INDEX('SUR - ESTER'!I:I, MATCH(S333,'SUR - ESTER'!K:K, 0), )</f>
        <v>14/10/2025 - Sectoristas - Opera con normalidad / Inf. Hno. Nelson</v>
      </c>
      <c r="J333" s="257">
        <f t="array" ref="J333">INDEX('SUR - ESTER'!J:J, MATCH(S333,'SUR - ESTER'!K:K, 0), )</f>
        <v>0</v>
      </c>
      <c r="K333" s="156" t="str">
        <f t="array" ref="K333">INDEX('SUR - ESTER'!K:K, MATCH(S333,'SUR - ESTER'!K:K, 0), )</f>
        <v>E - 57</v>
      </c>
      <c r="L333" s="251">
        <f t="array" ref="L333">INDEX('SUR - ESTER'!L:L, MATCH(S333,'SUR - ESTER'!K:K, 0), )</f>
        <v>0</v>
      </c>
      <c r="M333" s="251">
        <f t="array" ref="M333">INDEX('SUR - ESTER'!M:M, MATCH(S333,'SUR - ESTER'!K:K, 0), )</f>
        <v>0</v>
      </c>
      <c r="N333" s="258">
        <f t="array" ref="N333">INDEX('SUR - ESTER'!N:N, MATCH(S333,'SUR - ESTER'!K:K, 0), )</f>
        <v>0</v>
      </c>
      <c r="O333" s="253">
        <f t="array" ref="O333">INDEX('SUR - ESTER'!O:O, MATCH(S333,'SUR - ESTER'!K:K, 0), )</f>
        <v>0</v>
      </c>
      <c r="P333" s="236">
        <v>-13.994416666666666</v>
      </c>
      <c r="Q333" s="236">
        <v>-75.784750000000003</v>
      </c>
      <c r="R333" s="243" t="s">
        <v>1838</v>
      </c>
      <c r="S333" s="246" t="s">
        <v>1839</v>
      </c>
      <c r="U333" s="245"/>
    </row>
    <row r="334" spans="1:21" ht="17.25" customHeight="1">
      <c r="A334" s="236">
        <v>333</v>
      </c>
      <c r="B334" s="256" t="str">
        <f t="array" ref="B334">INDEX('SUR - ESTER'!B:B, MATCH(S334,'SUR - ESTER'!K:K, 0), )</f>
        <v>Ica - Salas</v>
      </c>
      <c r="C334" s="156" t="str">
        <f t="array" ref="C334">INDEX('SUR - ESTER'!C:C, MATCH(S334,'SUR - ESTER'!K:K, 0), )</f>
        <v>Ica</v>
      </c>
      <c r="D334" s="156" t="str">
        <f t="array" ref="D334">INDEX('SUR - ESTER'!D:D, MATCH(S334,'SUR - ESTER'!K:K, 0), )</f>
        <v>UHF</v>
      </c>
      <c r="E334" s="156">
        <f t="array" ref="E334">INDEX('SUR - ESTER'!E:E, MATCH(S334,'SUR - ESTER'!K:K, 0), )</f>
        <v>49</v>
      </c>
      <c r="F334" s="156">
        <f t="array" ref="F334">INDEX('SUR - ESTER'!F:F, MATCH(S334,'SUR - ESTER'!K:K, 0), )</f>
        <v>19</v>
      </c>
      <c r="G334" s="159" t="str">
        <f t="array" ref="G334">INDEX('SUR - ESTER'!G:G, MATCH(S334,'SUR - ESTER'!K:K, 0), )</f>
        <v>A.A</v>
      </c>
      <c r="H334" s="238" t="str">
        <f t="array" ref="H334">INDEX('SUR - ESTER'!H:H, MATCH(S334,'SUR - ESTER'!K:K, 0), )</f>
        <v>ICA</v>
      </c>
      <c r="I334" s="239" t="str">
        <f t="array" ref="I334">INDEX('SUR - ESTER'!I:I, MATCH(S334,'SUR - ESTER'!K:K, 0), )</f>
        <v>14/10/2025 - Sectoristas - Opera con normalidad / Inf. Hno. Nelson</v>
      </c>
      <c r="J334" s="257">
        <f t="array" ref="J334">INDEX('SUR - ESTER'!J:J, MATCH(S334,'SUR - ESTER'!K:K, 0), )</f>
        <v>0</v>
      </c>
      <c r="K334" s="156" t="str">
        <f t="array" ref="K334">INDEX('SUR - ESTER'!K:K, MATCH(S334,'SUR - ESTER'!K:K, 0), )</f>
        <v>E - 58</v>
      </c>
      <c r="L334" s="251">
        <f t="array" ref="L334">INDEX('SUR - ESTER'!L:L, MATCH(S334,'SUR - ESTER'!K:K, 0), )</f>
        <v>0</v>
      </c>
      <c r="M334" s="251">
        <f t="array" ref="M334">INDEX('SUR - ESTER'!M:M, MATCH(S334,'SUR - ESTER'!K:K, 0), )</f>
        <v>0</v>
      </c>
      <c r="N334" s="258">
        <f t="array" ref="N334">INDEX('SUR - ESTER'!N:N, MATCH(S334,'SUR - ESTER'!K:K, 0), )</f>
        <v>0</v>
      </c>
      <c r="O334" s="253">
        <f t="array" ref="O334">INDEX('SUR - ESTER'!O:O, MATCH(S334,'SUR - ESTER'!K:K, 0), )</f>
        <v>0</v>
      </c>
      <c r="P334" s="236">
        <v>-13.994416666666666</v>
      </c>
      <c r="Q334" s="236">
        <v>-75.784750000000003</v>
      </c>
      <c r="R334" s="243" t="s">
        <v>1838</v>
      </c>
      <c r="S334" s="246" t="s">
        <v>1840</v>
      </c>
      <c r="U334" s="245"/>
    </row>
    <row r="335" spans="1:21" ht="17.25" customHeight="1">
      <c r="A335" s="236">
        <v>334</v>
      </c>
      <c r="B335" s="256" t="str">
        <f t="array" ref="B335">INDEX('SUR - ESTER'!B:B, MATCH(S335,'SUR - ESTER'!K:K, 0), )</f>
        <v>Ichuña</v>
      </c>
      <c r="C335" s="156" t="str">
        <f t="array" ref="C335">INDEX('SUR - ESTER'!C:C, MATCH(S335,'SUR - ESTER'!K:K, 0), )</f>
        <v>Moquegua</v>
      </c>
      <c r="D335" s="156" t="str">
        <f t="array" ref="D335">INDEX('SUR - ESTER'!D:D, MATCH(S335,'SUR - ESTER'!K:K, 0), )</f>
        <v>FM</v>
      </c>
      <c r="E335" s="156" t="str">
        <f t="array" ref="E335">INDEX('SUR - ESTER'!E:E, MATCH(S335,'SUR - ESTER'!K:K, 0), )</f>
        <v>93,9</v>
      </c>
      <c r="F335" s="156">
        <f t="array" ref="F335">INDEX('SUR - ESTER'!F:F, MATCH(S335,'SUR - ESTER'!K:K, 0), )</f>
        <v>94</v>
      </c>
      <c r="G335" s="159" t="str">
        <f t="array" ref="G335">INDEX('SUR - ESTER'!G:G, MATCH(S335,'SUR - ESTER'!K:K, 0), )</f>
        <v>A.A</v>
      </c>
      <c r="H335" s="238" t="str">
        <f t="array" ref="H335">INDEX('SUR - ESTER'!H:H, MATCH(S335,'SUR - ESTER'!K:K, 0), )</f>
        <v>ICHUÑA</v>
      </c>
      <c r="I335" s="239" t="str">
        <f t="array" ref="I335">INDEX('SUR - ESTER'!I:I, MATCH(S335,'SUR - ESTER'!K:K, 0), )</f>
        <v>16/09/2025 - Sectoristas - OPERA CON NORMALIDAD</v>
      </c>
      <c r="J335" s="257">
        <f t="array" ref="J335">INDEX('SUR - ESTER'!J:J, MATCH(S335,'SUR - ESTER'!K:K, 0), )</f>
        <v>0</v>
      </c>
      <c r="K335" s="156" t="str">
        <f t="array" ref="K335">INDEX('SUR - ESTER'!K:K, MATCH(S335,'SUR - ESTER'!K:K, 0), )</f>
        <v>E - 59</v>
      </c>
      <c r="L335" s="251">
        <f t="array" ref="L335">INDEX('SUR - ESTER'!L:L, MATCH(S335,'SUR - ESTER'!K:K, 0), )</f>
        <v>0</v>
      </c>
      <c r="M335" s="251">
        <f t="array" ref="M335">INDEX('SUR - ESTER'!M:M, MATCH(S335,'SUR - ESTER'!K:K, 0), )</f>
        <v>0</v>
      </c>
      <c r="N335" s="258">
        <f t="array" ref="N335">INDEX('SUR - ESTER'!N:N, MATCH(S335,'SUR - ESTER'!K:K, 0), )</f>
        <v>0</v>
      </c>
      <c r="O335" s="253">
        <f t="array" ref="O335">INDEX('SUR - ESTER'!O:O, MATCH(S335,'SUR - ESTER'!K:K, 0), )</f>
        <v>0</v>
      </c>
      <c r="P335" s="236">
        <v>-16.143055555555556</v>
      </c>
      <c r="Q335" s="236">
        <v>-70.539166666666659</v>
      </c>
      <c r="R335" s="243" t="s">
        <v>1841</v>
      </c>
      <c r="S335" s="246" t="s">
        <v>1842</v>
      </c>
      <c r="U335" s="245"/>
    </row>
    <row r="336" spans="1:21" ht="17.25" customHeight="1">
      <c r="A336" s="236">
        <v>335</v>
      </c>
      <c r="B336" s="256" t="str">
        <f t="array" ref="B336">INDEX('SUR - ESTER'!B:B, MATCH(S336,'SUR - ESTER'!K:K, 0), )</f>
        <v>Ilave</v>
      </c>
      <c r="C336" s="156" t="str">
        <f t="array" ref="C336">INDEX('SUR - ESTER'!C:C, MATCH(S336,'SUR - ESTER'!K:K, 0), )</f>
        <v>Puno</v>
      </c>
      <c r="D336" s="156" t="str">
        <f t="array" ref="D336">INDEX('SUR - ESTER'!D:D, MATCH(S336,'SUR - ESTER'!K:K, 0), )</f>
        <v>FM</v>
      </c>
      <c r="E336" s="156" t="str">
        <f t="array" ref="E336">INDEX('SUR - ESTER'!E:E, MATCH(S336,'SUR - ESTER'!K:K, 0), )</f>
        <v>97,3</v>
      </c>
      <c r="F336" s="156">
        <f t="array" ref="F336">INDEX('SUR - ESTER'!F:F, MATCH(S336,'SUR - ESTER'!K:K, 0), )</f>
        <v>84</v>
      </c>
      <c r="G336" s="159" t="str">
        <f t="array" ref="G336">INDEX('SUR - ESTER'!G:G, MATCH(S336,'SUR - ESTER'!K:K, 0), )</f>
        <v>A.A</v>
      </c>
      <c r="H336" s="238" t="str">
        <f t="array" ref="H336">INDEX('SUR - ESTER'!H:H, MATCH(S336,'SUR - ESTER'!K:K, 0), )</f>
        <v>ILAVE</v>
      </c>
      <c r="I336" s="239" t="str">
        <f t="array" ref="I336">INDEX('SUR - ESTER'!I:I, MATCH(S336,'SUR - ESTER'!K:K, 0), )</f>
        <v>20/10/2025 - Ingeniería - Con el apoyo de un ingeniero de la zona, se pudo poner operativa la estación.</v>
      </c>
      <c r="J336" s="257">
        <f t="array" ref="J336">INDEX('SUR - ESTER'!J:J, MATCH(S336,'SUR - ESTER'!K:K, 0), )</f>
        <v>0</v>
      </c>
      <c r="K336" s="156" t="str">
        <f t="array" ref="K336">INDEX('SUR - ESTER'!K:K, MATCH(S336,'SUR - ESTER'!K:K, 0), )</f>
        <v>E - 60</v>
      </c>
      <c r="L336" s="251">
        <f t="array" ref="L336">INDEX('SUR - ESTER'!L:L, MATCH(S336,'SUR - ESTER'!K:K, 0), )</f>
        <v>0</v>
      </c>
      <c r="M336" s="251">
        <f t="array" ref="M336">INDEX('SUR - ESTER'!M:M, MATCH(S336,'SUR - ESTER'!K:K, 0), )</f>
        <v>0</v>
      </c>
      <c r="N336" s="258">
        <f t="array" ref="N336">INDEX('SUR - ESTER'!N:N, MATCH(S336,'SUR - ESTER'!K:K, 0), )</f>
        <v>0</v>
      </c>
      <c r="O336" s="253">
        <f t="array" ref="O336">INDEX('SUR - ESTER'!O:O, MATCH(S336,'SUR - ESTER'!K:K, 0), )</f>
        <v>0</v>
      </c>
      <c r="P336" s="236">
        <v>-16.093361111111111</v>
      </c>
      <c r="Q336" s="236">
        <v>-69.630794444444433</v>
      </c>
      <c r="R336" s="243" t="s">
        <v>1843</v>
      </c>
      <c r="S336" s="246" t="s">
        <v>1844</v>
      </c>
      <c r="U336" s="245"/>
    </row>
    <row r="337" spans="1:21" ht="17.25" customHeight="1">
      <c r="A337" s="236">
        <v>336</v>
      </c>
      <c r="B337" s="256" t="str">
        <f t="array" ref="B337">INDEX('SUR - ESTER'!B:B, MATCH(S337,'SUR - ESTER'!K:K, 0), )</f>
        <v>Ilo</v>
      </c>
      <c r="C337" s="156" t="str">
        <f t="array" ref="C337">INDEX('SUR - ESTER'!C:C, MATCH(S337,'SUR - ESTER'!K:K, 0), )</f>
        <v>Moquegua</v>
      </c>
      <c r="D337" s="156" t="str">
        <f t="array" ref="D337">INDEX('SUR - ESTER'!D:D, MATCH(S337,'SUR - ESTER'!K:K, 0), )</f>
        <v>FM</v>
      </c>
      <c r="E337" s="156" t="str">
        <f t="array" ref="E337">INDEX('SUR - ESTER'!E:E, MATCH(S337,'SUR - ESTER'!K:K, 0), )</f>
        <v>100,5</v>
      </c>
      <c r="F337" s="156">
        <f t="array" ref="F337">INDEX('SUR - ESTER'!F:F, MATCH(S337,'SUR - ESTER'!K:K, 0), )</f>
        <v>137</v>
      </c>
      <c r="G337" s="159" t="str">
        <f t="array" ref="G337">INDEX('SUR - ESTER'!G:G, MATCH(S337,'SUR - ESTER'!K:K, 0), )</f>
        <v>A.A</v>
      </c>
      <c r="H337" s="238" t="str">
        <f t="array" ref="H337">INDEX('SUR - ESTER'!H:H, MATCH(S337,'SUR - ESTER'!K:K, 0), )</f>
        <v>ILO</v>
      </c>
      <c r="I337" s="239" t="str">
        <f t="array" ref="I337">INDEX('SUR - ESTER'!I:I, MATCH(S337,'SUR - ESTER'!K:K, 0), )</f>
        <v>14/11/2025 - Sectoristas - Opera con normalidad / Inf. Ps. Jhon Vargas, la próxima semana estará enviando a Lima el transmisor para su revisión por motivo de renovación.</v>
      </c>
      <c r="J337" s="257">
        <f t="array" ref="J337">INDEX('SUR - ESTER'!J:J, MATCH(S337,'SUR - ESTER'!K:K, 0), )</f>
        <v>0</v>
      </c>
      <c r="K337" s="156" t="str">
        <f t="array" ref="K337">INDEX('SUR - ESTER'!K:K, MATCH(S337,'SUR - ESTER'!K:K, 0), )</f>
        <v>E - 61</v>
      </c>
      <c r="L337" s="251">
        <f t="array" ref="L337">INDEX('SUR - ESTER'!L:L, MATCH(S337,'SUR - ESTER'!K:K, 0), )</f>
        <v>0</v>
      </c>
      <c r="M337" s="251">
        <f t="array" ref="M337">INDEX('SUR - ESTER'!M:M, MATCH(S337,'SUR - ESTER'!K:K, 0), )</f>
        <v>0</v>
      </c>
      <c r="N337" s="258">
        <f t="array" ref="N337">INDEX('SUR - ESTER'!N:N, MATCH(S337,'SUR - ESTER'!K:K, 0), )</f>
        <v>0</v>
      </c>
      <c r="O337" s="253">
        <f t="array" ref="O337">INDEX('SUR - ESTER'!O:O, MATCH(S337,'SUR - ESTER'!K:K, 0), )</f>
        <v>0</v>
      </c>
      <c r="P337" s="236">
        <v>-17.662816666666664</v>
      </c>
      <c r="Q337" s="236">
        <v>-71.350763888888878</v>
      </c>
      <c r="R337" s="243" t="s">
        <v>1845</v>
      </c>
      <c r="S337" s="246" t="s">
        <v>1846</v>
      </c>
      <c r="U337" s="245"/>
    </row>
    <row r="338" spans="1:21" ht="17.25" customHeight="1">
      <c r="A338" s="236">
        <v>337</v>
      </c>
      <c r="B338" s="256" t="str">
        <f t="array" ref="B338">INDEX('SUR - ESTER'!B:B, MATCH(S338,'SUR - ESTER'!K:K, 0), )</f>
        <v>Iñapari</v>
      </c>
      <c r="C338" s="156" t="str">
        <f t="array" ref="C338">INDEX('SUR - ESTER'!C:C, MATCH(S338,'SUR - ESTER'!K:K, 0), )</f>
        <v>Madre de Dios</v>
      </c>
      <c r="D338" s="156" t="str">
        <f t="array" ref="D338">INDEX('SUR - ESTER'!D:D, MATCH(S338,'SUR - ESTER'!K:K, 0), )</f>
        <v>FM</v>
      </c>
      <c r="E338" s="156" t="str">
        <f t="array" ref="E338">INDEX('SUR - ESTER'!E:E, MATCH(S338,'SUR - ESTER'!K:K, 0), )</f>
        <v>89,7</v>
      </c>
      <c r="F338" s="156">
        <f t="array" ref="F338">INDEX('SUR - ESTER'!F:F, MATCH(S338,'SUR - ESTER'!K:K, 0), )</f>
        <v>34</v>
      </c>
      <c r="G338" s="159" t="str">
        <f t="array" ref="G338">INDEX('SUR - ESTER'!G:G, MATCH(S338,'SUR - ESTER'!K:K, 0), )</f>
        <v>A.A</v>
      </c>
      <c r="H338" s="238" t="str">
        <f t="array" ref="H338">INDEX('SUR - ESTER'!H:H, MATCH(S338,'SUR - ESTER'!K:K, 0), )</f>
        <v>IÑAPARI</v>
      </c>
      <c r="I338" s="239" t="str">
        <f t="array" ref="I338">INDEX('SUR - ESTER'!I:I, MATCH(S338,'SUR - ESTER'!K:K, 0), )</f>
        <v>10/10/2025 - Sectoristas - Opera con normalidad</v>
      </c>
      <c r="J338" s="257">
        <f t="array" ref="J338">INDEX('SUR - ESTER'!J:J, MATCH(S338,'SUR - ESTER'!K:K, 0), )</f>
        <v>0</v>
      </c>
      <c r="K338" s="156" t="str">
        <f t="array" ref="K338">INDEX('SUR - ESTER'!K:K, MATCH(S338,'SUR - ESTER'!K:K, 0), )</f>
        <v>E - 62</v>
      </c>
      <c r="L338" s="251">
        <f t="array" ref="L338">INDEX('SUR - ESTER'!L:L, MATCH(S338,'SUR - ESTER'!K:K, 0), )</f>
        <v>0</v>
      </c>
      <c r="M338" s="251">
        <f t="array" ref="M338">INDEX('SUR - ESTER'!M:M, MATCH(S338,'SUR - ESTER'!K:K, 0), )</f>
        <v>0</v>
      </c>
      <c r="N338" s="258">
        <f t="array" ref="N338">INDEX('SUR - ESTER'!N:N, MATCH(S338,'SUR - ESTER'!K:K, 0), )</f>
        <v>0</v>
      </c>
      <c r="O338" s="253">
        <f t="array" ref="O338">INDEX('SUR - ESTER'!O:O, MATCH(S338,'SUR - ESTER'!K:K, 0), )</f>
        <v>0</v>
      </c>
      <c r="P338" s="236">
        <v>-10.954138888888888</v>
      </c>
      <c r="Q338" s="236">
        <v>-69.574638888888884</v>
      </c>
      <c r="R338" s="243" t="s">
        <v>1847</v>
      </c>
      <c r="S338" s="246" t="s">
        <v>1848</v>
      </c>
      <c r="U338" s="245"/>
    </row>
    <row r="339" spans="1:21" ht="17.25" customHeight="1">
      <c r="A339" s="236">
        <v>338</v>
      </c>
      <c r="B339" s="256" t="str">
        <f t="array" ref="B339">INDEX('SUR - ESTER'!B:B, MATCH(S339,'SUR - ESTER'!K:K, 0), )</f>
        <v>Ivochote- Echarate</v>
      </c>
      <c r="C339" s="156" t="str">
        <f t="array" ref="C339">INDEX('SUR - ESTER'!C:C, MATCH(S339,'SUR - ESTER'!K:K, 0), )</f>
        <v>Cusco</v>
      </c>
      <c r="D339" s="156" t="str">
        <f t="array" ref="D339">INDEX('SUR - ESTER'!D:D, MATCH(S339,'SUR - ESTER'!K:K, 0), )</f>
        <v>FM</v>
      </c>
      <c r="E339" s="156" t="str">
        <f t="array" ref="E339">INDEX('SUR - ESTER'!E:E, MATCH(S339,'SUR - ESTER'!K:K, 0), )</f>
        <v>99,7</v>
      </c>
      <c r="F339" s="156">
        <f t="array" ref="F339">INDEX('SUR - ESTER'!F:F, MATCH(S339,'SUR - ESTER'!K:K, 0), )</f>
        <v>92</v>
      </c>
      <c r="G339" s="159" t="str">
        <f t="array" ref="G339">INDEX('SUR - ESTER'!G:G, MATCH(S339,'SUR - ESTER'!K:K, 0), )</f>
        <v>A.A</v>
      </c>
      <c r="H339" s="238" t="str">
        <f t="array" ref="H339">INDEX('SUR - ESTER'!H:H, MATCH(S339,'SUR - ESTER'!K:K, 0), )</f>
        <v>IVOCHOTE</v>
      </c>
      <c r="I339" s="239" t="str">
        <f t="array" ref="I339">INDEX('SUR - ESTER'!I:I, MATCH(S339,'SUR - ESTER'!K:K, 0), )</f>
        <v>18/11/2025 - Sectoristas - Opera con normalidad / Inf. Ps. Alejandro Valderrama</v>
      </c>
      <c r="J339" s="257">
        <f t="array" ref="J339">INDEX('SUR - ESTER'!J:J, MATCH(S339,'SUR - ESTER'!K:K, 0), )</f>
        <v>0</v>
      </c>
      <c r="K339" s="156" t="str">
        <f t="array" ref="K339">INDEX('SUR - ESTER'!K:K, MATCH(S339,'SUR - ESTER'!K:K, 0), )</f>
        <v>E - 63</v>
      </c>
      <c r="L339" s="251">
        <f t="array" ref="L339">INDEX('SUR - ESTER'!L:L, MATCH(S339,'SUR - ESTER'!K:K, 0), )</f>
        <v>0</v>
      </c>
      <c r="M339" s="251">
        <f t="array" ref="M339">INDEX('SUR - ESTER'!M:M, MATCH(S339,'SUR - ESTER'!K:K, 0), )</f>
        <v>0</v>
      </c>
      <c r="N339" s="258">
        <f t="array" ref="N339">INDEX('SUR - ESTER'!N:N, MATCH(S339,'SUR - ESTER'!K:K, 0), )</f>
        <v>0</v>
      </c>
      <c r="O339" s="253">
        <f t="array" ref="O339">INDEX('SUR - ESTER'!O:O, MATCH(S339,'SUR - ESTER'!K:K, 0), )</f>
        <v>0</v>
      </c>
      <c r="P339" s="236">
        <v>-12.457827777777776</v>
      </c>
      <c r="Q339" s="236">
        <v>-72.966116666666665</v>
      </c>
      <c r="R339" s="243" t="s">
        <v>1849</v>
      </c>
      <c r="S339" s="246" t="s">
        <v>1850</v>
      </c>
      <c r="U339" s="245"/>
    </row>
    <row r="340" spans="1:21" ht="17.25" customHeight="1">
      <c r="A340" s="236">
        <v>339</v>
      </c>
      <c r="B340" s="256" t="str">
        <f t="array" ref="B340">INDEX('SUR - ESTER'!B:B, MATCH(S340,'SUR - ESTER'!K:K, 0), )</f>
        <v>Juli</v>
      </c>
      <c r="C340" s="156" t="str">
        <f t="array" ref="C340">INDEX('SUR - ESTER'!C:C, MATCH(S340,'SUR - ESTER'!K:K, 0), )</f>
        <v>Puno</v>
      </c>
      <c r="D340" s="156" t="str">
        <f t="array" ref="D340">INDEX('SUR - ESTER'!D:D, MATCH(S340,'SUR - ESTER'!K:K, 0), )</f>
        <v>VHF</v>
      </c>
      <c r="E340" s="156">
        <f t="array" ref="E340">INDEX('SUR - ESTER'!E:E, MATCH(S340,'SUR - ESTER'!K:K, 0), )</f>
        <v>13</v>
      </c>
      <c r="F340" s="156">
        <f t="array" ref="F340">INDEX('SUR - ESTER'!F:F, MATCH(S340,'SUR - ESTER'!K:K, 0), )</f>
        <v>84</v>
      </c>
      <c r="G340" s="159" t="str">
        <f t="array" ref="G340">INDEX('SUR - ESTER'!G:G, MATCH(S340,'SUR - ESTER'!K:K, 0), )</f>
        <v>F.A</v>
      </c>
      <c r="H340" s="238" t="str">
        <f t="array" ref="H340">INDEX('SUR - ESTER'!H:H, MATCH(S340,'SUR - ESTER'!K:K, 0), )</f>
        <v>JULI</v>
      </c>
      <c r="I340" s="239" t="str">
        <f t="array" ref="I340">INDEX('SUR - ESTER'!I:I, MATCH(S340,'SUR - ESTER'!K:K, 0), )</f>
        <v>27/11/2025 - Sectoristas - El codificador fue enviado el dia lunes, el pastor Ricardo Lopez hoy por la tarde estara recogiendolo.</v>
      </c>
      <c r="J340" s="257" t="str">
        <f t="array" ref="J340">INDEX('SUR - ESTER'!J:J, MATCH(S340,'SUR - ESTER'!K:K, 0), )</f>
        <v>presupuesto: envio de deco</v>
      </c>
      <c r="K340" s="156" t="str">
        <f t="array" ref="K340">INDEX('SUR - ESTER'!K:K, MATCH(S340,'SUR - ESTER'!K:K, 0), )</f>
        <v>E - 64</v>
      </c>
      <c r="L340" s="251" t="str">
        <f t="array" ref="L340">INDEX('SUR - ESTER'!L:L, MATCH(S340,'SUR - ESTER'!K:K, 0), )</f>
        <v>Sectoristas</v>
      </c>
      <c r="M340" s="251" t="str">
        <f t="array" ref="M340">INDEX('SUR - ESTER'!M:M, MATCH(S340,'SUR - ESTER'!K:K, 0), )</f>
        <v>Nivel 1</v>
      </c>
      <c r="N340" s="258">
        <f t="array" ref="N340">INDEX('SUR - ESTER'!N:N, MATCH(S340,'SUR - ESTER'!K:K, 0), )</f>
        <v>0</v>
      </c>
      <c r="O340" s="253">
        <f t="array" ref="O340">INDEX('SUR - ESTER'!O:O, MATCH(S340,'SUR - ESTER'!K:K, 0), )</f>
        <v>0</v>
      </c>
      <c r="P340" s="236">
        <v>-16.204308333333334</v>
      </c>
      <c r="Q340" s="236">
        <v>-69.440094444444455</v>
      </c>
      <c r="R340" s="243" t="s">
        <v>1851</v>
      </c>
      <c r="S340" s="246" t="s">
        <v>1233</v>
      </c>
      <c r="U340" s="245"/>
    </row>
    <row r="341" spans="1:21" ht="17.25" customHeight="1">
      <c r="A341" s="236">
        <v>340</v>
      </c>
      <c r="B341" s="256" t="str">
        <f t="array" ref="B341">INDEX('SUR - ESTER'!B:B, MATCH(S341,'SUR - ESTER'!K:K, 0), )</f>
        <v>Juli</v>
      </c>
      <c r="C341" s="156" t="str">
        <f t="array" ref="C341">INDEX('SUR - ESTER'!C:C, MATCH(S341,'SUR - ESTER'!K:K, 0), )</f>
        <v>Puno</v>
      </c>
      <c r="D341" s="156" t="str">
        <f t="array" ref="D341">INDEX('SUR - ESTER'!D:D, MATCH(S341,'SUR - ESTER'!K:K, 0), )</f>
        <v>FM</v>
      </c>
      <c r="E341" s="156" t="str">
        <f t="array" ref="E341">INDEX('SUR - ESTER'!E:E, MATCH(S341,'SUR - ESTER'!K:K, 0), )</f>
        <v>92,3</v>
      </c>
      <c r="F341" s="156">
        <f t="array" ref="F341">INDEX('SUR - ESTER'!F:F, MATCH(S341,'SUR - ESTER'!K:K, 0), )</f>
        <v>84</v>
      </c>
      <c r="G341" s="159" t="str">
        <f t="array" ref="G341">INDEX('SUR - ESTER'!G:G, MATCH(S341,'SUR - ESTER'!K:K, 0), )</f>
        <v>A.A</v>
      </c>
      <c r="H341" s="238" t="str">
        <f t="array" ref="H341">INDEX('SUR - ESTER'!H:H, MATCH(S341,'SUR - ESTER'!K:K, 0), )</f>
        <v>JULI</v>
      </c>
      <c r="I341" s="239" t="str">
        <f t="array" ref="I341">INDEX('SUR - ESTER'!I:I, MATCH(S341,'SUR - ESTER'!K:K, 0), )</f>
        <v>4/12/2025 - Sectoristas - Opera con normalidad / Inf. Ps. Ricardo Lopez</v>
      </c>
      <c r="J341" s="257" t="str">
        <f t="array" ref="J341">INDEX('SUR - ESTER'!J:J, MATCH(S341,'SUR - ESTER'!K:K, 0), )</f>
        <v>presupuesto: envio de deco</v>
      </c>
      <c r="K341" s="156" t="str">
        <f t="array" ref="K341">INDEX('SUR - ESTER'!K:K, MATCH(S341,'SUR - ESTER'!K:K, 0), )</f>
        <v>E - 65</v>
      </c>
      <c r="L341" s="251" t="str">
        <f t="array" ref="L341">INDEX('SUR - ESTER'!L:L, MATCH(S341,'SUR - ESTER'!K:K, 0), )</f>
        <v>Sectoristas</v>
      </c>
      <c r="M341" s="251" t="str">
        <f t="array" ref="M341">INDEX('SUR - ESTER'!M:M, MATCH(S341,'SUR - ESTER'!K:K, 0), )</f>
        <v>Nivel 1</v>
      </c>
      <c r="N341" s="258">
        <f t="array" ref="N341">INDEX('SUR - ESTER'!N:N, MATCH(S341,'SUR - ESTER'!K:K, 0), )</f>
        <v>0</v>
      </c>
      <c r="O341" s="253">
        <f t="array" ref="O341">INDEX('SUR - ESTER'!O:O, MATCH(S341,'SUR - ESTER'!K:K, 0), )</f>
        <v>0</v>
      </c>
      <c r="P341" s="236">
        <v>-16.204308333333334</v>
      </c>
      <c r="Q341" s="236">
        <v>-69.440094444444455</v>
      </c>
      <c r="R341" s="243" t="s">
        <v>1851</v>
      </c>
      <c r="S341" s="246" t="s">
        <v>1852</v>
      </c>
      <c r="U341" s="245"/>
    </row>
    <row r="342" spans="1:21" ht="17.25" customHeight="1">
      <c r="A342" s="236">
        <v>341</v>
      </c>
      <c r="B342" s="256" t="str">
        <f t="array" ref="B342">INDEX('SUR - ESTER'!B:B, MATCH(S342,'SUR - ESTER'!K:K, 0), )</f>
        <v>Juliaca</v>
      </c>
      <c r="C342" s="156" t="str">
        <f t="array" ref="C342">INDEX('SUR - ESTER'!C:C, MATCH(S342,'SUR - ESTER'!K:K, 0), )</f>
        <v>Puno</v>
      </c>
      <c r="D342" s="156" t="str">
        <f t="array" ref="D342">INDEX('SUR - ESTER'!D:D, MATCH(S342,'SUR - ESTER'!K:K, 0), )</f>
        <v>FM</v>
      </c>
      <c r="E342" s="156" t="str">
        <f t="array" ref="E342">INDEX('SUR - ESTER'!E:E, MATCH(S342,'SUR - ESTER'!K:K, 0), )</f>
        <v>101,3</v>
      </c>
      <c r="F342" s="156">
        <f t="array" ref="F342">INDEX('SUR - ESTER'!F:F, MATCH(S342,'SUR - ESTER'!K:K, 0), )</f>
        <v>31</v>
      </c>
      <c r="G342" s="159" t="str">
        <f t="array" ref="G342">INDEX('SUR - ESTER'!G:G, MATCH(S342,'SUR - ESTER'!K:K, 0), )</f>
        <v>A.A</v>
      </c>
      <c r="H342" s="238" t="str">
        <f t="array" ref="H342">INDEX('SUR - ESTER'!H:H, MATCH(S342,'SUR - ESTER'!K:K, 0), )</f>
        <v>JULIACA</v>
      </c>
      <c r="I342" s="239" t="str">
        <f t="array" ref="I342">INDEX('SUR - ESTER'!I:I, MATCH(S342,'SUR - ESTER'!K:K, 0), )</f>
        <v>1/10/2025 - Sectoristas - Opera con Normalidad</v>
      </c>
      <c r="J342" s="257">
        <f t="array" ref="J342">INDEX('SUR - ESTER'!J:J, MATCH(S342,'SUR - ESTER'!K:K, 0), )</f>
        <v>0</v>
      </c>
      <c r="K342" s="156" t="str">
        <f t="array" ref="K342">INDEX('SUR - ESTER'!K:K, MATCH(S342,'SUR - ESTER'!K:K, 0), )</f>
        <v>E - 66</v>
      </c>
      <c r="L342" s="251">
        <f t="array" ref="L342">INDEX('SUR - ESTER'!L:L, MATCH(S342,'SUR - ESTER'!K:K, 0), )</f>
        <v>0</v>
      </c>
      <c r="M342" s="251">
        <f t="array" ref="M342">INDEX('SUR - ESTER'!M:M, MATCH(S342,'SUR - ESTER'!K:K, 0), )</f>
        <v>0</v>
      </c>
      <c r="N342" s="258">
        <f t="array" ref="N342">INDEX('SUR - ESTER'!N:N, MATCH(S342,'SUR - ESTER'!K:K, 0), )</f>
        <v>0</v>
      </c>
      <c r="O342" s="253">
        <f t="array" ref="O342">INDEX('SUR - ESTER'!O:O, MATCH(S342,'SUR - ESTER'!K:K, 0), )</f>
        <v>0</v>
      </c>
      <c r="P342" s="236">
        <v>-15.497997222222221</v>
      </c>
      <c r="Q342" s="236">
        <v>-70.137197222222227</v>
      </c>
      <c r="R342" s="243" t="s">
        <v>1853</v>
      </c>
      <c r="S342" s="246" t="s">
        <v>1854</v>
      </c>
      <c r="U342" s="245"/>
    </row>
    <row r="343" spans="1:21" ht="17.25" customHeight="1">
      <c r="A343" s="236">
        <v>342</v>
      </c>
      <c r="B343" s="256" t="str">
        <f t="array" ref="B343">INDEX('SUR - ESTER'!B:B, MATCH(S343,'SUR - ESTER'!K:K, 0), )</f>
        <v>Kaquiabamba</v>
      </c>
      <c r="C343" s="156" t="str">
        <f t="array" ref="C343">INDEX('SUR - ESTER'!C:C, MATCH(S343,'SUR - ESTER'!K:K, 0), )</f>
        <v>Apurimac</v>
      </c>
      <c r="D343" s="156" t="str">
        <f t="array" ref="D343">INDEX('SUR - ESTER'!D:D, MATCH(S343,'SUR - ESTER'!K:K, 0), )</f>
        <v>FM</v>
      </c>
      <c r="E343" s="156" t="str">
        <f t="array" ref="E343">INDEX('SUR - ESTER'!E:E, MATCH(S343,'SUR - ESTER'!K:K, 0), )</f>
        <v>93,7</v>
      </c>
      <c r="F343" s="156">
        <f t="array" ref="F343">INDEX('SUR - ESTER'!F:F, MATCH(S343,'SUR - ESTER'!K:K, 0), )</f>
        <v>22</v>
      </c>
      <c r="G343" s="159" t="str">
        <f t="array" ref="G343">INDEX('SUR - ESTER'!G:G, MATCH(S343,'SUR - ESTER'!K:K, 0), )</f>
        <v>A.A</v>
      </c>
      <c r="H343" s="238" t="str">
        <f t="array" ref="H343">INDEX('SUR - ESTER'!H:H, MATCH(S343,'SUR - ESTER'!K:K, 0), )</f>
        <v>KAQUIABAMBA</v>
      </c>
      <c r="I343" s="239" t="str">
        <f t="array" ref="I343">INDEX('SUR - ESTER'!I:I, MATCH(S343,'SUR - ESTER'!K:K, 0), )</f>
        <v>1/09/2025 - Sectoristas - Opera con normalidad</v>
      </c>
      <c r="J343" s="257">
        <f t="array" ref="J343">INDEX('SUR - ESTER'!J:J, MATCH(S343,'SUR - ESTER'!K:K, 0), )</f>
        <v>0</v>
      </c>
      <c r="K343" s="156" t="str">
        <f t="array" ref="K343">INDEX('SUR - ESTER'!K:K, MATCH(S343,'SUR - ESTER'!K:K, 0), )</f>
        <v>E - 67</v>
      </c>
      <c r="L343" s="251">
        <f t="array" ref="L343">INDEX('SUR - ESTER'!L:L, MATCH(S343,'SUR - ESTER'!K:K, 0), )</f>
        <v>0</v>
      </c>
      <c r="M343" s="251">
        <f t="array" ref="M343">INDEX('SUR - ESTER'!M:M, MATCH(S343,'SUR - ESTER'!K:K, 0), )</f>
        <v>0</v>
      </c>
      <c r="N343" s="258">
        <f t="array" ref="N343">INDEX('SUR - ESTER'!N:N, MATCH(S343,'SUR - ESTER'!K:K, 0), )</f>
        <v>0</v>
      </c>
      <c r="O343" s="253">
        <f t="array" ref="O343">INDEX('SUR - ESTER'!O:O, MATCH(S343,'SUR - ESTER'!K:K, 0), )</f>
        <v>0</v>
      </c>
      <c r="P343" s="236">
        <v>-13.539305555555556</v>
      </c>
      <c r="Q343" s="236">
        <v>-73.286083333333337</v>
      </c>
      <c r="R343" s="243" t="s">
        <v>1855</v>
      </c>
      <c r="S343" s="246" t="s">
        <v>1856</v>
      </c>
      <c r="U343" s="245"/>
    </row>
    <row r="344" spans="1:21" ht="17.25" customHeight="1">
      <c r="A344" s="236">
        <v>343</v>
      </c>
      <c r="B344" s="256" t="str">
        <f t="array" ref="B344">INDEX('SUR - ESTER'!B:B, MATCH(S344,'SUR - ESTER'!K:K, 0), )</f>
        <v>Kepashiato</v>
      </c>
      <c r="C344" s="156" t="str">
        <f t="array" ref="C344">INDEX('SUR - ESTER'!C:C, MATCH(S344,'SUR - ESTER'!K:K, 0), )</f>
        <v>Cusco</v>
      </c>
      <c r="D344" s="156" t="str">
        <f t="array" ref="D344">INDEX('SUR - ESTER'!D:D, MATCH(S344,'SUR - ESTER'!K:K, 0), )</f>
        <v>FM</v>
      </c>
      <c r="E344" s="156" t="str">
        <f t="array" ref="E344">INDEX('SUR - ESTER'!E:E, MATCH(S344,'SUR - ESTER'!K:K, 0), )</f>
        <v>95,5</v>
      </c>
      <c r="F344" s="156">
        <f t="array" ref="F344">INDEX('SUR - ESTER'!F:F, MATCH(S344,'SUR - ESTER'!K:K, 0), )</f>
        <v>92</v>
      </c>
      <c r="G344" s="159" t="str">
        <f t="array" ref="G344">INDEX('SUR - ESTER'!G:G, MATCH(S344,'SUR - ESTER'!K:K, 0), )</f>
        <v>A.A</v>
      </c>
      <c r="H344" s="238" t="str">
        <f t="array" ref="H344">INDEX('SUR - ESTER'!H:H, MATCH(S344,'SUR - ESTER'!K:K, 0), )</f>
        <v>KEPASHIATO</v>
      </c>
      <c r="I344" s="239" t="str">
        <f t="array" ref="I344">INDEX('SUR - ESTER'!I:I, MATCH(S344,'SUR - ESTER'!K:K, 0), )</f>
        <v>17/11/2025 - Sectoristas - Opera con normalidad / Inf. Ps. Ever Huaraca</v>
      </c>
      <c r="J344" s="257">
        <f t="array" ref="J344">INDEX('SUR - ESTER'!J:J, MATCH(S344,'SUR - ESTER'!K:K, 0), )</f>
        <v>0</v>
      </c>
      <c r="K344" s="156" t="str">
        <f t="array" ref="K344">INDEX('SUR - ESTER'!K:K, MATCH(S344,'SUR - ESTER'!K:K, 0), )</f>
        <v>E - 68</v>
      </c>
      <c r="L344" s="251">
        <f t="array" ref="L344">INDEX('SUR - ESTER'!L:L, MATCH(S344,'SUR - ESTER'!K:K, 0), )</f>
        <v>0</v>
      </c>
      <c r="M344" s="251">
        <f t="array" ref="M344">INDEX('SUR - ESTER'!M:M, MATCH(S344,'SUR - ESTER'!K:K, 0), )</f>
        <v>0</v>
      </c>
      <c r="N344" s="258">
        <f t="array" ref="N344">INDEX('SUR - ESTER'!N:N, MATCH(S344,'SUR - ESTER'!K:K, 0), )</f>
        <v>0</v>
      </c>
      <c r="O344" s="253">
        <f t="array" ref="O344">INDEX('SUR - ESTER'!O:O, MATCH(S344,'SUR - ESTER'!K:K, 0), )</f>
        <v>0</v>
      </c>
      <c r="P344" s="236">
        <v>-12.638483333333333</v>
      </c>
      <c r="Q344" s="236">
        <v>-73.201683333333335</v>
      </c>
      <c r="R344" s="243" t="s">
        <v>1857</v>
      </c>
      <c r="S344" s="246" t="s">
        <v>1858</v>
      </c>
      <c r="U344" s="245"/>
    </row>
    <row r="345" spans="1:21" ht="17.25" customHeight="1">
      <c r="A345" s="236">
        <v>344</v>
      </c>
      <c r="B345" s="256" t="str">
        <f t="array" ref="B345">INDEX('SUR - ESTER'!B:B, MATCH(S345,'SUR - ESTER'!K:K, 0), )</f>
        <v>Kosñipata</v>
      </c>
      <c r="C345" s="156" t="str">
        <f t="array" ref="C345">INDEX('SUR - ESTER'!C:C, MATCH(S345,'SUR - ESTER'!K:K, 0), )</f>
        <v>Cusco</v>
      </c>
      <c r="D345" s="156" t="str">
        <f t="array" ref="D345">INDEX('SUR - ESTER'!D:D, MATCH(S345,'SUR - ESTER'!K:K, 0), )</f>
        <v>VHF</v>
      </c>
      <c r="E345" s="156">
        <f t="array" ref="E345">INDEX('SUR - ESTER'!E:E, MATCH(S345,'SUR - ESTER'!K:K, 0), )</f>
        <v>9</v>
      </c>
      <c r="F345" s="156">
        <f t="array" ref="F345">INDEX('SUR - ESTER'!F:F, MATCH(S345,'SUR - ESTER'!K:K, 0), )</f>
        <v>21</v>
      </c>
      <c r="G345" s="159" t="str">
        <f t="array" ref="G345">INDEX('SUR - ESTER'!G:G, MATCH(S345,'SUR - ESTER'!K:K, 0), )</f>
        <v>A.A</v>
      </c>
      <c r="H345" s="238" t="str">
        <f t="array" ref="H345">INDEX('SUR - ESTER'!H:H, MATCH(S345,'SUR - ESTER'!K:K, 0), )</f>
        <v>KOSÑIPATA</v>
      </c>
      <c r="I345" s="239" t="str">
        <f t="array" ref="I345">INDEX('SUR - ESTER'!I:I, MATCH(S345,'SUR - ESTER'!K:K, 0), )</f>
        <v>2/09/2025 - Sectoristas - opera con normalidad</v>
      </c>
      <c r="J345" s="257">
        <f t="array" ref="J345">INDEX('SUR - ESTER'!J:J, MATCH(S345,'SUR - ESTER'!K:K, 0), )</f>
        <v>0</v>
      </c>
      <c r="K345" s="156" t="str">
        <f t="array" ref="K345">INDEX('SUR - ESTER'!K:K, MATCH(S345,'SUR - ESTER'!K:K, 0), )</f>
        <v>E - 69</v>
      </c>
      <c r="L345" s="251">
        <f t="array" ref="L345">INDEX('SUR - ESTER'!L:L, MATCH(S345,'SUR - ESTER'!K:K, 0), )</f>
        <v>0</v>
      </c>
      <c r="M345" s="251">
        <f t="array" ref="M345">INDEX('SUR - ESTER'!M:M, MATCH(S345,'SUR - ESTER'!K:K, 0), )</f>
        <v>0</v>
      </c>
      <c r="N345" s="258">
        <f t="array" ref="N345">INDEX('SUR - ESTER'!N:N, MATCH(S345,'SUR - ESTER'!K:K, 0), )</f>
        <v>0</v>
      </c>
      <c r="O345" s="253">
        <f t="array" ref="O345">INDEX('SUR - ESTER'!O:O, MATCH(S345,'SUR - ESTER'!K:K, 0), )</f>
        <v>0</v>
      </c>
      <c r="P345" s="236">
        <v>-12.96661111111111</v>
      </c>
      <c r="Q345" s="236">
        <v>-71.423055555555564</v>
      </c>
      <c r="R345" s="243" t="s">
        <v>1859</v>
      </c>
      <c r="S345" s="246" t="s">
        <v>1860</v>
      </c>
      <c r="U345" s="245"/>
    </row>
    <row r="346" spans="1:21" ht="17.25" customHeight="1">
      <c r="A346" s="236">
        <v>345</v>
      </c>
      <c r="B346" s="256" t="str">
        <f t="array" ref="B346">INDEX('SUR - ESTER'!B:B, MATCH(S346,'SUR - ESTER'!K:K, 0), )</f>
        <v>Kosñipata</v>
      </c>
      <c r="C346" s="156" t="str">
        <f t="array" ref="C346">INDEX('SUR - ESTER'!C:C, MATCH(S346,'SUR - ESTER'!K:K, 0), )</f>
        <v>Cusco</v>
      </c>
      <c r="D346" s="156" t="str">
        <f t="array" ref="D346">INDEX('SUR - ESTER'!D:D, MATCH(S346,'SUR - ESTER'!K:K, 0), )</f>
        <v>FM</v>
      </c>
      <c r="E346" s="156" t="str">
        <f t="array" ref="E346">INDEX('SUR - ESTER'!E:E, MATCH(S346,'SUR - ESTER'!K:K, 0), )</f>
        <v>92,5</v>
      </c>
      <c r="F346" s="156">
        <f t="array" ref="F346">INDEX('SUR - ESTER'!F:F, MATCH(S346,'SUR - ESTER'!K:K, 0), )</f>
        <v>21</v>
      </c>
      <c r="G346" s="159" t="str">
        <f t="array" ref="G346">INDEX('SUR - ESTER'!G:G, MATCH(S346,'SUR - ESTER'!K:K, 0), )</f>
        <v>A.A</v>
      </c>
      <c r="H346" s="238" t="str">
        <f t="array" ref="H346">INDEX('SUR - ESTER'!H:H, MATCH(S346,'SUR - ESTER'!K:K, 0), )</f>
        <v>KOSÑIPATA</v>
      </c>
      <c r="I346" s="239" t="str">
        <f t="array" ref="I346">INDEX('SUR - ESTER'!I:I, MATCH(S346,'SUR - ESTER'!K:K, 0), )</f>
        <v>2/09/2025 - Sectoristas - opera con normalidad / trabaja de manera optima</v>
      </c>
      <c r="J346" s="257">
        <f t="array" ref="J346">INDEX('SUR - ESTER'!J:J, MATCH(S346,'SUR - ESTER'!K:K, 0), )</f>
        <v>0</v>
      </c>
      <c r="K346" s="156" t="str">
        <f t="array" ref="K346">INDEX('SUR - ESTER'!K:K, MATCH(S346,'SUR - ESTER'!K:K, 0), )</f>
        <v>E - 70</v>
      </c>
      <c r="L346" s="251">
        <f t="array" ref="L346">INDEX('SUR - ESTER'!L:L, MATCH(S346,'SUR - ESTER'!K:K, 0), )</f>
        <v>0</v>
      </c>
      <c r="M346" s="251">
        <f t="array" ref="M346">INDEX('SUR - ESTER'!M:M, MATCH(S346,'SUR - ESTER'!K:K, 0), )</f>
        <v>0</v>
      </c>
      <c r="N346" s="258">
        <f t="array" ref="N346">INDEX('SUR - ESTER'!N:N, MATCH(S346,'SUR - ESTER'!K:K, 0), )</f>
        <v>0</v>
      </c>
      <c r="O346" s="253">
        <f t="array" ref="O346">INDEX('SUR - ESTER'!O:O, MATCH(S346,'SUR - ESTER'!K:K, 0), )</f>
        <v>0</v>
      </c>
      <c r="P346" s="236">
        <v>-12.96661111111111</v>
      </c>
      <c r="Q346" s="236">
        <v>-71.423055555555564</v>
      </c>
      <c r="R346" s="243" t="s">
        <v>1859</v>
      </c>
      <c r="S346" s="246" t="s">
        <v>1861</v>
      </c>
      <c r="U346" s="245"/>
    </row>
    <row r="347" spans="1:21" ht="17.25" customHeight="1">
      <c r="A347" s="236">
        <v>346</v>
      </c>
      <c r="B347" s="256" t="str">
        <f t="array" ref="B347">INDEX('SUR - ESTER'!B:B, MATCH(S347,'SUR - ESTER'!K:K, 0), )</f>
        <v>La Joya</v>
      </c>
      <c r="C347" s="156" t="str">
        <f t="array" ref="C347">INDEX('SUR - ESTER'!C:C, MATCH(S347,'SUR - ESTER'!K:K, 0), )</f>
        <v>Arequipa</v>
      </c>
      <c r="D347" s="156" t="str">
        <f t="array" ref="D347">INDEX('SUR - ESTER'!D:D, MATCH(S347,'SUR - ESTER'!K:K, 0), )</f>
        <v>FM</v>
      </c>
      <c r="E347" s="156" t="str">
        <f t="array" ref="E347">INDEX('SUR - ESTER'!E:E, MATCH(S347,'SUR - ESTER'!K:K, 0), )</f>
        <v>98,7</v>
      </c>
      <c r="F347" s="156">
        <f t="array" ref="F347">INDEX('SUR - ESTER'!F:F, MATCH(S347,'SUR - ESTER'!K:K, 0), )</f>
        <v>3</v>
      </c>
      <c r="G347" s="159" t="str">
        <f t="array" ref="G347">INDEX('SUR - ESTER'!G:G, MATCH(S347,'SUR - ESTER'!K:K, 0), )</f>
        <v>A.A</v>
      </c>
      <c r="H347" s="238" t="str">
        <f t="array" ref="H347">INDEX('SUR - ESTER'!H:H, MATCH(S347,'SUR - ESTER'!K:K, 0), )</f>
        <v>LA JOYA</v>
      </c>
      <c r="I347" s="239" t="str">
        <f t="array" ref="I347">INDEX('SUR - ESTER'!I:I, MATCH(S347,'SUR - ESTER'!K:K, 0), )</f>
        <v>14/10/2025 - Sectoristas - Esta Operando con normalidad / se esta proyectando a la compra de un nuevo transmisor</v>
      </c>
      <c r="J347" s="257">
        <f t="array" ref="J347">INDEX('SUR - ESTER'!J:J, MATCH(S347,'SUR - ESTER'!K:K, 0), )</f>
        <v>0</v>
      </c>
      <c r="K347" s="156" t="str">
        <f t="array" ref="K347">INDEX('SUR - ESTER'!K:K, MATCH(S347,'SUR - ESTER'!K:K, 0), )</f>
        <v>E - 71</v>
      </c>
      <c r="L347" s="251">
        <f t="array" ref="L347">INDEX('SUR - ESTER'!L:L, MATCH(S347,'SUR - ESTER'!K:K, 0), )</f>
        <v>0</v>
      </c>
      <c r="M347" s="251">
        <f t="array" ref="M347">INDEX('SUR - ESTER'!M:M, MATCH(S347,'SUR - ESTER'!K:K, 0), )</f>
        <v>0</v>
      </c>
      <c r="N347" s="258">
        <f t="array" ref="N347">INDEX('SUR - ESTER'!N:N, MATCH(S347,'SUR - ESTER'!K:K, 0), )</f>
        <v>0</v>
      </c>
      <c r="O347" s="253">
        <f t="array" ref="O347">INDEX('SUR - ESTER'!O:O, MATCH(S347,'SUR - ESTER'!K:K, 0), )</f>
        <v>0</v>
      </c>
      <c r="P347" s="236">
        <v>-16.432500000000001</v>
      </c>
      <c r="Q347" s="236">
        <v>-71.825027777777777</v>
      </c>
      <c r="R347" s="243" t="s">
        <v>1862</v>
      </c>
      <c r="S347" s="246" t="s">
        <v>1863</v>
      </c>
      <c r="U347" s="245"/>
    </row>
    <row r="348" spans="1:21" ht="17.25" customHeight="1">
      <c r="A348" s="236">
        <v>347</v>
      </c>
      <c r="B348" s="256" t="str">
        <f t="array" ref="B348">INDEX('SUR - ESTER'!B:B, MATCH(S348,'SUR - ESTER'!K:K, 0), )</f>
        <v>Laberinto</v>
      </c>
      <c r="C348" s="156" t="str">
        <f t="array" ref="C348">INDEX('SUR - ESTER'!C:C, MATCH(S348,'SUR - ESTER'!K:K, 0), )</f>
        <v>Madre de Dios</v>
      </c>
      <c r="D348" s="156" t="str">
        <f t="array" ref="D348">INDEX('SUR - ESTER'!D:D, MATCH(S348,'SUR - ESTER'!K:K, 0), )</f>
        <v>FM</v>
      </c>
      <c r="E348" s="156" t="str">
        <f t="array" ref="E348">INDEX('SUR - ESTER'!E:E, MATCH(S348,'SUR - ESTER'!K:K, 0), )</f>
        <v>93,7</v>
      </c>
      <c r="F348" s="156">
        <f t="array" ref="F348">INDEX('SUR - ESTER'!F:F, MATCH(S348,'SUR - ESTER'!K:K, 0), )</f>
        <v>131</v>
      </c>
      <c r="G348" s="159" t="str">
        <f t="array" ref="G348">INDEX('SUR - ESTER'!G:G, MATCH(S348,'SUR - ESTER'!K:K, 0), )</f>
        <v>A.A</v>
      </c>
      <c r="H348" s="238" t="str">
        <f t="array" ref="H348">INDEX('SUR - ESTER'!H:H, MATCH(S348,'SUR - ESTER'!K:K, 0), )</f>
        <v>LABERINTO</v>
      </c>
      <c r="I348" s="239" t="str">
        <f t="array" ref="I348">INDEX('SUR - ESTER'!I:I, MATCH(S348,'SUR - ESTER'!K:K, 0), )</f>
        <v>17/11/2025 - Sectoristas - Opera con normalidad / Inf. Ps. Efrain</v>
      </c>
      <c r="J348" s="257">
        <f t="array" ref="J348">INDEX('SUR - ESTER'!J:J, MATCH(S348,'SUR - ESTER'!K:K, 0), )</f>
        <v>0</v>
      </c>
      <c r="K348" s="156" t="str">
        <f t="array" ref="K348">INDEX('SUR - ESTER'!K:K, MATCH(S348,'SUR - ESTER'!K:K, 0), )</f>
        <v>E - 72</v>
      </c>
      <c r="L348" s="251">
        <f t="array" ref="L348">INDEX('SUR - ESTER'!L:L, MATCH(S348,'SUR - ESTER'!K:K, 0), )</f>
        <v>0</v>
      </c>
      <c r="M348" s="251">
        <f t="array" ref="M348">INDEX('SUR - ESTER'!M:M, MATCH(S348,'SUR - ESTER'!K:K, 0), )</f>
        <v>0</v>
      </c>
      <c r="N348" s="258">
        <f t="array" ref="N348">INDEX('SUR - ESTER'!N:N, MATCH(S348,'SUR - ESTER'!K:K, 0), )</f>
        <v>0</v>
      </c>
      <c r="O348" s="253">
        <f t="array" ref="O348">INDEX('SUR - ESTER'!O:O, MATCH(S348,'SUR - ESTER'!K:K, 0), )</f>
        <v>0</v>
      </c>
      <c r="P348" s="236">
        <v>-12.729277777777778</v>
      </c>
      <c r="Q348" s="236">
        <v>-69.575305555555545</v>
      </c>
      <c r="R348" s="243" t="s">
        <v>1864</v>
      </c>
      <c r="S348" s="246" t="s">
        <v>1865</v>
      </c>
      <c r="U348" s="245"/>
    </row>
    <row r="349" spans="1:21" ht="17.25" customHeight="1">
      <c r="A349" s="236">
        <v>348</v>
      </c>
      <c r="B349" s="256" t="str">
        <f t="array" ref="B349">INDEX('SUR - ESTER'!B:B, MATCH(S349,'SUR - ESTER'!K:K, 0), )</f>
        <v>Laberinto</v>
      </c>
      <c r="C349" s="156" t="str">
        <f t="array" ref="C349">INDEX('SUR - ESTER'!C:C, MATCH(S349,'SUR - ESTER'!K:K, 0), )</f>
        <v>Madre de Dios</v>
      </c>
      <c r="D349" s="156" t="str">
        <f t="array" ref="D349">INDEX('SUR - ESTER'!D:D, MATCH(S349,'SUR - ESTER'!K:K, 0), )</f>
        <v>VHF</v>
      </c>
      <c r="E349" s="156">
        <f t="array" ref="E349">INDEX('SUR - ESTER'!E:E, MATCH(S349,'SUR - ESTER'!K:K, 0), )</f>
        <v>9</v>
      </c>
      <c r="F349" s="156">
        <f t="array" ref="F349">INDEX('SUR - ESTER'!F:F, MATCH(S349,'SUR - ESTER'!K:K, 0), )</f>
        <v>131</v>
      </c>
      <c r="G349" s="159" t="str">
        <f t="array" ref="G349">INDEX('SUR - ESTER'!G:G, MATCH(S349,'SUR - ESTER'!K:K, 0), )</f>
        <v>F.A</v>
      </c>
      <c r="H349" s="238" t="str">
        <f t="array" ref="H349">INDEX('SUR - ESTER'!H:H, MATCH(S349,'SUR - ESTER'!K:K, 0), )</f>
        <v>LABERINTO</v>
      </c>
      <c r="I349" s="239" t="str">
        <f t="array" ref="I349">INDEX('SUR - ESTER'!I:I, MATCH(S349,'SUR - ESTER'!K:K, 0), )</f>
        <v>25/11/2025 - Sectoristas - En conversacion con el hno. Caviedes indico que el dia sabado 06/12 estara yendo a dar mantenimiento a la parabolica.</v>
      </c>
      <c r="J349" s="257" t="str">
        <f t="array" ref="J349">INDEX('SUR - ESTER'!J:J, MATCH(S349,'SUR - ESTER'!K:K, 0), )</f>
        <v>presupuesto: aprox. precio de parabolica</v>
      </c>
      <c r="K349" s="156" t="str">
        <f t="array" ref="K349">INDEX('SUR - ESTER'!K:K, MATCH(S349,'SUR - ESTER'!K:K, 0), )</f>
        <v>E - 73</v>
      </c>
      <c r="L349" s="251" t="str">
        <f t="array" ref="L349">INDEX('SUR - ESTER'!L:L, MATCH(S349,'SUR - ESTER'!K:K, 0), )</f>
        <v>Sectoristas</v>
      </c>
      <c r="M349" s="251" t="str">
        <f t="array" ref="M349">INDEX('SUR - ESTER'!M:M, MATCH(S349,'SUR - ESTER'!K:K, 0), )</f>
        <v>Nivel 1</v>
      </c>
      <c r="N349" s="258">
        <f t="array" ref="N349">INDEX('SUR - ESTER'!N:N, MATCH(S349,'SUR - ESTER'!K:K, 0), )</f>
        <v>0</v>
      </c>
      <c r="O349" s="253">
        <f t="array" ref="O349">INDEX('SUR - ESTER'!O:O, MATCH(S349,'SUR - ESTER'!K:K, 0), )</f>
        <v>0</v>
      </c>
      <c r="P349" s="236">
        <v>-12.729277777777778</v>
      </c>
      <c r="Q349" s="236">
        <v>-69.575305555555545</v>
      </c>
      <c r="R349" s="243" t="s">
        <v>1864</v>
      </c>
      <c r="S349" s="246" t="s">
        <v>1236</v>
      </c>
      <c r="U349" s="245"/>
    </row>
    <row r="350" spans="1:21" ht="17.25" customHeight="1">
      <c r="A350" s="236">
        <v>349</v>
      </c>
      <c r="B350" s="256" t="str">
        <f t="array" ref="B350">INDEX('SUR - ESTER'!B:B, MATCH(S350,'SUR - ESTER'!K:K, 0), )</f>
        <v>Lamay</v>
      </c>
      <c r="C350" s="156" t="str">
        <f t="array" ref="C350">INDEX('SUR - ESTER'!C:C, MATCH(S350,'SUR - ESTER'!K:K, 0), )</f>
        <v>Cusco</v>
      </c>
      <c r="D350" s="156" t="str">
        <f t="array" ref="D350">INDEX('SUR - ESTER'!D:D, MATCH(S350,'SUR - ESTER'!K:K, 0), )</f>
        <v>VHF</v>
      </c>
      <c r="E350" s="156">
        <f t="array" ref="E350">INDEX('SUR - ESTER'!E:E, MATCH(S350,'SUR - ESTER'!K:K, 0), )</f>
        <v>10</v>
      </c>
      <c r="F350" s="156">
        <f t="array" ref="F350">INDEX('SUR - ESTER'!F:F, MATCH(S350,'SUR - ESTER'!K:K, 0), )</f>
        <v>124</v>
      </c>
      <c r="G350" s="159" t="str">
        <f t="array" ref="G350">INDEX('SUR - ESTER'!G:G, MATCH(S350,'SUR - ESTER'!K:K, 0), )</f>
        <v>A.A</v>
      </c>
      <c r="H350" s="238" t="str">
        <f t="array" ref="H350">INDEX('SUR - ESTER'!H:H, MATCH(S350,'SUR - ESTER'!K:K, 0), )</f>
        <v>LAMAY</v>
      </c>
      <c r="I350" s="239" t="str">
        <f t="array" ref="I350">INDEX('SUR - ESTER'!I:I, MATCH(S350,'SUR - ESTER'!K:K, 0), )</f>
        <v>1/09/2025 - Sectoristas - Opera con normalidad</v>
      </c>
      <c r="J350" s="257" t="str">
        <f t="array" ref="J350">INDEX('SUR - ESTER'!J:J, MATCH(S350,'SUR - ESTER'!K:K, 0), )</f>
        <v xml:space="preserve">Local Alquilado, se prende los fines de semanas </v>
      </c>
      <c r="K350" s="156" t="str">
        <f t="array" ref="K350">INDEX('SUR - ESTER'!K:K, MATCH(S350,'SUR - ESTER'!K:K, 0), )</f>
        <v>E - 74</v>
      </c>
      <c r="L350" s="251">
        <f t="array" ref="L350">INDEX('SUR - ESTER'!L:L, MATCH(S350,'SUR - ESTER'!K:K, 0), )</f>
        <v>0</v>
      </c>
      <c r="M350" s="251">
        <f t="array" ref="M350">INDEX('SUR - ESTER'!M:M, MATCH(S350,'SUR - ESTER'!K:K, 0), )</f>
        <v>0</v>
      </c>
      <c r="N350" s="258">
        <f t="array" ref="N350">INDEX('SUR - ESTER'!N:N, MATCH(S350,'SUR - ESTER'!K:K, 0), )</f>
        <v>0</v>
      </c>
      <c r="O350" s="253">
        <f t="array" ref="O350">INDEX('SUR - ESTER'!O:O, MATCH(S350,'SUR - ESTER'!K:K, 0), )</f>
        <v>0</v>
      </c>
      <c r="P350" s="236">
        <v>-13.364472222222222</v>
      </c>
      <c r="Q350" s="236">
        <v>-71.922638888888898</v>
      </c>
      <c r="R350" s="243" t="s">
        <v>1866</v>
      </c>
      <c r="S350" s="246" t="s">
        <v>1867</v>
      </c>
      <c r="U350" s="245"/>
    </row>
    <row r="351" spans="1:21" ht="17.25" customHeight="1">
      <c r="A351" s="236">
        <v>350</v>
      </c>
      <c r="B351" s="256" t="str">
        <f t="array" ref="B351">INDEX('SUR - ESTER'!B:B, MATCH(S351,'SUR - ESTER'!K:K, 0), )</f>
        <v>Lambrama</v>
      </c>
      <c r="C351" s="156" t="str">
        <f t="array" ref="C351">INDEX('SUR - ESTER'!C:C, MATCH(S351,'SUR - ESTER'!K:K, 0), )</f>
        <v>Apurimac</v>
      </c>
      <c r="D351" s="156" t="str">
        <f t="array" ref="D351">INDEX('SUR - ESTER'!D:D, MATCH(S351,'SUR - ESTER'!K:K, 0), )</f>
        <v>FM</v>
      </c>
      <c r="E351" s="156" t="str">
        <f t="array" ref="E351">INDEX('SUR - ESTER'!E:E, MATCH(S351,'SUR - ESTER'!K:K, 0), )</f>
        <v>99,7</v>
      </c>
      <c r="F351" s="156">
        <f t="array" ref="F351">INDEX('SUR - ESTER'!F:F, MATCH(S351,'SUR - ESTER'!K:K, 0), )</f>
        <v>67</v>
      </c>
      <c r="G351" s="159" t="str">
        <f t="array" ref="G351">INDEX('SUR - ESTER'!G:G, MATCH(S351,'SUR - ESTER'!K:K, 0), )</f>
        <v>A.A</v>
      </c>
      <c r="H351" s="238" t="str">
        <f t="array" ref="H351">INDEX('SUR - ESTER'!H:H, MATCH(S351,'SUR - ESTER'!K:K, 0), )</f>
        <v>LAMBRAMA</v>
      </c>
      <c r="I351" s="239" t="str">
        <f t="array" ref="I351">INDEX('SUR - ESTER'!I:I, MATCH(S351,'SUR - ESTER'!K:K, 0), )</f>
        <v>10/09/2025 - Sectoristas - Opera con normalidad</v>
      </c>
      <c r="J351" s="257">
        <f t="array" ref="J351">INDEX('SUR - ESTER'!J:J, MATCH(S351,'SUR - ESTER'!K:K, 0), )</f>
        <v>0</v>
      </c>
      <c r="K351" s="156" t="str">
        <f t="array" ref="K351">INDEX('SUR - ESTER'!K:K, MATCH(S351,'SUR - ESTER'!K:K, 0), )</f>
        <v>E - 75</v>
      </c>
      <c r="L351" s="251">
        <f t="array" ref="L351">INDEX('SUR - ESTER'!L:L, MATCH(S351,'SUR - ESTER'!K:K, 0), )</f>
        <v>0</v>
      </c>
      <c r="M351" s="251">
        <f t="array" ref="M351">INDEX('SUR - ESTER'!M:M, MATCH(S351,'SUR - ESTER'!K:K, 0), )</f>
        <v>0</v>
      </c>
      <c r="N351" s="258">
        <f t="array" ref="N351">INDEX('SUR - ESTER'!N:N, MATCH(S351,'SUR - ESTER'!K:K, 0), )</f>
        <v>0</v>
      </c>
      <c r="O351" s="253">
        <f t="array" ref="O351">INDEX('SUR - ESTER'!O:O, MATCH(S351,'SUR - ESTER'!K:K, 0), )</f>
        <v>0</v>
      </c>
      <c r="P351" s="236">
        <v>-13.870716666666667</v>
      </c>
      <c r="Q351" s="236">
        <v>-72.768888888888881</v>
      </c>
      <c r="R351" s="243" t="s">
        <v>1868</v>
      </c>
      <c r="S351" s="246" t="s">
        <v>1869</v>
      </c>
      <c r="U351" s="245"/>
    </row>
    <row r="352" spans="1:21" ht="17.25" customHeight="1">
      <c r="A352" s="236">
        <v>351</v>
      </c>
      <c r="B352" s="256" t="str">
        <f t="array" ref="B352">INDEX('SUR - ESTER'!B:B, MATCH(S352,'SUR - ESTER'!K:K, 0), )</f>
        <v>Locumba</v>
      </c>
      <c r="C352" s="156" t="str">
        <f t="array" ref="C352">INDEX('SUR - ESTER'!C:C, MATCH(S352,'SUR - ESTER'!K:K, 0), )</f>
        <v>Tacna</v>
      </c>
      <c r="D352" s="156" t="str">
        <f t="array" ref="D352">INDEX('SUR - ESTER'!D:D, MATCH(S352,'SUR - ESTER'!K:K, 0), )</f>
        <v>VHF</v>
      </c>
      <c r="E352" s="156">
        <f t="array" ref="E352">INDEX('SUR - ESTER'!E:E, MATCH(S352,'SUR - ESTER'!K:K, 0), )</f>
        <v>9</v>
      </c>
      <c r="F352" s="156">
        <f t="array" ref="F352">INDEX('SUR - ESTER'!F:F, MATCH(S352,'SUR - ESTER'!K:K, 0), )</f>
        <v>38</v>
      </c>
      <c r="G352" s="159" t="str">
        <f t="array" ref="G352">INDEX('SUR - ESTER'!G:G, MATCH(S352,'SUR - ESTER'!K:K, 0), )</f>
        <v>A.A</v>
      </c>
      <c r="H352" s="238" t="str">
        <f t="array" ref="H352">INDEX('SUR - ESTER'!H:H, MATCH(S352,'SUR - ESTER'!K:K, 0), )</f>
        <v>LOCUMBA</v>
      </c>
      <c r="I352" s="239" t="str">
        <f t="array" ref="I352">INDEX('SUR - ESTER'!I:I, MATCH(S352,'SUR - ESTER'!K:K, 0), )</f>
        <v>10/11/2025 - Sectoristas - Opera con normalidad / infor. Pastor</v>
      </c>
      <c r="J352" s="257">
        <f t="array" ref="J352">INDEX('SUR - ESTER'!J:J, MATCH(S352,'SUR - ESTER'!K:K, 0), )</f>
        <v>0</v>
      </c>
      <c r="K352" s="156" t="str">
        <f t="array" ref="K352">INDEX('SUR - ESTER'!K:K, MATCH(S352,'SUR - ESTER'!K:K, 0), )</f>
        <v>E - 76</v>
      </c>
      <c r="L352" s="251" t="str">
        <f t="array" ref="L352">INDEX('SUR - ESTER'!L:L, MATCH(S352,'SUR - ESTER'!K:K, 0), )</f>
        <v>Sectoristas</v>
      </c>
      <c r="M352" s="251" t="str">
        <f t="array" ref="M352">INDEX('SUR - ESTER'!M:M, MATCH(S352,'SUR - ESTER'!K:K, 0), )</f>
        <v>Nivel 1</v>
      </c>
      <c r="N352" s="258">
        <f t="array" ref="N352">INDEX('SUR - ESTER'!N:N, MATCH(S352,'SUR - ESTER'!K:K, 0), )</f>
        <v>0</v>
      </c>
      <c r="O352" s="253">
        <f t="array" ref="O352">INDEX('SUR - ESTER'!O:O, MATCH(S352,'SUR - ESTER'!K:K, 0), )</f>
        <v>0</v>
      </c>
      <c r="P352" s="236">
        <v>-17.612333333333336</v>
      </c>
      <c r="Q352" s="236">
        <v>-70.763194444444451</v>
      </c>
      <c r="R352" s="243" t="s">
        <v>1870</v>
      </c>
      <c r="S352" s="246" t="s">
        <v>1871</v>
      </c>
      <c r="U352" s="245"/>
    </row>
    <row r="353" spans="1:21" ht="17.25" customHeight="1">
      <c r="A353" s="236">
        <v>352</v>
      </c>
      <c r="B353" s="256" t="str">
        <f t="array" ref="B353">INDEX('SUR - ESTER'!B:B, MATCH(S353,'SUR - ESTER'!K:K, 0), )</f>
        <v>Lomas</v>
      </c>
      <c r="C353" s="156" t="str">
        <f t="array" ref="C353">INDEX('SUR - ESTER'!C:C, MATCH(S353,'SUR - ESTER'!K:K, 0), )</f>
        <v>Arequipa</v>
      </c>
      <c r="D353" s="156" t="str">
        <f t="array" ref="D353">INDEX('SUR - ESTER'!D:D, MATCH(S353,'SUR - ESTER'!K:K, 0), )</f>
        <v>FM</v>
      </c>
      <c r="E353" s="156">
        <f t="array" ref="E353">INDEX('SUR - ESTER'!E:E, MATCH(S353,'SUR - ESTER'!K:K, 0), )</f>
        <v>99.3</v>
      </c>
      <c r="F353" s="156">
        <f t="array" ref="F353">INDEX('SUR - ESTER'!F:F, MATCH(S353,'SUR - ESTER'!K:K, 0), )</f>
        <v>65</v>
      </c>
      <c r="G353" s="159" t="str">
        <f t="array" ref="G353">INDEX('SUR - ESTER'!G:G, MATCH(S353,'SUR - ESTER'!K:K, 0), )</f>
        <v>A.A</v>
      </c>
      <c r="H353" s="238" t="str">
        <f t="array" ref="H353">INDEX('SUR - ESTER'!H:H, MATCH(S353,'SUR - ESTER'!K:K, 0), )</f>
        <v>LOMAS</v>
      </c>
      <c r="I353" s="239" t="str">
        <f t="array" ref="I353">INDEX('SUR - ESTER'!I:I, MATCH(S353,'SUR - ESTER'!K:K, 0), )</f>
        <v>14/11/2025 - Sectoristas - Opera con normalidad / Inf. Ps. René Simon, el dia lunes 17/11 se estara ingresando la solicitud de renovacion.</v>
      </c>
      <c r="J353" s="257">
        <f t="array" ref="J353">INDEX('SUR - ESTER'!J:J, MATCH(S353,'SUR - ESTER'!K:K, 0), )</f>
        <v>0</v>
      </c>
      <c r="K353" s="156" t="str">
        <f t="array" ref="K353">INDEX('SUR - ESTER'!K:K, MATCH(S353,'SUR - ESTER'!K:K, 0), )</f>
        <v>E - 77</v>
      </c>
      <c r="L353" s="251">
        <f t="array" ref="L353">INDEX('SUR - ESTER'!L:L, MATCH(S353,'SUR - ESTER'!K:K, 0), )</f>
        <v>0</v>
      </c>
      <c r="M353" s="251">
        <f t="array" ref="M353">INDEX('SUR - ESTER'!M:M, MATCH(S353,'SUR - ESTER'!K:K, 0), )</f>
        <v>0</v>
      </c>
      <c r="N353" s="258">
        <f t="array" ref="N353">INDEX('SUR - ESTER'!N:N, MATCH(S353,'SUR - ESTER'!K:K, 0), )</f>
        <v>0</v>
      </c>
      <c r="O353" s="253">
        <f t="array" ref="O353">INDEX('SUR - ESTER'!O:O, MATCH(S353,'SUR - ESTER'!K:K, 0), )</f>
        <v>0</v>
      </c>
      <c r="P353" s="236">
        <v>-15.561613888888889</v>
      </c>
      <c r="Q353" s="236">
        <v>-74.841919444444443</v>
      </c>
      <c r="R353" s="243" t="s">
        <v>1872</v>
      </c>
      <c r="S353" s="246" t="s">
        <v>1873</v>
      </c>
      <c r="U353" s="245"/>
    </row>
    <row r="354" spans="1:21" ht="17.25" customHeight="1">
      <c r="A354" s="236">
        <v>353</v>
      </c>
      <c r="B354" s="256" t="str">
        <f t="array" ref="B354">INDEX('SUR - ESTER'!B:B, MATCH(S354,'SUR - ESTER'!K:K, 0), )</f>
        <v>Macusani</v>
      </c>
      <c r="C354" s="156" t="str">
        <f t="array" ref="C354">INDEX('SUR - ESTER'!C:C, MATCH(S354,'SUR - ESTER'!K:K, 0), )</f>
        <v>Puno</v>
      </c>
      <c r="D354" s="156" t="str">
        <f t="array" ref="D354">INDEX('SUR - ESTER'!D:D, MATCH(S354,'SUR - ESTER'!K:K, 0), )</f>
        <v>FM</v>
      </c>
      <c r="E354" s="156" t="str">
        <f t="array" ref="E354">INDEX('SUR - ESTER'!E:E, MATCH(S354,'SUR - ESTER'!K:K, 0), )</f>
        <v>97,1</v>
      </c>
      <c r="F354" s="156">
        <f t="array" ref="F354">INDEX('SUR - ESTER'!F:F, MATCH(S354,'SUR - ESTER'!K:K, 0), )</f>
        <v>138</v>
      </c>
      <c r="G354" s="159" t="str">
        <f t="array" ref="G354">INDEX('SUR - ESTER'!G:G, MATCH(S354,'SUR - ESTER'!K:K, 0), )</f>
        <v>A.A</v>
      </c>
      <c r="H354" s="238" t="str">
        <f t="array" ref="H354">INDEX('SUR - ESTER'!H:H, MATCH(S354,'SUR - ESTER'!K:K, 0), )</f>
        <v>MACUSANI</v>
      </c>
      <c r="I354" s="239" t="str">
        <f t="array" ref="I354">INDEX('SUR - ESTER'!I:I, MATCH(S354,'SUR - ESTER'!K:K, 0), )</f>
        <v>25/09/2025 - Sectoristas - Opera con normalidad</v>
      </c>
      <c r="J354" s="257">
        <f t="array" ref="J354">INDEX('SUR - ESTER'!J:J, MATCH(S354,'SUR - ESTER'!K:K, 0), )</f>
        <v>0</v>
      </c>
      <c r="K354" s="156" t="str">
        <f t="array" ref="K354">INDEX('SUR - ESTER'!K:K, MATCH(S354,'SUR - ESTER'!K:K, 0), )</f>
        <v>E - 78</v>
      </c>
      <c r="L354" s="251">
        <f t="array" ref="L354">INDEX('SUR - ESTER'!L:L, MATCH(S354,'SUR - ESTER'!K:K, 0), )</f>
        <v>0</v>
      </c>
      <c r="M354" s="251">
        <f t="array" ref="M354">INDEX('SUR - ESTER'!M:M, MATCH(S354,'SUR - ESTER'!K:K, 0), )</f>
        <v>0</v>
      </c>
      <c r="N354" s="258">
        <f t="array" ref="N354">INDEX('SUR - ESTER'!N:N, MATCH(S354,'SUR - ESTER'!K:K, 0), )</f>
        <v>0</v>
      </c>
      <c r="O354" s="253">
        <f t="array" ref="O354">INDEX('SUR - ESTER'!O:O, MATCH(S354,'SUR - ESTER'!K:K, 0), )</f>
        <v>0</v>
      </c>
      <c r="P354" s="236">
        <v>-14.06463888888889</v>
      </c>
      <c r="Q354" s="236">
        <v>-70.427805555555565</v>
      </c>
      <c r="R354" s="243" t="s">
        <v>1874</v>
      </c>
      <c r="S354" s="246" t="s">
        <v>1875</v>
      </c>
      <c r="U354" s="245"/>
    </row>
    <row r="355" spans="1:21" ht="17.25" customHeight="1">
      <c r="A355" s="236">
        <v>354</v>
      </c>
      <c r="B355" s="256" t="str">
        <f t="array" ref="B355">INDEX('SUR - ESTER'!B:B, MATCH(S355,'SUR - ESTER'!K:K, 0), )</f>
        <v>Maranura</v>
      </c>
      <c r="C355" s="156" t="str">
        <f t="array" ref="C355">INDEX('SUR - ESTER'!C:C, MATCH(S355,'SUR - ESTER'!K:K, 0), )</f>
        <v>Cusco</v>
      </c>
      <c r="D355" s="156" t="str">
        <f t="array" ref="D355">INDEX('SUR - ESTER'!D:D, MATCH(S355,'SUR - ESTER'!K:K, 0), )</f>
        <v>VHF</v>
      </c>
      <c r="E355" s="156">
        <f t="array" ref="E355">INDEX('SUR - ESTER'!E:E, MATCH(S355,'SUR - ESTER'!K:K, 0), )</f>
        <v>10</v>
      </c>
      <c r="F355" s="156">
        <f t="array" ref="F355">INDEX('SUR - ESTER'!F:F, MATCH(S355,'SUR - ESTER'!K:K, 0), )</f>
        <v>92</v>
      </c>
      <c r="G355" s="159" t="str">
        <f t="array" ref="G355">INDEX('SUR - ESTER'!G:G, MATCH(S355,'SUR - ESTER'!K:K, 0), )</f>
        <v>A.A</v>
      </c>
      <c r="H355" s="238" t="str">
        <f t="array" ref="H355">INDEX('SUR - ESTER'!H:H, MATCH(S355,'SUR - ESTER'!K:K, 0), )</f>
        <v>MARANURA</v>
      </c>
      <c r="I355" s="239" t="str">
        <f t="array" ref="I355">INDEX('SUR - ESTER'!I:I, MATCH(S355,'SUR - ESTER'!K:K, 0), )</f>
        <v>18/11/2025 - Sectoristas - Opera con normalidad / Inf. Ps. Alejandro Valderrama</v>
      </c>
      <c r="J355" s="257">
        <f t="array" ref="J355">INDEX('SUR - ESTER'!J:J, MATCH(S355,'SUR - ESTER'!K:K, 0), )</f>
        <v>0</v>
      </c>
      <c r="K355" s="156" t="str">
        <f t="array" ref="K355">INDEX('SUR - ESTER'!K:K, MATCH(S355,'SUR - ESTER'!K:K, 0), )</f>
        <v>E - 79</v>
      </c>
      <c r="L355" s="251">
        <f t="array" ref="L355">INDEX('SUR - ESTER'!L:L, MATCH(S355,'SUR - ESTER'!K:K, 0), )</f>
        <v>0</v>
      </c>
      <c r="M355" s="251">
        <f t="array" ref="M355">INDEX('SUR - ESTER'!M:M, MATCH(S355,'SUR - ESTER'!K:K, 0), )</f>
        <v>0</v>
      </c>
      <c r="N355" s="258">
        <f t="array" ref="N355">INDEX('SUR - ESTER'!N:N, MATCH(S355,'SUR - ESTER'!K:K, 0), )</f>
        <v>0</v>
      </c>
      <c r="O355" s="253">
        <f t="array" ref="O355">INDEX('SUR - ESTER'!O:O, MATCH(S355,'SUR - ESTER'!K:K, 0), )</f>
        <v>0</v>
      </c>
      <c r="P355" s="236">
        <v>-12.952527777777776</v>
      </c>
      <c r="Q355" s="236">
        <v>-72.660750000000007</v>
      </c>
      <c r="R355" s="243" t="s">
        <v>1876</v>
      </c>
      <c r="S355" s="246" t="s">
        <v>1877</v>
      </c>
      <c r="U355" s="245"/>
    </row>
    <row r="356" spans="1:21" ht="17.25" customHeight="1">
      <c r="A356" s="236">
        <v>355</v>
      </c>
      <c r="B356" s="256" t="str">
        <f t="array" ref="B356">INDEX('SUR - ESTER'!B:B, MATCH(S356,'SUR - ESTER'!K:K, 0), )</f>
        <v>Marcapata</v>
      </c>
      <c r="C356" s="156" t="str">
        <f t="array" ref="C356">INDEX('SUR - ESTER'!C:C, MATCH(S356,'SUR - ESTER'!K:K, 0), )</f>
        <v>Cusco</v>
      </c>
      <c r="D356" s="156" t="str">
        <f t="array" ref="D356">INDEX('SUR - ESTER'!D:D, MATCH(S356,'SUR - ESTER'!K:K, 0), )</f>
        <v>FM</v>
      </c>
      <c r="E356" s="156" t="str">
        <f t="array" ref="E356">INDEX('SUR - ESTER'!E:E, MATCH(S356,'SUR - ESTER'!K:K, 0), )</f>
        <v>98,3</v>
      </c>
      <c r="F356" s="156">
        <f t="array" ref="F356">INDEX('SUR - ESTER'!F:F, MATCH(S356,'SUR - ESTER'!K:K, 0), )</f>
        <v>21</v>
      </c>
      <c r="G356" s="159" t="str">
        <f t="array" ref="G356">INDEX('SUR - ESTER'!G:G, MATCH(S356,'SUR - ESTER'!K:K, 0), )</f>
        <v>A.A</v>
      </c>
      <c r="H356" s="238" t="str">
        <f t="array" ref="H356">INDEX('SUR - ESTER'!H:H, MATCH(S356,'SUR - ESTER'!K:K, 0), )</f>
        <v>MARCAPATA</v>
      </c>
      <c r="I356" s="239" t="str">
        <f t="array" ref="I356">INDEX('SUR - ESTER'!I:I, MATCH(S356,'SUR - ESTER'!K:K, 0), )</f>
        <v>2/09/2025 - Sectoristas - opera con normalidad /  fue visitada por el ps. Pedro Maxi</v>
      </c>
      <c r="J356" s="257">
        <f t="array" ref="J356">INDEX('SUR - ESTER'!J:J, MATCH(S356,'SUR - ESTER'!K:K, 0), )</f>
        <v>0</v>
      </c>
      <c r="K356" s="156" t="str">
        <f t="array" ref="K356">INDEX('SUR - ESTER'!K:K, MATCH(S356,'SUR - ESTER'!K:K, 0), )</f>
        <v>E - 80</v>
      </c>
      <c r="L356" s="251">
        <f t="array" ref="L356">INDEX('SUR - ESTER'!L:L, MATCH(S356,'SUR - ESTER'!K:K, 0), )</f>
        <v>0</v>
      </c>
      <c r="M356" s="251">
        <f t="array" ref="M356">INDEX('SUR - ESTER'!M:M, MATCH(S356,'SUR - ESTER'!K:K, 0), )</f>
        <v>0</v>
      </c>
      <c r="N356" s="258">
        <f t="array" ref="N356">INDEX('SUR - ESTER'!N:N, MATCH(S356,'SUR - ESTER'!K:K, 0), )</f>
        <v>0</v>
      </c>
      <c r="O356" s="253">
        <f t="array" ref="O356">INDEX('SUR - ESTER'!O:O, MATCH(S356,'SUR - ESTER'!K:K, 0), )</f>
        <v>0</v>
      </c>
      <c r="P356" s="236">
        <v>-13.591405555555555</v>
      </c>
      <c r="Q356" s="236">
        <v>-70.978525000000005</v>
      </c>
      <c r="R356" s="243" t="s">
        <v>1878</v>
      </c>
      <c r="S356" s="246" t="s">
        <v>1879</v>
      </c>
      <c r="U356" s="245"/>
    </row>
    <row r="357" spans="1:21" ht="17.25" customHeight="1">
      <c r="A357" s="236">
        <v>356</v>
      </c>
      <c r="B357" s="256" t="str">
        <f t="array" ref="B357">INDEX('SUR - ESTER'!B:B, MATCH(S357,'SUR - ESTER'!K:K, 0), )</f>
        <v>Marcona</v>
      </c>
      <c r="C357" s="156" t="str">
        <f t="array" ref="C357">INDEX('SUR - ESTER'!C:C, MATCH(S357,'SUR - ESTER'!K:K, 0), )</f>
        <v>Ica</v>
      </c>
      <c r="D357" s="156" t="str">
        <f t="array" ref="D357">INDEX('SUR - ESTER'!D:D, MATCH(S357,'SUR - ESTER'!K:K, 0), )</f>
        <v>FM</v>
      </c>
      <c r="E357" s="156" t="str">
        <f t="array" ref="E357">INDEX('SUR - ESTER'!E:E, MATCH(S357,'SUR - ESTER'!K:K, 0), )</f>
        <v>91,5</v>
      </c>
      <c r="F357" s="156">
        <f t="array" ref="F357">INDEX('SUR - ESTER'!F:F, MATCH(S357,'SUR - ESTER'!K:K, 0), )</f>
        <v>65</v>
      </c>
      <c r="G357" s="159" t="str">
        <f t="array" ref="G357">INDEX('SUR - ESTER'!G:G, MATCH(S357,'SUR - ESTER'!K:K, 0), )</f>
        <v>A.A</v>
      </c>
      <c r="H357" s="238" t="str">
        <f t="array" ref="H357">INDEX('SUR - ESTER'!H:H, MATCH(S357,'SUR - ESTER'!K:K, 0), )</f>
        <v>MARCONA</v>
      </c>
      <c r="I357" s="239" t="str">
        <f t="array" ref="I357">INDEX('SUR - ESTER'!I:I, MATCH(S357,'SUR - ESTER'!K:K, 0), )</f>
        <v>15/10/2025 - Sectoristas - Opera con normalidad</v>
      </c>
      <c r="J357" s="257">
        <f t="array" ref="J357">INDEX('SUR - ESTER'!J:J, MATCH(S357,'SUR - ESTER'!K:K, 0), )</f>
        <v>0</v>
      </c>
      <c r="K357" s="156" t="str">
        <f t="array" ref="K357">INDEX('SUR - ESTER'!K:K, MATCH(S357,'SUR - ESTER'!K:K, 0), )</f>
        <v>E - 81</v>
      </c>
      <c r="L357" s="251">
        <f t="array" ref="L357">INDEX('SUR - ESTER'!L:L, MATCH(S357,'SUR - ESTER'!K:K, 0), )</f>
        <v>0</v>
      </c>
      <c r="M357" s="251">
        <f t="array" ref="M357">INDEX('SUR - ESTER'!M:M, MATCH(S357,'SUR - ESTER'!K:K, 0), )</f>
        <v>0</v>
      </c>
      <c r="N357" s="258">
        <f t="array" ref="N357">INDEX('SUR - ESTER'!N:N, MATCH(S357,'SUR - ESTER'!K:K, 0), )</f>
        <v>0</v>
      </c>
      <c r="O357" s="253">
        <f t="array" ref="O357">INDEX('SUR - ESTER'!O:O, MATCH(S357,'SUR - ESTER'!K:K, 0), )</f>
        <v>0</v>
      </c>
      <c r="P357" s="236">
        <v>-15.359722222222222</v>
      </c>
      <c r="Q357" s="236">
        <v>-75.159444444444446</v>
      </c>
      <c r="R357" s="243" t="s">
        <v>1880</v>
      </c>
      <c r="S357" s="246" t="s">
        <v>1881</v>
      </c>
      <c r="U357" s="245"/>
    </row>
    <row r="358" spans="1:21" ht="17.25" customHeight="1">
      <c r="A358" s="236">
        <v>357</v>
      </c>
      <c r="B358" s="256" t="str">
        <f t="array" ref="B358">INDEX('SUR - ESTER'!B:B, MATCH(S358,'SUR - ESTER'!K:K, 0), )</f>
        <v>Mazuko - Inambari</v>
      </c>
      <c r="C358" s="156" t="str">
        <f t="array" ref="C358">INDEX('SUR - ESTER'!C:C, MATCH(S358,'SUR - ESTER'!K:K, 0), )</f>
        <v>Madre de Dios</v>
      </c>
      <c r="D358" s="156" t="str">
        <f t="array" ref="D358">INDEX('SUR - ESTER'!D:D, MATCH(S358,'SUR - ESTER'!K:K, 0), )</f>
        <v>VHF</v>
      </c>
      <c r="E358" s="156">
        <f t="array" ref="E358">INDEX('SUR - ESTER'!E:E, MATCH(S358,'SUR - ESTER'!K:K, 0), )</f>
        <v>8</v>
      </c>
      <c r="F358" s="156">
        <f t="array" ref="F358">INDEX('SUR - ESTER'!F:F, MATCH(S358,'SUR - ESTER'!K:K, 0), )</f>
        <v>131</v>
      </c>
      <c r="G358" s="159" t="str">
        <f t="array" ref="G358">INDEX('SUR - ESTER'!G:G, MATCH(S358,'SUR - ESTER'!K:K, 0), )</f>
        <v>A.A</v>
      </c>
      <c r="H358" s="238" t="str">
        <f t="array" ref="H358">INDEX('SUR - ESTER'!H:H, MATCH(S358,'SUR - ESTER'!K:K, 0), )</f>
        <v>MAZUKO</v>
      </c>
      <c r="I358" s="239" t="str">
        <f t="array" ref="I358">INDEX('SUR - ESTER'!I:I, MATCH(S358,'SUR - ESTER'!K:K, 0), )</f>
        <v>25/09/2025 - Sectoristas - Opera con Normalidad</v>
      </c>
      <c r="J358" s="257">
        <f t="array" ref="J358">INDEX('SUR - ESTER'!J:J, MATCH(S358,'SUR - ESTER'!K:K, 0), )</f>
        <v>0</v>
      </c>
      <c r="K358" s="156" t="str">
        <f t="array" ref="K358">INDEX('SUR - ESTER'!K:K, MATCH(S358,'SUR - ESTER'!K:K, 0), )</f>
        <v>E - 82</v>
      </c>
      <c r="L358" s="251">
        <f t="array" ref="L358">INDEX('SUR - ESTER'!L:L, MATCH(S358,'SUR - ESTER'!K:K, 0), )</f>
        <v>0</v>
      </c>
      <c r="M358" s="251">
        <f t="array" ref="M358">INDEX('SUR - ESTER'!M:M, MATCH(S358,'SUR - ESTER'!K:K, 0), )</f>
        <v>0</v>
      </c>
      <c r="N358" s="258">
        <f t="array" ref="N358">INDEX('SUR - ESTER'!N:N, MATCH(S358,'SUR - ESTER'!K:K, 0), )</f>
        <v>0</v>
      </c>
      <c r="O358" s="253">
        <f t="array" ref="O358">INDEX('SUR - ESTER'!O:O, MATCH(S358,'SUR - ESTER'!K:K, 0), )</f>
        <v>0</v>
      </c>
      <c r="P358" s="236">
        <v>-13.100527777777778</v>
      </c>
      <c r="Q358" s="236">
        <v>-70.373944444444433</v>
      </c>
      <c r="R358" s="243" t="s">
        <v>1882</v>
      </c>
      <c r="S358" s="246" t="s">
        <v>1883</v>
      </c>
      <c r="U358" s="245"/>
    </row>
    <row r="359" spans="1:21" ht="17.25" customHeight="1">
      <c r="A359" s="236">
        <v>358</v>
      </c>
      <c r="B359" s="256" t="str">
        <f t="array" ref="B359">INDEX('SUR - ESTER'!B:B, MATCH(S359,'SUR - ESTER'!K:K, 0), )</f>
        <v>Mazuko - Inambari</v>
      </c>
      <c r="C359" s="156" t="str">
        <f t="array" ref="C359">INDEX('SUR - ESTER'!C:C, MATCH(S359,'SUR - ESTER'!K:K, 0), )</f>
        <v>Madre de Dios</v>
      </c>
      <c r="D359" s="156" t="str">
        <f t="array" ref="D359">INDEX('SUR - ESTER'!D:D, MATCH(S359,'SUR - ESTER'!K:K, 0), )</f>
        <v>FM</v>
      </c>
      <c r="E359" s="156" t="str">
        <f t="array" ref="E359">INDEX('SUR - ESTER'!E:E, MATCH(S359,'SUR - ESTER'!K:K, 0), )</f>
        <v>95,7</v>
      </c>
      <c r="F359" s="156">
        <f t="array" ref="F359">INDEX('SUR - ESTER'!F:F, MATCH(S359,'SUR - ESTER'!K:K, 0), )</f>
        <v>131</v>
      </c>
      <c r="G359" s="159" t="str">
        <f t="array" ref="G359">INDEX('SUR - ESTER'!G:G, MATCH(S359,'SUR - ESTER'!K:K, 0), )</f>
        <v>A.A</v>
      </c>
      <c r="H359" s="238" t="str">
        <f t="array" ref="H359">INDEX('SUR - ESTER'!H:H, MATCH(S359,'SUR - ESTER'!K:K, 0), )</f>
        <v>MAZUKO</v>
      </c>
      <c r="I359" s="239" t="str">
        <f t="array" ref="I359">INDEX('SUR - ESTER'!I:I, MATCH(S359,'SUR - ESTER'!K:K, 0), )</f>
        <v>25/09/2025 - Sectoristas - Opera con Normalidad</v>
      </c>
      <c r="J359" s="257">
        <f t="array" ref="J359">INDEX('SUR - ESTER'!J:J, MATCH(S359,'SUR - ESTER'!K:K, 0), )</f>
        <v>0</v>
      </c>
      <c r="K359" s="156" t="str">
        <f t="array" ref="K359">INDEX('SUR - ESTER'!K:K, MATCH(S359,'SUR - ESTER'!K:K, 0), )</f>
        <v>E - 83</v>
      </c>
      <c r="L359" s="251">
        <f t="array" ref="L359">INDEX('SUR - ESTER'!L:L, MATCH(S359,'SUR - ESTER'!K:K, 0), )</f>
        <v>0</v>
      </c>
      <c r="M359" s="251">
        <f t="array" ref="M359">INDEX('SUR - ESTER'!M:M, MATCH(S359,'SUR - ESTER'!K:K, 0), )</f>
        <v>0</v>
      </c>
      <c r="N359" s="258">
        <f t="array" ref="N359">INDEX('SUR - ESTER'!N:N, MATCH(S359,'SUR - ESTER'!K:K, 0), )</f>
        <v>0</v>
      </c>
      <c r="O359" s="253">
        <f t="array" ref="O359">INDEX('SUR - ESTER'!O:O, MATCH(S359,'SUR - ESTER'!K:K, 0), )</f>
        <v>0</v>
      </c>
      <c r="P359" s="236">
        <v>-13.100527777777778</v>
      </c>
      <c r="Q359" s="236">
        <v>-70.373944444444433</v>
      </c>
      <c r="R359" s="243" t="s">
        <v>1882</v>
      </c>
      <c r="S359" s="246" t="s">
        <v>1884</v>
      </c>
      <c r="U359" s="245"/>
    </row>
    <row r="360" spans="1:21" ht="17.25" customHeight="1">
      <c r="A360" s="236">
        <v>359</v>
      </c>
      <c r="B360" s="256" t="str">
        <f t="array" ref="B360">INDEX('SUR - ESTER'!B:B, MATCH(S360,'SUR - ESTER'!K:K, 0), )</f>
        <v>Mollendo</v>
      </c>
      <c r="C360" s="156" t="str">
        <f t="array" ref="C360">INDEX('SUR - ESTER'!C:C, MATCH(S360,'SUR - ESTER'!K:K, 0), )</f>
        <v>Arequipa</v>
      </c>
      <c r="D360" s="156" t="str">
        <f t="array" ref="D360">INDEX('SUR - ESTER'!D:D, MATCH(S360,'SUR - ESTER'!K:K, 0), )</f>
        <v>FM</v>
      </c>
      <c r="E360" s="156" t="str">
        <f t="array" ref="E360">INDEX('SUR - ESTER'!E:E, MATCH(S360,'SUR - ESTER'!K:K, 0), )</f>
        <v>93,1</v>
      </c>
      <c r="F360" s="156">
        <f t="array" ref="F360">INDEX('SUR - ESTER'!F:F, MATCH(S360,'SUR - ESTER'!K:K, 0), )</f>
        <v>3</v>
      </c>
      <c r="G360" s="159" t="str">
        <f t="array" ref="G360">INDEX('SUR - ESTER'!G:G, MATCH(S360,'SUR - ESTER'!K:K, 0), )</f>
        <v>A.A</v>
      </c>
      <c r="H360" s="238" t="str">
        <f t="array" ref="H360">INDEX('SUR - ESTER'!H:H, MATCH(S360,'SUR - ESTER'!K:K, 0), )</f>
        <v>MOLLENDO</v>
      </c>
      <c r="I360" s="239" t="str">
        <f t="array" ref="I360">INDEX('SUR - ESTER'!I:I, MATCH(S360,'SUR - ESTER'!K:K, 0), )</f>
        <v>14/10/2025 - Sectoristas - Opera con Normalidad / Se hizo monitoreo y llega  a lugares  que no llegaba, luego de la visita de los técnicos. Se ha comprado un terreno para C.U. por recomendación del Ps. Josué y Luis Meza / estamos a la espera del envio de las coordenadas</v>
      </c>
      <c r="J360" s="257">
        <f t="array" ref="J360">INDEX('SUR - ESTER'!J:J, MATCH(S360,'SUR - ESTER'!K:K, 0), )</f>
        <v>0</v>
      </c>
      <c r="K360" s="156" t="str">
        <f t="array" ref="K360">INDEX('SUR - ESTER'!K:K, MATCH(S360,'SUR - ESTER'!K:K, 0), )</f>
        <v>E - 84</v>
      </c>
      <c r="L360" s="251">
        <f t="array" ref="L360">INDEX('SUR - ESTER'!L:L, MATCH(S360,'SUR - ESTER'!K:K, 0), )</f>
        <v>0</v>
      </c>
      <c r="M360" s="251">
        <f t="array" ref="M360">INDEX('SUR - ESTER'!M:M, MATCH(S360,'SUR - ESTER'!K:K, 0), )</f>
        <v>0</v>
      </c>
      <c r="N360" s="258">
        <f t="array" ref="N360">INDEX('SUR - ESTER'!N:N, MATCH(S360,'SUR - ESTER'!K:K, 0), )</f>
        <v>0</v>
      </c>
      <c r="O360" s="253">
        <f t="array" ref="O360">INDEX('SUR - ESTER'!O:O, MATCH(S360,'SUR - ESTER'!K:K, 0), )</f>
        <v>0</v>
      </c>
      <c r="P360" s="236">
        <v>-17.017499999999998</v>
      </c>
      <c r="Q360" s="236">
        <v>-72.018055555555549</v>
      </c>
      <c r="R360" s="243" t="s">
        <v>1885</v>
      </c>
      <c r="S360" s="246" t="s">
        <v>1886</v>
      </c>
      <c r="U360" s="245"/>
    </row>
    <row r="361" spans="1:21" ht="17.25" customHeight="1">
      <c r="A361" s="236">
        <v>360</v>
      </c>
      <c r="B361" s="256" t="str">
        <f t="array" ref="B361">INDEX('SUR - ESTER'!B:B, MATCH(S361,'SUR - ESTER'!K:K, 0), )</f>
        <v>Mollepata</v>
      </c>
      <c r="C361" s="156" t="str">
        <f t="array" ref="C361">INDEX('SUR - ESTER'!C:C, MATCH(S361,'SUR - ESTER'!K:K, 0), )</f>
        <v>Cusco</v>
      </c>
      <c r="D361" s="156" t="str">
        <f t="array" ref="D361">INDEX('SUR - ESTER'!D:D, MATCH(S361,'SUR - ESTER'!K:K, 0), )</f>
        <v>VHF</v>
      </c>
      <c r="E361" s="156">
        <f t="array" ref="E361">INDEX('SUR - ESTER'!E:E, MATCH(S361,'SUR - ESTER'!K:K, 0), )</f>
        <v>11</v>
      </c>
      <c r="F361" s="156">
        <f t="array" ref="F361">INDEX('SUR - ESTER'!F:F, MATCH(S361,'SUR - ESTER'!K:K, 0), )</f>
        <v>124</v>
      </c>
      <c r="G361" s="159" t="str">
        <f t="array" ref="G361">INDEX('SUR - ESTER'!G:G, MATCH(S361,'SUR - ESTER'!K:K, 0), )</f>
        <v>A.A</v>
      </c>
      <c r="H361" s="238" t="str">
        <f t="array" ref="H361">INDEX('SUR - ESTER'!H:H, MATCH(S361,'SUR - ESTER'!K:K, 0), )</f>
        <v>MOLLEPATA</v>
      </c>
      <c r="I361" s="239" t="str">
        <f t="array" ref="I361">INDEX('SUR - ESTER'!I:I, MATCH(S361,'SUR - ESTER'!K:K, 0), )</f>
        <v>1/09/2025 - Sectoristas - Opera con normalidad</v>
      </c>
      <c r="J361" s="257" t="str">
        <f t="array" ref="J361">INDEX('SUR - ESTER'!J:J, MATCH(S361,'SUR - ESTER'!K:K, 0), )</f>
        <v xml:space="preserve">Local propio - Falta obrero </v>
      </c>
      <c r="K361" s="156" t="str">
        <f t="array" ref="K361">INDEX('SUR - ESTER'!K:K, MATCH(S361,'SUR - ESTER'!K:K, 0), )</f>
        <v>E - 85</v>
      </c>
      <c r="L361" s="251">
        <f t="array" ref="L361">INDEX('SUR - ESTER'!L:L, MATCH(S361,'SUR - ESTER'!K:K, 0), )</f>
        <v>0</v>
      </c>
      <c r="M361" s="251">
        <f t="array" ref="M361">INDEX('SUR - ESTER'!M:M, MATCH(S361,'SUR - ESTER'!K:K, 0), )</f>
        <v>0</v>
      </c>
      <c r="N361" s="258">
        <f t="array" ref="N361">INDEX('SUR - ESTER'!N:N, MATCH(S361,'SUR - ESTER'!K:K, 0), )</f>
        <v>0</v>
      </c>
      <c r="O361" s="253">
        <f t="array" ref="O361">INDEX('SUR - ESTER'!O:O, MATCH(S361,'SUR - ESTER'!K:K, 0), )</f>
        <v>0</v>
      </c>
      <c r="P361" s="236">
        <v>-13.507472222222223</v>
      </c>
      <c r="Q361" s="236">
        <v>-72.527722222222224</v>
      </c>
      <c r="R361" s="243" t="s">
        <v>1887</v>
      </c>
      <c r="S361" s="246" t="s">
        <v>1888</v>
      </c>
      <c r="U361" s="245"/>
    </row>
    <row r="362" spans="1:21" ht="17.25" customHeight="1">
      <c r="A362" s="236">
        <v>361</v>
      </c>
      <c r="B362" s="256" t="str">
        <f t="array" ref="B362">INDEX('SUR - ESTER'!B:B, MATCH(S362,'SUR - ESTER'!K:K, 0), )</f>
        <v>Mollepata</v>
      </c>
      <c r="C362" s="156" t="str">
        <f t="array" ref="C362">INDEX('SUR - ESTER'!C:C, MATCH(S362,'SUR - ESTER'!K:K, 0), )</f>
        <v>Cusco</v>
      </c>
      <c r="D362" s="156" t="str">
        <f t="array" ref="D362">INDEX('SUR - ESTER'!D:D, MATCH(S362,'SUR - ESTER'!K:K, 0), )</f>
        <v>FM</v>
      </c>
      <c r="E362" s="156" t="str">
        <f t="array" ref="E362">INDEX('SUR - ESTER'!E:E, MATCH(S362,'SUR - ESTER'!K:K, 0), )</f>
        <v>96,1</v>
      </c>
      <c r="F362" s="156">
        <f t="array" ref="F362">INDEX('SUR - ESTER'!F:F, MATCH(S362,'SUR - ESTER'!K:K, 0), )</f>
        <v>124</v>
      </c>
      <c r="G362" s="159" t="str">
        <f t="array" ref="G362">INDEX('SUR - ESTER'!G:G, MATCH(S362,'SUR - ESTER'!K:K, 0), )</f>
        <v>A.A</v>
      </c>
      <c r="H362" s="238" t="str">
        <f t="array" ref="H362">INDEX('SUR - ESTER'!H:H, MATCH(S362,'SUR - ESTER'!K:K, 0), )</f>
        <v>MOLLEPATA</v>
      </c>
      <c r="I362" s="239" t="str">
        <f t="array" ref="I362">INDEX('SUR - ESTER'!I:I, MATCH(S362,'SUR - ESTER'!K:K, 0), )</f>
        <v>29/10/2025 - Sectoristas - Opera con normalidad</v>
      </c>
      <c r="J362" s="257">
        <f t="array" ref="J362">INDEX('SUR - ESTER'!J:J, MATCH(S362,'SUR - ESTER'!K:K, 0), )</f>
        <v>0</v>
      </c>
      <c r="K362" s="156" t="str">
        <f t="array" ref="K362">INDEX('SUR - ESTER'!K:K, MATCH(S362,'SUR - ESTER'!K:K, 0), )</f>
        <v>E - 86</v>
      </c>
      <c r="L362" s="251">
        <f t="array" ref="L362">INDEX('SUR - ESTER'!L:L, MATCH(S362,'SUR - ESTER'!K:K, 0), )</f>
        <v>0</v>
      </c>
      <c r="M362" s="251">
        <f t="array" ref="M362">INDEX('SUR - ESTER'!M:M, MATCH(S362,'SUR - ESTER'!K:K, 0), )</f>
        <v>0</v>
      </c>
      <c r="N362" s="258">
        <f t="array" ref="N362">INDEX('SUR - ESTER'!N:N, MATCH(S362,'SUR - ESTER'!K:K, 0), )</f>
        <v>0</v>
      </c>
      <c r="O362" s="253">
        <f t="array" ref="O362">INDEX('SUR - ESTER'!O:O, MATCH(S362,'SUR - ESTER'!K:K, 0), )</f>
        <v>0</v>
      </c>
      <c r="P362" s="236">
        <v>-13.51068888888889</v>
      </c>
      <c r="Q362" s="236">
        <v>-72.535883333333331</v>
      </c>
      <c r="R362" s="243" t="s">
        <v>1889</v>
      </c>
      <c r="S362" s="246" t="s">
        <v>1890</v>
      </c>
      <c r="U362" s="245"/>
    </row>
    <row r="363" spans="1:21" ht="17.25" customHeight="1">
      <c r="A363" s="236">
        <v>362</v>
      </c>
      <c r="B363" s="256" t="str">
        <f t="array" ref="B363">INDEX('SUR - ESTER'!B:B, MATCH(S363,'SUR - ESTER'!K:K, 0), )</f>
        <v>Moquegua</v>
      </c>
      <c r="C363" s="156" t="str">
        <f t="array" ref="C363">INDEX('SUR - ESTER'!C:C, MATCH(S363,'SUR - ESTER'!K:K, 0), )</f>
        <v>Moquegua</v>
      </c>
      <c r="D363" s="156" t="str">
        <f t="array" ref="D363">INDEX('SUR - ESTER'!D:D, MATCH(S363,'SUR - ESTER'!K:K, 0), )</f>
        <v>FM</v>
      </c>
      <c r="E363" s="156" t="str">
        <f t="array" ref="E363">INDEX('SUR - ESTER'!E:E, MATCH(S363,'SUR - ESTER'!K:K, 0), )</f>
        <v>107,7</v>
      </c>
      <c r="F363" s="156">
        <f t="array" ref="F363">INDEX('SUR - ESTER'!F:F, MATCH(S363,'SUR - ESTER'!K:K, 0), )</f>
        <v>94</v>
      </c>
      <c r="G363" s="159" t="str">
        <f t="array" ref="G363">INDEX('SUR - ESTER'!G:G, MATCH(S363,'SUR - ESTER'!K:K, 0), )</f>
        <v>A.A</v>
      </c>
      <c r="H363" s="238" t="str">
        <f t="array" ref="H363">INDEX('SUR - ESTER'!H:H, MATCH(S363,'SUR - ESTER'!K:K, 0), )</f>
        <v>MOQUEGUA</v>
      </c>
      <c r="I363" s="239" t="str">
        <f t="array" ref="I363">INDEX('SUR - ESTER'!I:I, MATCH(S363,'SUR - ESTER'!K:K, 0), )</f>
        <v>16/09/2025 - Sectoristas - OPERA CON NORMALIDAD</v>
      </c>
      <c r="J363" s="257">
        <f t="array" ref="J363">INDEX('SUR - ESTER'!J:J, MATCH(S363,'SUR - ESTER'!K:K, 0), )</f>
        <v>0</v>
      </c>
      <c r="K363" s="156" t="str">
        <f t="array" ref="K363">INDEX('SUR - ESTER'!K:K, MATCH(S363,'SUR - ESTER'!K:K, 0), )</f>
        <v>E - 87</v>
      </c>
      <c r="L363" s="251">
        <f t="array" ref="L363">INDEX('SUR - ESTER'!L:L, MATCH(S363,'SUR - ESTER'!K:K, 0), )</f>
        <v>0</v>
      </c>
      <c r="M363" s="251">
        <f t="array" ref="M363">INDEX('SUR - ESTER'!M:M, MATCH(S363,'SUR - ESTER'!K:K, 0), )</f>
        <v>0</v>
      </c>
      <c r="N363" s="258">
        <f t="array" ref="N363">INDEX('SUR - ESTER'!N:N, MATCH(S363,'SUR - ESTER'!K:K, 0), )</f>
        <v>0</v>
      </c>
      <c r="O363" s="253">
        <f t="array" ref="O363">INDEX('SUR - ESTER'!O:O, MATCH(S363,'SUR - ESTER'!K:K, 0), )</f>
        <v>0</v>
      </c>
      <c r="P363" s="236">
        <v>-17.197944444444445</v>
      </c>
      <c r="Q363" s="236">
        <v>-70.93972222222223</v>
      </c>
      <c r="R363" s="243" t="s">
        <v>1891</v>
      </c>
      <c r="S363" s="246" t="s">
        <v>1892</v>
      </c>
      <c r="U363" s="245"/>
    </row>
    <row r="364" spans="1:21" ht="17.25" customHeight="1">
      <c r="A364" s="236">
        <v>363</v>
      </c>
      <c r="B364" s="256" t="str">
        <f t="array" ref="B364">INDEX('SUR - ESTER'!B:B, MATCH(S364,'SUR - ESTER'!K:K, 0), )</f>
        <v>Moquegua</v>
      </c>
      <c r="C364" s="156" t="str">
        <f t="array" ref="C364">INDEX('SUR - ESTER'!C:C, MATCH(S364,'SUR - ESTER'!K:K, 0), )</f>
        <v>Moquegua</v>
      </c>
      <c r="D364" s="156" t="str">
        <f t="array" ref="D364">INDEX('SUR - ESTER'!D:D, MATCH(S364,'SUR - ESTER'!K:K, 0), )</f>
        <v>VHF</v>
      </c>
      <c r="E364" s="156">
        <f t="array" ref="E364">INDEX('SUR - ESTER'!E:E, MATCH(S364,'SUR - ESTER'!K:K, 0), )</f>
        <v>13</v>
      </c>
      <c r="F364" s="156">
        <f t="array" ref="F364">INDEX('SUR - ESTER'!F:F, MATCH(S364,'SUR - ESTER'!K:K, 0), )</f>
        <v>94</v>
      </c>
      <c r="G364" s="159" t="str">
        <f t="array" ref="G364">INDEX('SUR - ESTER'!G:G, MATCH(S364,'SUR - ESTER'!K:K, 0), )</f>
        <v>A.A</v>
      </c>
      <c r="H364" s="238" t="str">
        <f t="array" ref="H364">INDEX('SUR - ESTER'!H:H, MATCH(S364,'SUR - ESTER'!K:K, 0), )</f>
        <v>MOQUEGUA</v>
      </c>
      <c r="I364" s="239" t="str">
        <f t="array" ref="I364">INDEX('SUR - ESTER'!I:I, MATCH(S364,'SUR - ESTER'!K:K, 0), )</f>
        <v>16/09/2025 - Sectoristas - OPERA CON NORMALIDAD</v>
      </c>
      <c r="J364" s="257">
        <f t="array" ref="J364">INDEX('SUR - ESTER'!J:J, MATCH(S364,'SUR - ESTER'!K:K, 0), )</f>
        <v>0</v>
      </c>
      <c r="K364" s="156" t="str">
        <f t="array" ref="K364">INDEX('SUR - ESTER'!K:K, MATCH(S364,'SUR - ESTER'!K:K, 0), )</f>
        <v>E - 88</v>
      </c>
      <c r="L364" s="251">
        <f t="array" ref="L364">INDEX('SUR - ESTER'!L:L, MATCH(S364,'SUR - ESTER'!K:K, 0), )</f>
        <v>0</v>
      </c>
      <c r="M364" s="251">
        <f t="array" ref="M364">INDEX('SUR - ESTER'!M:M, MATCH(S364,'SUR - ESTER'!K:K, 0), )</f>
        <v>0</v>
      </c>
      <c r="N364" s="258">
        <f t="array" ref="N364">INDEX('SUR - ESTER'!N:N, MATCH(S364,'SUR - ESTER'!K:K, 0), )</f>
        <v>0</v>
      </c>
      <c r="O364" s="253">
        <f t="array" ref="O364">INDEX('SUR - ESTER'!O:O, MATCH(S364,'SUR - ESTER'!K:K, 0), )</f>
        <v>0</v>
      </c>
      <c r="P364" s="236">
        <v>-17.197944444444445</v>
      </c>
      <c r="Q364" s="236">
        <v>-70.939916666666676</v>
      </c>
      <c r="R364" s="243" t="s">
        <v>1893</v>
      </c>
      <c r="S364" s="246" t="s">
        <v>1894</v>
      </c>
      <c r="U364" s="245"/>
    </row>
    <row r="365" spans="1:21" ht="17.25" customHeight="1">
      <c r="A365" s="236">
        <v>364</v>
      </c>
      <c r="B365" s="256" t="str">
        <f t="array" ref="B365">INDEX('SUR - ESTER'!B:B, MATCH(S365,'SUR - ESTER'!K:K, 0), )</f>
        <v>Nazca</v>
      </c>
      <c r="C365" s="156" t="str">
        <f t="array" ref="C365">INDEX('SUR - ESTER'!C:C, MATCH(S365,'SUR - ESTER'!K:K, 0), )</f>
        <v>Ica</v>
      </c>
      <c r="D365" s="156" t="str">
        <f t="array" ref="D365">INDEX('SUR - ESTER'!D:D, MATCH(S365,'SUR - ESTER'!K:K, 0), )</f>
        <v>FM</v>
      </c>
      <c r="E365" s="156" t="str">
        <f t="array" ref="E365">INDEX('SUR - ESTER'!E:E, MATCH(S365,'SUR - ESTER'!K:K, 0), )</f>
        <v>95,9</v>
      </c>
      <c r="F365" s="156">
        <f t="array" ref="F365">INDEX('SUR - ESTER'!F:F, MATCH(S365,'SUR - ESTER'!K:K, 0), )</f>
        <v>65</v>
      </c>
      <c r="G365" s="159" t="str">
        <f t="array" ref="G365">INDEX('SUR - ESTER'!G:G, MATCH(S365,'SUR - ESTER'!K:K, 0), )</f>
        <v>A.A</v>
      </c>
      <c r="H365" s="238" t="str">
        <f t="array" ref="H365">INDEX('SUR - ESTER'!H:H, MATCH(S365,'SUR - ESTER'!K:K, 0), )</f>
        <v>NAZCA</v>
      </c>
      <c r="I365" s="239" t="str">
        <f t="array" ref="I365">INDEX('SUR - ESTER'!I:I, MATCH(S365,'SUR - ESTER'!K:K, 0), )</f>
        <v>17/11/2025 - Sectoristas - Opera con normalidad / Info. Secretaria Elena</v>
      </c>
      <c r="J365" s="257">
        <f t="array" ref="J365">INDEX('SUR - ESTER'!J:J, MATCH(S365,'SUR - ESTER'!K:K, 0), )</f>
        <v>0</v>
      </c>
      <c r="K365" s="156" t="str">
        <f t="array" ref="K365">INDEX('SUR - ESTER'!K:K, MATCH(S365,'SUR - ESTER'!K:K, 0), )</f>
        <v>E - 89</v>
      </c>
      <c r="L365" s="251">
        <f t="array" ref="L365">INDEX('SUR - ESTER'!L:L, MATCH(S365,'SUR - ESTER'!K:K, 0), )</f>
        <v>0</v>
      </c>
      <c r="M365" s="251">
        <f t="array" ref="M365">INDEX('SUR - ESTER'!M:M, MATCH(S365,'SUR - ESTER'!K:K, 0), )</f>
        <v>0</v>
      </c>
      <c r="N365" s="258">
        <f t="array" ref="N365">INDEX('SUR - ESTER'!N:N, MATCH(S365,'SUR - ESTER'!K:K, 0), )</f>
        <v>0</v>
      </c>
      <c r="O365" s="253">
        <f t="array" ref="O365">INDEX('SUR - ESTER'!O:O, MATCH(S365,'SUR - ESTER'!K:K, 0), )</f>
        <v>0</v>
      </c>
      <c r="P365" s="236">
        <v>-14.815611111111112</v>
      </c>
      <c r="Q365" s="236">
        <v>-74.937638888888898</v>
      </c>
      <c r="R365" s="243" t="s">
        <v>1895</v>
      </c>
      <c r="S365" s="246" t="s">
        <v>1896</v>
      </c>
      <c r="U365" s="245"/>
    </row>
    <row r="366" spans="1:21" ht="17.25" customHeight="1">
      <c r="A366" s="236">
        <v>365</v>
      </c>
      <c r="B366" s="256" t="str">
        <f t="array" ref="B366">INDEX('SUR - ESTER'!B:B, MATCH(S366,'SUR - ESTER'!K:K, 0), )</f>
        <v>Nazca</v>
      </c>
      <c r="C366" s="156" t="str">
        <f t="array" ref="C366">INDEX('SUR - ESTER'!C:C, MATCH(S366,'SUR - ESTER'!K:K, 0), )</f>
        <v>Ica</v>
      </c>
      <c r="D366" s="156" t="str">
        <f t="array" ref="D366">INDEX('SUR - ESTER'!D:D, MATCH(S366,'SUR - ESTER'!K:K, 0), )</f>
        <v>VHF</v>
      </c>
      <c r="E366" s="156">
        <f t="array" ref="E366">INDEX('SUR - ESTER'!E:E, MATCH(S366,'SUR - ESTER'!K:K, 0), )</f>
        <v>11</v>
      </c>
      <c r="F366" s="156">
        <f t="array" ref="F366">INDEX('SUR - ESTER'!F:F, MATCH(S366,'SUR - ESTER'!K:K, 0), )</f>
        <v>65</v>
      </c>
      <c r="G366" s="159" t="str">
        <f t="array" ref="G366">INDEX('SUR - ESTER'!G:G, MATCH(S366,'SUR - ESTER'!K:K, 0), )</f>
        <v>A.A</v>
      </c>
      <c r="H366" s="238" t="str">
        <f t="array" ref="H366">INDEX('SUR - ESTER'!H:H, MATCH(S366,'SUR - ESTER'!K:K, 0), )</f>
        <v>NAZCA</v>
      </c>
      <c r="I366" s="239" t="str">
        <f t="array" ref="I366">INDEX('SUR - ESTER'!I:I, MATCH(S366,'SUR - ESTER'!K:K, 0), )</f>
        <v>20/11/2025 - Sectoristas - Opera con normalidad / Inf. Secretaria Elena</v>
      </c>
      <c r="J366" s="257">
        <f t="array" ref="J366">INDEX('SUR - ESTER'!J:J, MATCH(S366,'SUR - ESTER'!K:K, 0), )</f>
        <v>0</v>
      </c>
      <c r="K366" s="156" t="str">
        <f t="array" ref="K366">INDEX('SUR - ESTER'!K:K, MATCH(S366,'SUR - ESTER'!K:K, 0), )</f>
        <v>E - 90</v>
      </c>
      <c r="L366" s="251">
        <f t="array" ref="L366">INDEX('SUR - ESTER'!L:L, MATCH(S366,'SUR - ESTER'!K:K, 0), )</f>
        <v>0</v>
      </c>
      <c r="M366" s="251">
        <f t="array" ref="M366">INDEX('SUR - ESTER'!M:M, MATCH(S366,'SUR - ESTER'!K:K, 0), )</f>
        <v>0</v>
      </c>
      <c r="N366" s="258">
        <f t="array" ref="N366">INDEX('SUR - ESTER'!N:N, MATCH(S366,'SUR - ESTER'!K:K, 0), )</f>
        <v>0</v>
      </c>
      <c r="O366" s="253">
        <f t="array" ref="O366">INDEX('SUR - ESTER'!O:O, MATCH(S366,'SUR - ESTER'!K:K, 0), )</f>
        <v>0</v>
      </c>
      <c r="P366" s="236">
        <v>-14.815611111111112</v>
      </c>
      <c r="Q366" s="236">
        <v>-74.937638888888898</v>
      </c>
      <c r="R366" s="243" t="s">
        <v>1895</v>
      </c>
      <c r="S366" s="246" t="s">
        <v>1897</v>
      </c>
      <c r="U366" s="245"/>
    </row>
    <row r="367" spans="1:21" ht="17.25" customHeight="1">
      <c r="A367" s="236">
        <v>366</v>
      </c>
      <c r="B367" s="256" t="str">
        <f t="array" ref="B367">INDEX('SUR - ESTER'!B:B, MATCH(S367,'SUR - ESTER'!K:K, 0), )</f>
        <v>Nuñoa</v>
      </c>
      <c r="C367" s="156" t="str">
        <f t="array" ref="C367">INDEX('SUR - ESTER'!C:C, MATCH(S367,'SUR - ESTER'!K:K, 0), )</f>
        <v>Puno</v>
      </c>
      <c r="D367" s="156" t="str">
        <f t="array" ref="D367">INDEX('SUR - ESTER'!D:D, MATCH(S367,'SUR - ESTER'!K:K, 0), )</f>
        <v>FM</v>
      </c>
      <c r="E367" s="156" t="str">
        <f t="array" ref="E367">INDEX('SUR - ESTER'!E:E, MATCH(S367,'SUR - ESTER'!K:K, 0), )</f>
        <v>98,3</v>
      </c>
      <c r="F367" s="156">
        <f t="array" ref="F367">INDEX('SUR - ESTER'!F:F, MATCH(S367,'SUR - ESTER'!K:K, 0), )</f>
        <v>138</v>
      </c>
      <c r="G367" s="159" t="str">
        <f t="array" ref="G367">INDEX('SUR - ESTER'!G:G, MATCH(S367,'SUR - ESTER'!K:K, 0), )</f>
        <v>A.A</v>
      </c>
      <c r="H367" s="238" t="str">
        <f t="array" ref="H367">INDEX('SUR - ESTER'!H:H, MATCH(S367,'SUR - ESTER'!K:K, 0), )</f>
        <v>NUÑOA</v>
      </c>
      <c r="I367" s="239" t="str">
        <f t="array" ref="I367">INDEX('SUR - ESTER'!I:I, MATCH(S367,'SUR - ESTER'!K:K, 0), )</f>
        <v>1/10/2025 - Sectoristas - Opera con Normalidad</v>
      </c>
      <c r="J367" s="257">
        <f t="array" ref="J367">INDEX('SUR - ESTER'!J:J, MATCH(S367,'SUR - ESTER'!K:K, 0), )</f>
        <v>0</v>
      </c>
      <c r="K367" s="156" t="str">
        <f t="array" ref="K367">INDEX('SUR - ESTER'!K:K, MATCH(S367,'SUR - ESTER'!K:K, 0), )</f>
        <v>E - 91</v>
      </c>
      <c r="L367" s="251">
        <f t="array" ref="L367">INDEX('SUR - ESTER'!L:L, MATCH(S367,'SUR - ESTER'!K:K, 0), )</f>
        <v>0</v>
      </c>
      <c r="M367" s="251">
        <f t="array" ref="M367">INDEX('SUR - ESTER'!M:M, MATCH(S367,'SUR - ESTER'!K:K, 0), )</f>
        <v>0</v>
      </c>
      <c r="N367" s="258">
        <f t="array" ref="N367">INDEX('SUR - ESTER'!N:N, MATCH(S367,'SUR - ESTER'!K:K, 0), )</f>
        <v>0</v>
      </c>
      <c r="O367" s="253">
        <f t="array" ref="O367">INDEX('SUR - ESTER'!O:O, MATCH(S367,'SUR - ESTER'!K:K, 0), )</f>
        <v>0</v>
      </c>
      <c r="P367" s="236">
        <v>-14.479833333333334</v>
      </c>
      <c r="Q367" s="236">
        <v>-70.637944444444457</v>
      </c>
      <c r="R367" s="243" t="s">
        <v>1898</v>
      </c>
      <c r="S367" s="246" t="s">
        <v>1899</v>
      </c>
      <c r="U367" s="245"/>
    </row>
    <row r="368" spans="1:21" ht="17.25" customHeight="1">
      <c r="A368" s="236">
        <v>367</v>
      </c>
      <c r="B368" s="256" t="str">
        <f t="array" ref="B368">INDEX('SUR - ESTER'!B:B, MATCH(S368,'SUR - ESTER'!K:K, 0), )</f>
        <v>Ocobamba</v>
      </c>
      <c r="C368" s="156" t="str">
        <f t="array" ref="C368">INDEX('SUR - ESTER'!C:C, MATCH(S368,'SUR - ESTER'!K:K, 0), )</f>
        <v>Apurimac</v>
      </c>
      <c r="D368" s="156" t="str">
        <f t="array" ref="D368">INDEX('SUR - ESTER'!D:D, MATCH(S368,'SUR - ESTER'!K:K, 0), )</f>
        <v>FM</v>
      </c>
      <c r="E368" s="156" t="str">
        <f t="array" ref="E368">INDEX('SUR - ESTER'!E:E, MATCH(S368,'SUR - ESTER'!K:K, 0), )</f>
        <v>97,3</v>
      </c>
      <c r="F368" s="156">
        <f t="array" ref="F368">INDEX('SUR - ESTER'!F:F, MATCH(S368,'SUR - ESTER'!K:K, 0), )</f>
        <v>22</v>
      </c>
      <c r="G368" s="159" t="str">
        <f t="array" ref="G368">INDEX('SUR - ESTER'!G:G, MATCH(S368,'SUR - ESTER'!K:K, 0), )</f>
        <v>A.A</v>
      </c>
      <c r="H368" s="238" t="str">
        <f t="array" ref="H368">INDEX('SUR - ESTER'!H:H, MATCH(S368,'SUR - ESTER'!K:K, 0), )</f>
        <v>OCOBAMBA</v>
      </c>
      <c r="I368" s="239" t="str">
        <f t="array" ref="I368">INDEX('SUR - ESTER'!I:I, MATCH(S368,'SUR - ESTER'!K:K, 0), )</f>
        <v>1/09/2025 - Sectoristas - Opera con normalidad</v>
      </c>
      <c r="J368" s="257">
        <f t="array" ref="J368">INDEX('SUR - ESTER'!J:J, MATCH(S368,'SUR - ESTER'!K:K, 0), )</f>
        <v>0</v>
      </c>
      <c r="K368" s="156" t="str">
        <f t="array" ref="K368">INDEX('SUR - ESTER'!K:K, MATCH(S368,'SUR - ESTER'!K:K, 0), )</f>
        <v>E - 92</v>
      </c>
      <c r="L368" s="251">
        <f t="array" ref="L368">INDEX('SUR - ESTER'!L:L, MATCH(S368,'SUR - ESTER'!K:K, 0), )</f>
        <v>0</v>
      </c>
      <c r="M368" s="251">
        <f t="array" ref="M368">INDEX('SUR - ESTER'!M:M, MATCH(S368,'SUR - ESTER'!K:K, 0), )</f>
        <v>0</v>
      </c>
      <c r="N368" s="258">
        <f t="array" ref="N368">INDEX('SUR - ESTER'!N:N, MATCH(S368,'SUR - ESTER'!K:K, 0), )</f>
        <v>0</v>
      </c>
      <c r="O368" s="253">
        <f t="array" ref="O368">INDEX('SUR - ESTER'!O:O, MATCH(S368,'SUR - ESTER'!K:K, 0), )</f>
        <v>0</v>
      </c>
      <c r="P368" s="236">
        <v>-13.455611111111111</v>
      </c>
      <c r="Q368" s="236">
        <v>-73.585555555555544</v>
      </c>
      <c r="R368" s="243" t="s">
        <v>1900</v>
      </c>
      <c r="S368" s="246" t="s">
        <v>1901</v>
      </c>
      <c r="U368" s="245"/>
    </row>
    <row r="369" spans="1:21" ht="17.25" customHeight="1">
      <c r="A369" s="236">
        <v>368</v>
      </c>
      <c r="B369" s="256" t="str">
        <f t="array" ref="B369">INDEX('SUR - ESTER'!B:B, MATCH(S369,'SUR - ESTER'!K:K, 0), )</f>
        <v>Ocobamba</v>
      </c>
      <c r="C369" s="156" t="str">
        <f t="array" ref="C369">INDEX('SUR - ESTER'!C:C, MATCH(S369,'SUR - ESTER'!K:K, 0), )</f>
        <v>Apurimac</v>
      </c>
      <c r="D369" s="156" t="str">
        <f t="array" ref="D369">INDEX('SUR - ESTER'!D:D, MATCH(S369,'SUR - ESTER'!K:K, 0), )</f>
        <v>VHF</v>
      </c>
      <c r="E369" s="156">
        <f t="array" ref="E369">INDEX('SUR - ESTER'!E:E, MATCH(S369,'SUR - ESTER'!K:K, 0), )</f>
        <v>13</v>
      </c>
      <c r="F369" s="156">
        <f t="array" ref="F369">INDEX('SUR - ESTER'!F:F, MATCH(S369,'SUR - ESTER'!K:K, 0), )</f>
        <v>22</v>
      </c>
      <c r="G369" s="159" t="str">
        <f t="array" ref="G369">INDEX('SUR - ESTER'!G:G, MATCH(S369,'SUR - ESTER'!K:K, 0), )</f>
        <v>A.A</v>
      </c>
      <c r="H369" s="238" t="str">
        <f t="array" ref="H369">INDEX('SUR - ESTER'!H:H, MATCH(S369,'SUR - ESTER'!K:K, 0), )</f>
        <v>OCOBAMBA</v>
      </c>
      <c r="I369" s="239" t="str">
        <f t="array" ref="I369">INDEX('SUR - ESTER'!I:I, MATCH(S369,'SUR - ESTER'!K:K, 0), )</f>
        <v>1/09/2025 - Sectoristas - Opera con normalidad</v>
      </c>
      <c r="J369" s="257">
        <f t="array" ref="J369">INDEX('SUR - ESTER'!J:J, MATCH(S369,'SUR - ESTER'!K:K, 0), )</f>
        <v>0</v>
      </c>
      <c r="K369" s="156" t="str">
        <f t="array" ref="K369">INDEX('SUR - ESTER'!K:K, MATCH(S369,'SUR - ESTER'!K:K, 0), )</f>
        <v>E - 93</v>
      </c>
      <c r="L369" s="251">
        <f t="array" ref="L369">INDEX('SUR - ESTER'!L:L, MATCH(S369,'SUR - ESTER'!K:K, 0), )</f>
        <v>0</v>
      </c>
      <c r="M369" s="251">
        <f t="array" ref="M369">INDEX('SUR - ESTER'!M:M, MATCH(S369,'SUR - ESTER'!K:K, 0), )</f>
        <v>0</v>
      </c>
      <c r="N369" s="258">
        <f t="array" ref="N369">INDEX('SUR - ESTER'!N:N, MATCH(S369,'SUR - ESTER'!K:K, 0), )</f>
        <v>0</v>
      </c>
      <c r="O369" s="253">
        <f t="array" ref="O369">INDEX('SUR - ESTER'!O:O, MATCH(S369,'SUR - ESTER'!K:K, 0), )</f>
        <v>0</v>
      </c>
      <c r="P369" s="236">
        <v>-13.455611111111111</v>
      </c>
      <c r="Q369" s="236">
        <v>-73.585555555555544</v>
      </c>
      <c r="R369" s="243" t="s">
        <v>1900</v>
      </c>
      <c r="S369" s="246" t="s">
        <v>1902</v>
      </c>
      <c r="U369" s="245"/>
    </row>
    <row r="370" spans="1:21" ht="17.25" customHeight="1">
      <c r="A370" s="236">
        <v>369</v>
      </c>
      <c r="B370" s="256" t="str">
        <f t="array" ref="B370">INDEX('SUR - ESTER'!B:B, MATCH(S370,'SUR - ESTER'!K:K, 0), )</f>
        <v>Ocongate</v>
      </c>
      <c r="C370" s="156" t="str">
        <f t="array" ref="C370">INDEX('SUR - ESTER'!C:C, MATCH(S370,'SUR - ESTER'!K:K, 0), )</f>
        <v>Cusco</v>
      </c>
      <c r="D370" s="156" t="str">
        <f t="array" ref="D370">INDEX('SUR - ESTER'!D:D, MATCH(S370,'SUR - ESTER'!K:K, 0), )</f>
        <v>FM</v>
      </c>
      <c r="E370" s="156" t="str">
        <f t="array" ref="E370">INDEX('SUR - ESTER'!E:E, MATCH(S370,'SUR - ESTER'!K:K, 0), )</f>
        <v>99,3</v>
      </c>
      <c r="F370" s="156">
        <f t="array" ref="F370">INDEX('SUR - ESTER'!F:F, MATCH(S370,'SUR - ESTER'!K:K, 0), )</f>
        <v>21</v>
      </c>
      <c r="G370" s="159" t="str">
        <f t="array" ref="G370">INDEX('SUR - ESTER'!G:G, MATCH(S370,'SUR - ESTER'!K:K, 0), )</f>
        <v>F.A</v>
      </c>
      <c r="H370" s="238" t="str">
        <f t="array" ref="H370">INDEX('SUR - ESTER'!H:H, MATCH(S370,'SUR - ESTER'!K:K, 0), )</f>
        <v>OCONGATE</v>
      </c>
      <c r="I370" s="239" t="str">
        <f t="array" ref="I370">INDEX('SUR - ESTER'!I:I, MATCH(S370,'SUR - ESTER'!K:K, 0), )</f>
        <v>31/10/2025 - Sectoristas - Se ingreso la solic. de cambio de ubicacion, la esposa del pastor de la zona informo que estan construyendo la caseta en la nueva ubicacion y que el dia lunes 17/11 levantaran la torre.</v>
      </c>
      <c r="J370" s="257" t="str">
        <f t="array" ref="J370">INDEX('SUR - ESTER'!J:J, MATCH(S370,'SUR - ESTER'!K:K, 0), )</f>
        <v>presupuesto: le falta casi la mitad de la implementacion</v>
      </c>
      <c r="K370" s="156" t="str">
        <f t="array" ref="K370">INDEX('SUR - ESTER'!K:K, MATCH(S370,'SUR - ESTER'!K:K, 0), )</f>
        <v>E - 94</v>
      </c>
      <c r="L370" s="251">
        <f t="array" ref="L370">INDEX('SUR - ESTER'!L:L, MATCH(S370,'SUR - ESTER'!K:K, 0), )</f>
        <v>0</v>
      </c>
      <c r="M370" s="251">
        <f t="array" ref="M370">INDEX('SUR - ESTER'!M:M, MATCH(S370,'SUR - ESTER'!K:K, 0), )</f>
        <v>0</v>
      </c>
      <c r="N370" s="258">
        <f t="array" ref="N370">INDEX('SUR - ESTER'!N:N, MATCH(S370,'SUR - ESTER'!K:K, 0), )</f>
        <v>7000</v>
      </c>
      <c r="O370" s="253">
        <f t="array" ref="O370">INDEX('SUR - ESTER'!O:O, MATCH(S370,'SUR - ESTER'!K:K, 0), )</f>
        <v>0</v>
      </c>
      <c r="P370" s="236">
        <v>-13.63185</v>
      </c>
      <c r="Q370" s="236">
        <v>-71.384883333333335</v>
      </c>
      <c r="R370" s="243" t="s">
        <v>1903</v>
      </c>
      <c r="S370" s="246" t="s">
        <v>1238</v>
      </c>
      <c r="U370" s="245"/>
    </row>
    <row r="371" spans="1:21" ht="17.25" customHeight="1">
      <c r="A371" s="236">
        <v>370</v>
      </c>
      <c r="B371" s="256" t="str">
        <f t="array" ref="B371">INDEX('SUR - ESTER'!B:B, MATCH(S371,'SUR - ESTER'!K:K, 0), )</f>
        <v>Ocoña</v>
      </c>
      <c r="C371" s="156" t="str">
        <f t="array" ref="C371">INDEX('SUR - ESTER'!C:C, MATCH(S371,'SUR - ESTER'!K:K, 0), )</f>
        <v>Arequipa</v>
      </c>
      <c r="D371" s="156" t="str">
        <f t="array" ref="D371">INDEX('SUR - ESTER'!D:D, MATCH(S371,'SUR - ESTER'!K:K, 0), )</f>
        <v>FM</v>
      </c>
      <c r="E371" s="156" t="str">
        <f t="array" ref="E371">INDEX('SUR - ESTER'!E:E, MATCH(S371,'SUR - ESTER'!K:K, 0), )</f>
        <v>96,9</v>
      </c>
      <c r="F371" s="156">
        <f t="array" ref="F371">INDEX('SUR - ESTER'!F:F, MATCH(S371,'SUR - ESTER'!K:K, 0), )</f>
        <v>40</v>
      </c>
      <c r="G371" s="159" t="str">
        <f t="array" ref="G371">INDEX('SUR - ESTER'!G:G, MATCH(S371,'SUR - ESTER'!K:K, 0), )</f>
        <v>A.A</v>
      </c>
      <c r="H371" s="238" t="str">
        <f t="array" ref="H371">INDEX('SUR - ESTER'!H:H, MATCH(S371,'SUR - ESTER'!K:K, 0), )</f>
        <v>OCOÑA</v>
      </c>
      <c r="I371" s="239" t="str">
        <f t="array" ref="I371">INDEX('SUR - ESTER'!I:I, MATCH(S371,'SUR - ESTER'!K:K, 0), )</f>
        <v>11/11/2025 - Sectoristas - Opera con normalidad / Inf. Ps. Santos Wilfredo Figueroa (Presbitero)</v>
      </c>
      <c r="J371" s="257">
        <f t="array" ref="J371">INDEX('SUR - ESTER'!J:J, MATCH(S371,'SUR - ESTER'!K:K, 0), )</f>
        <v>0</v>
      </c>
      <c r="K371" s="156" t="str">
        <f t="array" ref="K371">INDEX('SUR - ESTER'!K:K, MATCH(S371,'SUR - ESTER'!K:K, 0), )</f>
        <v>E - 95</v>
      </c>
      <c r="L371" s="251" t="str">
        <f t="array" ref="L371">INDEX('SUR - ESTER'!L:L, MATCH(S371,'SUR - ESTER'!K:K, 0), )</f>
        <v>Sectoristas</v>
      </c>
      <c r="M371" s="251" t="str">
        <f t="array" ref="M371">INDEX('SUR - ESTER'!M:M, MATCH(S371,'SUR - ESTER'!K:K, 0), )</f>
        <v>Nivel 1</v>
      </c>
      <c r="N371" s="258">
        <f t="array" ref="N371">INDEX('SUR - ESTER'!N:N, MATCH(S371,'SUR - ESTER'!K:K, 0), )</f>
        <v>0</v>
      </c>
      <c r="O371" s="253">
        <f t="array" ref="O371">INDEX('SUR - ESTER'!O:O, MATCH(S371,'SUR - ESTER'!K:K, 0), )</f>
        <v>0</v>
      </c>
      <c r="P371" s="236">
        <v>-16.436005555555557</v>
      </c>
      <c r="Q371" s="236">
        <v>-73.106741666666665</v>
      </c>
      <c r="R371" s="243" t="s">
        <v>1904</v>
      </c>
      <c r="S371" s="246" t="s">
        <v>1905</v>
      </c>
      <c r="U371" s="245"/>
    </row>
    <row r="372" spans="1:21" ht="17.25" customHeight="1">
      <c r="A372" s="236">
        <v>371</v>
      </c>
      <c r="B372" s="256" t="str">
        <f t="array" ref="B372">INDEX('SUR - ESTER'!B:B, MATCH(S372,'SUR - ESTER'!K:K, 0), )</f>
        <v>Omate</v>
      </c>
      <c r="C372" s="156" t="str">
        <f t="array" ref="C372">INDEX('SUR - ESTER'!C:C, MATCH(S372,'SUR - ESTER'!K:K, 0), )</f>
        <v>Moquegua</v>
      </c>
      <c r="D372" s="156" t="str">
        <f t="array" ref="D372">INDEX('SUR - ESTER'!D:D, MATCH(S372,'SUR - ESTER'!K:K, 0), )</f>
        <v>FM</v>
      </c>
      <c r="E372" s="156" t="str">
        <f t="array" ref="E372">INDEX('SUR - ESTER'!E:E, MATCH(S372,'SUR - ESTER'!K:K, 0), )</f>
        <v>95,3</v>
      </c>
      <c r="F372" s="156">
        <f t="array" ref="F372">INDEX('SUR - ESTER'!F:F, MATCH(S372,'SUR - ESTER'!K:K, 0), )</f>
        <v>94</v>
      </c>
      <c r="G372" s="159" t="str">
        <f t="array" ref="G372">INDEX('SUR - ESTER'!G:G, MATCH(S372,'SUR - ESTER'!K:K, 0), )</f>
        <v>A.A</v>
      </c>
      <c r="H372" s="238" t="str">
        <f t="array" ref="H372">INDEX('SUR - ESTER'!H:H, MATCH(S372,'SUR - ESTER'!K:K, 0), )</f>
        <v>OMATE</v>
      </c>
      <c r="I372" s="239" t="str">
        <f t="array" ref="I372">INDEX('SUR - ESTER'!I:I, MATCH(S372,'SUR - ESTER'!K:K, 0), )</f>
        <v>16/09/2025 - Sectoristas - OPERA CON NORMALIDAD</v>
      </c>
      <c r="J372" s="257">
        <f t="array" ref="J372">INDEX('SUR - ESTER'!J:J, MATCH(S372,'SUR - ESTER'!K:K, 0), )</f>
        <v>0</v>
      </c>
      <c r="K372" s="156" t="str">
        <f t="array" ref="K372">INDEX('SUR - ESTER'!K:K, MATCH(S372,'SUR - ESTER'!K:K, 0), )</f>
        <v>E - 96</v>
      </c>
      <c r="L372" s="251">
        <f t="array" ref="L372">INDEX('SUR - ESTER'!L:L, MATCH(S372,'SUR - ESTER'!K:K, 0), )</f>
        <v>0</v>
      </c>
      <c r="M372" s="251">
        <f t="array" ref="M372">INDEX('SUR - ESTER'!M:M, MATCH(S372,'SUR - ESTER'!K:K, 0), )</f>
        <v>0</v>
      </c>
      <c r="N372" s="258">
        <f t="array" ref="N372">INDEX('SUR - ESTER'!N:N, MATCH(S372,'SUR - ESTER'!K:K, 0), )</f>
        <v>0</v>
      </c>
      <c r="O372" s="253">
        <f t="array" ref="O372">INDEX('SUR - ESTER'!O:O, MATCH(S372,'SUR - ESTER'!K:K, 0), )</f>
        <v>0</v>
      </c>
      <c r="P372" s="236">
        <v>-16.647500000000001</v>
      </c>
      <c r="Q372" s="236">
        <v>-70.961916666666667</v>
      </c>
      <c r="R372" s="243" t="s">
        <v>1906</v>
      </c>
      <c r="S372" s="246" t="s">
        <v>1907</v>
      </c>
      <c r="U372" s="245"/>
    </row>
    <row r="373" spans="1:21" ht="17.25" customHeight="1">
      <c r="A373" s="236">
        <v>372</v>
      </c>
      <c r="B373" s="256" t="str">
        <f t="array" ref="B373">INDEX('SUR - ESTER'!B:B, MATCH(S373,'SUR - ESTER'!K:K, 0), )</f>
        <v>Orcopampa</v>
      </c>
      <c r="C373" s="156" t="str">
        <f t="array" ref="C373">INDEX('SUR - ESTER'!C:C, MATCH(S373,'SUR - ESTER'!K:K, 0), )</f>
        <v>Arequipa</v>
      </c>
      <c r="D373" s="156" t="str">
        <f t="array" ref="D373">INDEX('SUR - ESTER'!D:D, MATCH(S373,'SUR - ESTER'!K:K, 0), )</f>
        <v>FM</v>
      </c>
      <c r="E373" s="156" t="str">
        <f t="array" ref="E373">INDEX('SUR - ESTER'!E:E, MATCH(S373,'SUR - ESTER'!K:K, 0), )</f>
        <v>103,9</v>
      </c>
      <c r="F373" s="156">
        <f t="array" ref="F373">INDEX('SUR - ESTER'!F:F, MATCH(S373,'SUR - ESTER'!K:K, 0), )</f>
        <v>125</v>
      </c>
      <c r="G373" s="159" t="str">
        <f t="array" ref="G373">INDEX('SUR - ESTER'!G:G, MATCH(S373,'SUR - ESTER'!K:K, 0), )</f>
        <v>A.A</v>
      </c>
      <c r="H373" s="238" t="str">
        <f t="array" ref="H373">INDEX('SUR - ESTER'!H:H, MATCH(S373,'SUR - ESTER'!K:K, 0), )</f>
        <v>ORCOPAMPA</v>
      </c>
      <c r="I373" s="239" t="str">
        <f t="array" ref="I373">INDEX('SUR - ESTER'!I:I, MATCH(S373,'SUR - ESTER'!K:K, 0), )</f>
        <v>29/10/2025 - Sectoristas - El tecnico Manuel E, hizo una visita y dijo que la estacion estaba operando con normalidad.</v>
      </c>
      <c r="J373" s="257">
        <f t="array" ref="J373">INDEX('SUR - ESTER'!J:J, MATCH(S373,'SUR - ESTER'!K:K, 0), )</f>
        <v>0</v>
      </c>
      <c r="K373" s="156" t="str">
        <f t="array" ref="K373">INDEX('SUR - ESTER'!K:K, MATCH(S373,'SUR - ESTER'!K:K, 0), )</f>
        <v>E - 97</v>
      </c>
      <c r="L373" s="251">
        <f t="array" ref="L373">INDEX('SUR - ESTER'!L:L, MATCH(S373,'SUR - ESTER'!K:K, 0), )</f>
        <v>0</v>
      </c>
      <c r="M373" s="251">
        <f t="array" ref="M373">INDEX('SUR - ESTER'!M:M, MATCH(S373,'SUR - ESTER'!K:K, 0), )</f>
        <v>0</v>
      </c>
      <c r="N373" s="258">
        <f t="array" ref="N373">INDEX('SUR - ESTER'!N:N, MATCH(S373,'SUR - ESTER'!K:K, 0), )</f>
        <v>0</v>
      </c>
      <c r="O373" s="253">
        <f t="array" ref="O373">INDEX('SUR - ESTER'!O:O, MATCH(S373,'SUR - ESTER'!K:K, 0), )</f>
        <v>0</v>
      </c>
      <c r="P373" s="236">
        <v>-15.269930555555556</v>
      </c>
      <c r="Q373" s="236">
        <v>-72.337297222222219</v>
      </c>
      <c r="R373" s="243" t="s">
        <v>1908</v>
      </c>
      <c r="S373" s="246" t="s">
        <v>1909</v>
      </c>
      <c r="U373" s="245"/>
    </row>
    <row r="374" spans="1:21" ht="17.25" customHeight="1">
      <c r="A374" s="236">
        <v>373</v>
      </c>
      <c r="B374" s="256" t="str">
        <f t="array" ref="B374">INDEX('SUR - ESTER'!B:B, MATCH(S374,'SUR - ESTER'!K:K, 0), )</f>
        <v>Orcopampa</v>
      </c>
      <c r="C374" s="156" t="str">
        <f t="array" ref="C374">INDEX('SUR - ESTER'!C:C, MATCH(S374,'SUR - ESTER'!K:K, 0), )</f>
        <v>Arequipa</v>
      </c>
      <c r="D374" s="156" t="str">
        <f t="array" ref="D374">INDEX('SUR - ESTER'!D:D, MATCH(S374,'SUR - ESTER'!K:K, 0), )</f>
        <v>VHF</v>
      </c>
      <c r="E374" s="156">
        <f t="array" ref="E374">INDEX('SUR - ESTER'!E:E, MATCH(S374,'SUR - ESTER'!K:K, 0), )</f>
        <v>11</v>
      </c>
      <c r="F374" s="156">
        <f t="array" ref="F374">INDEX('SUR - ESTER'!F:F, MATCH(S374,'SUR - ESTER'!K:K, 0), )</f>
        <v>125</v>
      </c>
      <c r="G374" s="159" t="str">
        <f t="array" ref="G374">INDEX('SUR - ESTER'!G:G, MATCH(S374,'SUR - ESTER'!K:K, 0), )</f>
        <v>A.A</v>
      </c>
      <c r="H374" s="238" t="str">
        <f t="array" ref="H374">INDEX('SUR - ESTER'!H:H, MATCH(S374,'SUR - ESTER'!K:K, 0), )</f>
        <v>ORCOPAMPA</v>
      </c>
      <c r="I374" s="239" t="str">
        <f t="array" ref="I374">INDEX('SUR - ESTER'!I:I, MATCH(S374,'SUR - ESTER'!K:K, 0), )</f>
        <v>14/11/2025 - Sectoristas - Opera con normalidad / Inf. Ps. Moises Camacho</v>
      </c>
      <c r="J374" s="257">
        <f t="array" ref="J374">INDEX('SUR - ESTER'!J:J, MATCH(S374,'SUR - ESTER'!K:K, 0), )</f>
        <v>0</v>
      </c>
      <c r="K374" s="156" t="str">
        <f t="array" ref="K374">INDEX('SUR - ESTER'!K:K, MATCH(S374,'SUR - ESTER'!K:K, 0), )</f>
        <v>E - 98</v>
      </c>
      <c r="L374" s="251">
        <f t="array" ref="L374">INDEX('SUR - ESTER'!L:L, MATCH(S374,'SUR - ESTER'!K:K, 0), )</f>
        <v>0</v>
      </c>
      <c r="M374" s="251">
        <f t="array" ref="M374">INDEX('SUR - ESTER'!M:M, MATCH(S374,'SUR - ESTER'!K:K, 0), )</f>
        <v>0</v>
      </c>
      <c r="N374" s="258">
        <f t="array" ref="N374">INDEX('SUR - ESTER'!N:N, MATCH(S374,'SUR - ESTER'!K:K, 0), )</f>
        <v>0</v>
      </c>
      <c r="O374" s="253">
        <f t="array" ref="O374">INDEX('SUR - ESTER'!O:O, MATCH(S374,'SUR - ESTER'!K:K, 0), )</f>
        <v>0</v>
      </c>
      <c r="R374" s="248"/>
      <c r="S374" s="246" t="s">
        <v>1910</v>
      </c>
      <c r="U374" s="245"/>
    </row>
    <row r="375" spans="1:21" ht="17.25" customHeight="1">
      <c r="A375" s="236">
        <v>374</v>
      </c>
      <c r="B375" s="256" t="str">
        <f t="array" ref="B375">INDEX('SUR - ESTER'!B:B, MATCH(S375,'SUR - ESTER'!K:K, 0), )</f>
        <v>Pacucha</v>
      </c>
      <c r="C375" s="156" t="str">
        <f t="array" ref="C375">INDEX('SUR - ESTER'!C:C, MATCH(S375,'SUR - ESTER'!K:K, 0), )</f>
        <v>Apurimac</v>
      </c>
      <c r="D375" s="156" t="str">
        <f t="array" ref="D375">INDEX('SUR - ESTER'!D:D, MATCH(S375,'SUR - ESTER'!K:K, 0), )</f>
        <v>FM</v>
      </c>
      <c r="E375" s="156" t="str">
        <f t="array" ref="E375">INDEX('SUR - ESTER'!E:E, MATCH(S375,'SUR - ESTER'!K:K, 0), )</f>
        <v>96,5</v>
      </c>
      <c r="F375" s="156">
        <f t="array" ref="F375">INDEX('SUR - ESTER'!F:F, MATCH(S375,'SUR - ESTER'!K:K, 0), )</f>
        <v>22</v>
      </c>
      <c r="G375" s="159" t="str">
        <f t="array" ref="G375">INDEX('SUR - ESTER'!G:G, MATCH(S375,'SUR - ESTER'!K:K, 0), )</f>
        <v>A.A</v>
      </c>
      <c r="H375" s="238" t="str">
        <f t="array" ref="H375">INDEX('SUR - ESTER'!H:H, MATCH(S375,'SUR - ESTER'!K:K, 0), )</f>
        <v>PACUCHA</v>
      </c>
      <c r="I375" s="239" t="str">
        <f t="array" ref="I375">INDEX('SUR - ESTER'!I:I, MATCH(S375,'SUR - ESTER'!K:K, 0), )</f>
        <v>1/09/2025 - Sectoristas - Opera con normalidad</v>
      </c>
      <c r="J375" s="257">
        <f t="array" ref="J375">INDEX('SUR - ESTER'!J:J, MATCH(S375,'SUR - ESTER'!K:K, 0), )</f>
        <v>0</v>
      </c>
      <c r="K375" s="156" t="str">
        <f t="array" ref="K375">INDEX('SUR - ESTER'!K:K, MATCH(S375,'SUR - ESTER'!K:K, 0), )</f>
        <v>E - 99</v>
      </c>
      <c r="L375" s="251">
        <f t="array" ref="L375">INDEX('SUR - ESTER'!L:L, MATCH(S375,'SUR - ESTER'!K:K, 0), )</f>
        <v>0</v>
      </c>
      <c r="M375" s="251">
        <f t="array" ref="M375">INDEX('SUR - ESTER'!M:M, MATCH(S375,'SUR - ESTER'!K:K, 0), )</f>
        <v>0</v>
      </c>
      <c r="N375" s="258">
        <f t="array" ref="N375">INDEX('SUR - ESTER'!N:N, MATCH(S375,'SUR - ESTER'!K:K, 0), )</f>
        <v>0</v>
      </c>
      <c r="O375" s="253">
        <f t="array" ref="O375">INDEX('SUR - ESTER'!O:O, MATCH(S375,'SUR - ESTER'!K:K, 0), )</f>
        <v>0</v>
      </c>
      <c r="P375" s="236">
        <v>-13.618194444444445</v>
      </c>
      <c r="Q375" s="236">
        <v>-73.299361111111111</v>
      </c>
      <c r="R375" s="243" t="s">
        <v>1911</v>
      </c>
      <c r="S375" s="246" t="s">
        <v>1912</v>
      </c>
      <c r="U375" s="245"/>
    </row>
    <row r="376" spans="1:21" ht="17.25" customHeight="1">
      <c r="A376" s="236">
        <v>375</v>
      </c>
      <c r="B376" s="256" t="str">
        <f t="array" ref="B376">INDEX('SUR - ESTER'!B:B, MATCH(S376,'SUR - ESTER'!K:K, 0), )</f>
        <v>Pacucha</v>
      </c>
      <c r="C376" s="156" t="str">
        <f t="array" ref="C376">INDEX('SUR - ESTER'!C:C, MATCH(S376,'SUR - ESTER'!K:K, 0), )</f>
        <v>Apurimac</v>
      </c>
      <c r="D376" s="156" t="str">
        <f t="array" ref="D376">INDEX('SUR - ESTER'!D:D, MATCH(S376,'SUR - ESTER'!K:K, 0), )</f>
        <v>VHF</v>
      </c>
      <c r="E376" s="156">
        <f t="array" ref="E376">INDEX('SUR - ESTER'!E:E, MATCH(S376,'SUR - ESTER'!K:K, 0), )</f>
        <v>6</v>
      </c>
      <c r="F376" s="156">
        <f t="array" ref="F376">INDEX('SUR - ESTER'!F:F, MATCH(S376,'SUR - ESTER'!K:K, 0), )</f>
        <v>22</v>
      </c>
      <c r="G376" s="159" t="str">
        <f t="array" ref="G376">INDEX('SUR - ESTER'!G:G, MATCH(S376,'SUR - ESTER'!K:K, 0), )</f>
        <v>A.A</v>
      </c>
      <c r="H376" s="238" t="str">
        <f t="array" ref="H376">INDEX('SUR - ESTER'!H:H, MATCH(S376,'SUR - ESTER'!K:K, 0), )</f>
        <v>PACUCHA</v>
      </c>
      <c r="I376" s="239" t="str">
        <f t="array" ref="I376">INDEX('SUR - ESTER'!I:I, MATCH(S376,'SUR - ESTER'!K:K, 0), )</f>
        <v>1/09/2025 - Sectoristas - Opera con normalidad</v>
      </c>
      <c r="J376" s="257">
        <f t="array" ref="J376">INDEX('SUR - ESTER'!J:J, MATCH(S376,'SUR - ESTER'!K:K, 0), )</f>
        <v>0</v>
      </c>
      <c r="K376" s="156" t="str">
        <f t="array" ref="K376">INDEX('SUR - ESTER'!K:K, MATCH(S376,'SUR - ESTER'!K:K, 0), )</f>
        <v>E - 100</v>
      </c>
      <c r="L376" s="251">
        <f t="array" ref="L376">INDEX('SUR - ESTER'!L:L, MATCH(S376,'SUR - ESTER'!K:K, 0), )</f>
        <v>0</v>
      </c>
      <c r="M376" s="251">
        <f t="array" ref="M376">INDEX('SUR - ESTER'!M:M, MATCH(S376,'SUR - ESTER'!K:K, 0), )</f>
        <v>0</v>
      </c>
      <c r="N376" s="258">
        <f t="array" ref="N376">INDEX('SUR - ESTER'!N:N, MATCH(S376,'SUR - ESTER'!K:K, 0), )</f>
        <v>0</v>
      </c>
      <c r="O376" s="253">
        <f t="array" ref="O376">INDEX('SUR - ESTER'!O:O, MATCH(S376,'SUR - ESTER'!K:K, 0), )</f>
        <v>0</v>
      </c>
      <c r="P376" s="236">
        <v>-13.618194444444445</v>
      </c>
      <c r="Q376" s="236">
        <v>-73.299361111111111</v>
      </c>
      <c r="R376" s="243" t="s">
        <v>1911</v>
      </c>
      <c r="S376" s="246" t="s">
        <v>1913</v>
      </c>
      <c r="U376" s="245"/>
    </row>
    <row r="377" spans="1:21" ht="17.25" customHeight="1">
      <c r="A377" s="236">
        <v>376</v>
      </c>
      <c r="B377" s="256" t="str">
        <f t="array" ref="B377">INDEX('SUR - ESTER'!B:B, MATCH(S377,'SUR - ESTER'!K:K, 0), )</f>
        <v>Palma Real - Echerate</v>
      </c>
      <c r="C377" s="156" t="str">
        <f t="array" ref="C377">INDEX('SUR - ESTER'!C:C, MATCH(S377,'SUR - ESTER'!K:K, 0), )</f>
        <v>Cusco</v>
      </c>
      <c r="D377" s="156" t="str">
        <f t="array" ref="D377">INDEX('SUR - ESTER'!D:D, MATCH(S377,'SUR - ESTER'!K:K, 0), )</f>
        <v>FM</v>
      </c>
      <c r="E377" s="156" t="str">
        <f t="array" ref="E377">INDEX('SUR - ESTER'!E:E, MATCH(S377,'SUR - ESTER'!K:K, 0), )</f>
        <v>106,3</v>
      </c>
      <c r="F377" s="156">
        <f t="array" ref="F377">INDEX('SUR - ESTER'!F:F, MATCH(S377,'SUR - ESTER'!K:K, 0), )</f>
        <v>92</v>
      </c>
      <c r="G377" s="159" t="str">
        <f t="array" ref="G377">INDEX('SUR - ESTER'!G:G, MATCH(S377,'SUR - ESTER'!K:K, 0), )</f>
        <v>A.A</v>
      </c>
      <c r="H377" s="238" t="str">
        <f t="array" ref="H377">INDEX('SUR - ESTER'!H:H, MATCH(S377,'SUR - ESTER'!K:K, 0), )</f>
        <v>PAMLA REAL</v>
      </c>
      <c r="I377" s="239" t="str">
        <f t="array" ref="I377">INDEX('SUR - ESTER'!I:I, MATCH(S377,'SUR - ESTER'!K:K, 0), )</f>
        <v>1/09/2025 - Sectoristas - Opera con normalidad</v>
      </c>
      <c r="J377" s="257">
        <f t="array" ref="J377">INDEX('SUR - ESTER'!J:J, MATCH(S377,'SUR - ESTER'!K:K, 0), )</f>
        <v>0</v>
      </c>
      <c r="K377" s="156" t="str">
        <f t="array" ref="K377">INDEX('SUR - ESTER'!K:K, MATCH(S377,'SUR - ESTER'!K:K, 0), )</f>
        <v>E - 101</v>
      </c>
      <c r="L377" s="251">
        <f t="array" ref="L377">INDEX('SUR - ESTER'!L:L, MATCH(S377,'SUR - ESTER'!K:K, 0), )</f>
        <v>0</v>
      </c>
      <c r="M377" s="251">
        <f t="array" ref="M377">INDEX('SUR - ESTER'!M:M, MATCH(S377,'SUR - ESTER'!K:K, 0), )</f>
        <v>0</v>
      </c>
      <c r="N377" s="258">
        <f t="array" ref="N377">INDEX('SUR - ESTER'!N:N, MATCH(S377,'SUR - ESTER'!K:K, 0), )</f>
        <v>0</v>
      </c>
      <c r="O377" s="253">
        <f t="array" ref="O377">INDEX('SUR - ESTER'!O:O, MATCH(S377,'SUR - ESTER'!K:K, 0), )</f>
        <v>0</v>
      </c>
      <c r="P377" s="236">
        <v>-12.648524999999999</v>
      </c>
      <c r="Q377" s="236">
        <v>-72.701455555555555</v>
      </c>
      <c r="R377" s="243" t="s">
        <v>1914</v>
      </c>
      <c r="S377" s="246" t="s">
        <v>1915</v>
      </c>
      <c r="U377" s="245"/>
    </row>
    <row r="378" spans="1:21" ht="17.25" customHeight="1">
      <c r="A378" s="236">
        <v>377</v>
      </c>
      <c r="B378" s="256" t="str">
        <f t="array" ref="B378">INDEX('SUR - ESTER'!B:B, MATCH(S378,'SUR - ESTER'!K:K, 0), )</f>
        <v>Palpa</v>
      </c>
      <c r="C378" s="156" t="str">
        <f t="array" ref="C378">INDEX('SUR - ESTER'!C:C, MATCH(S378,'SUR - ESTER'!K:K, 0), )</f>
        <v>Ica</v>
      </c>
      <c r="D378" s="156" t="str">
        <f t="array" ref="D378">INDEX('SUR - ESTER'!D:D, MATCH(S378,'SUR - ESTER'!K:K, 0), )</f>
        <v>FM</v>
      </c>
      <c r="E378" s="156" t="str">
        <f t="array" ref="E378">INDEX('SUR - ESTER'!E:E, MATCH(S378,'SUR - ESTER'!K:K, 0), )</f>
        <v>95,5</v>
      </c>
      <c r="F378" s="156">
        <f t="array" ref="F378">INDEX('SUR - ESTER'!F:F, MATCH(S378,'SUR - ESTER'!K:K, 0), )</f>
        <v>65</v>
      </c>
      <c r="G378" s="159" t="str">
        <f t="array" ref="G378">INDEX('SUR - ESTER'!G:G, MATCH(S378,'SUR - ESTER'!K:K, 0), )</f>
        <v>A.A</v>
      </c>
      <c r="H378" s="238" t="str">
        <f t="array" ref="H378">INDEX('SUR - ESTER'!H:H, MATCH(S378,'SUR - ESTER'!K:K, 0), )</f>
        <v>PALPA</v>
      </c>
      <c r="I378" s="239" t="str">
        <f t="array" ref="I378">INDEX('SUR - ESTER'!I:I, MATCH(S378,'SUR - ESTER'!K:K, 0), )</f>
        <v>15/10/2025 - Sectoristas - Opera con normalidad</v>
      </c>
      <c r="J378" s="257">
        <f t="array" ref="J378">INDEX('SUR - ESTER'!J:J, MATCH(S378,'SUR - ESTER'!K:K, 0), )</f>
        <v>0</v>
      </c>
      <c r="K378" s="156" t="str">
        <f t="array" ref="K378">INDEX('SUR - ESTER'!K:K, MATCH(S378,'SUR - ESTER'!K:K, 0), )</f>
        <v>E - 102</v>
      </c>
      <c r="L378" s="251">
        <f t="array" ref="L378">INDEX('SUR - ESTER'!L:L, MATCH(S378,'SUR - ESTER'!K:K, 0), )</f>
        <v>0</v>
      </c>
      <c r="M378" s="251">
        <f t="array" ref="M378">INDEX('SUR - ESTER'!M:M, MATCH(S378,'SUR - ESTER'!K:K, 0), )</f>
        <v>0</v>
      </c>
      <c r="N378" s="258">
        <f t="array" ref="N378">INDEX('SUR - ESTER'!N:N, MATCH(S378,'SUR - ESTER'!K:K, 0), )</f>
        <v>0</v>
      </c>
      <c r="O378" s="253">
        <f t="array" ref="O378">INDEX('SUR - ESTER'!O:O, MATCH(S378,'SUR - ESTER'!K:K, 0), )</f>
        <v>0</v>
      </c>
      <c r="P378" s="236">
        <v>-14.523250000000001</v>
      </c>
      <c r="Q378" s="236">
        <v>-75.196555555555562</v>
      </c>
      <c r="R378" s="243" t="s">
        <v>1916</v>
      </c>
      <c r="S378" s="246" t="s">
        <v>1917</v>
      </c>
      <c r="U378" s="245"/>
    </row>
    <row r="379" spans="1:21" ht="17.25" customHeight="1">
      <c r="A379" s="236">
        <v>378</v>
      </c>
      <c r="B379" s="256" t="str">
        <f t="array" ref="B379">INDEX('SUR - ESTER'!B:B, MATCH(S379,'SUR - ESTER'!K:K, 0), )</f>
        <v>Pampacolca / Machaguay</v>
      </c>
      <c r="C379" s="156" t="str">
        <f t="array" ref="C379">INDEX('SUR - ESTER'!C:C, MATCH(S379,'SUR - ESTER'!K:K, 0), )</f>
        <v>Arequipa</v>
      </c>
      <c r="D379" s="156" t="str">
        <f t="array" ref="D379">INDEX('SUR - ESTER'!D:D, MATCH(S379,'SUR - ESTER'!K:K, 0), )</f>
        <v>FM</v>
      </c>
      <c r="E379" s="156" t="str">
        <f t="array" ref="E379">INDEX('SUR - ESTER'!E:E, MATCH(S379,'SUR - ESTER'!K:K, 0), )</f>
        <v>92,9</v>
      </c>
      <c r="F379" s="156">
        <f t="array" ref="F379">INDEX('SUR - ESTER'!F:F, MATCH(S379,'SUR - ESTER'!K:K, 0), )</f>
        <v>39</v>
      </c>
      <c r="G379" s="159" t="str">
        <f t="array" ref="G379">INDEX('SUR - ESTER'!G:G, MATCH(S379,'SUR - ESTER'!K:K, 0), )</f>
        <v>A.A</v>
      </c>
      <c r="H379" s="238" t="str">
        <f t="array" ref="H379">INDEX('SUR - ESTER'!H:H, MATCH(S379,'SUR - ESTER'!K:K, 0), )</f>
        <v>PAMPACOLCA</v>
      </c>
      <c r="I379" s="239" t="str">
        <f t="array" ref="I379">INDEX('SUR - ESTER'!I:I, MATCH(S379,'SUR - ESTER'!K:K, 0), )</f>
        <v>1/10/2025 - Sectoristas - Opera con Normalidad</v>
      </c>
      <c r="J379" s="257">
        <f t="array" ref="J379">INDEX('SUR - ESTER'!J:J, MATCH(S379,'SUR - ESTER'!K:K, 0), )</f>
        <v>0</v>
      </c>
      <c r="K379" s="156" t="str">
        <f t="array" ref="K379">INDEX('SUR - ESTER'!K:K, MATCH(S379,'SUR - ESTER'!K:K, 0), )</f>
        <v>E - 103</v>
      </c>
      <c r="L379" s="251">
        <f t="array" ref="L379">INDEX('SUR - ESTER'!L:L, MATCH(S379,'SUR - ESTER'!K:K, 0), )</f>
        <v>0</v>
      </c>
      <c r="M379" s="251">
        <f t="array" ref="M379">INDEX('SUR - ESTER'!M:M, MATCH(S379,'SUR - ESTER'!K:K, 0), )</f>
        <v>0</v>
      </c>
      <c r="N379" s="258">
        <f t="array" ref="N379">INDEX('SUR - ESTER'!N:N, MATCH(S379,'SUR - ESTER'!K:K, 0), )</f>
        <v>0</v>
      </c>
      <c r="O379" s="253">
        <f t="array" ref="O379">INDEX('SUR - ESTER'!O:O, MATCH(S379,'SUR - ESTER'!K:K, 0), )</f>
        <v>0</v>
      </c>
      <c r="P379" s="236">
        <v>-15.648183333333332</v>
      </c>
      <c r="Q379" s="236">
        <v>-72.505986111111113</v>
      </c>
      <c r="R379" s="243" t="s">
        <v>1918</v>
      </c>
      <c r="S379" s="246" t="s">
        <v>1919</v>
      </c>
      <c r="U379" s="245"/>
    </row>
    <row r="380" spans="1:21" ht="17.25" customHeight="1">
      <c r="A380" s="236">
        <v>379</v>
      </c>
      <c r="B380" s="256" t="str">
        <f t="array" ref="B380">INDEX('SUR - ESTER'!B:B, MATCH(S380,'SUR - ESTER'!K:K, 0), )</f>
        <v>Paruro</v>
      </c>
      <c r="C380" s="156" t="str">
        <f t="array" ref="C380">INDEX('SUR - ESTER'!C:C, MATCH(S380,'SUR - ESTER'!K:K, 0), )</f>
        <v>Cusco</v>
      </c>
      <c r="D380" s="156" t="str">
        <f t="array" ref="D380">INDEX('SUR - ESTER'!D:D, MATCH(S380,'SUR - ESTER'!K:K, 0), )</f>
        <v>VHF</v>
      </c>
      <c r="E380" s="156">
        <f t="array" ref="E380">INDEX('SUR - ESTER'!E:E, MATCH(S380,'SUR - ESTER'!K:K, 0), )</f>
        <v>4</v>
      </c>
      <c r="F380" s="156">
        <f t="array" ref="F380">INDEX('SUR - ESTER'!F:F, MATCH(S380,'SUR - ESTER'!K:K, 0), )</f>
        <v>21</v>
      </c>
      <c r="G380" s="159" t="str">
        <f t="array" ref="G380">INDEX('SUR - ESTER'!G:G, MATCH(S380,'SUR - ESTER'!K:K, 0), )</f>
        <v>A.A</v>
      </c>
      <c r="H380" s="238" t="str">
        <f t="array" ref="H380">INDEX('SUR - ESTER'!H:H, MATCH(S380,'SUR - ESTER'!K:K, 0), )</f>
        <v>PARURO</v>
      </c>
      <c r="I380" s="239" t="str">
        <f t="array" ref="I380">INDEX('SUR - ESTER'!I:I, MATCH(S380,'SUR - ESTER'!K:K, 0), )</f>
        <v>2/09/2025 - Sectoristas - Opera con normalidad / local alquilado</v>
      </c>
      <c r="J380" s="257">
        <f t="array" ref="J380">INDEX('SUR - ESTER'!J:J, MATCH(S380,'SUR - ESTER'!K:K, 0), )</f>
        <v>0</v>
      </c>
      <c r="K380" s="156" t="str">
        <f t="array" ref="K380">INDEX('SUR - ESTER'!K:K, MATCH(S380,'SUR - ESTER'!K:K, 0), )</f>
        <v>E - 104</v>
      </c>
      <c r="L380" s="251">
        <f t="array" ref="L380">INDEX('SUR - ESTER'!L:L, MATCH(S380,'SUR - ESTER'!K:K, 0), )</f>
        <v>0</v>
      </c>
      <c r="M380" s="251">
        <f t="array" ref="M380">INDEX('SUR - ESTER'!M:M, MATCH(S380,'SUR - ESTER'!K:K, 0), )</f>
        <v>0</v>
      </c>
      <c r="N380" s="258">
        <f t="array" ref="N380">INDEX('SUR - ESTER'!N:N, MATCH(S380,'SUR - ESTER'!K:K, 0), )</f>
        <v>0</v>
      </c>
      <c r="O380" s="253">
        <f t="array" ref="O380">INDEX('SUR - ESTER'!O:O, MATCH(S380,'SUR - ESTER'!K:K, 0), )</f>
        <v>0</v>
      </c>
      <c r="P380" s="236">
        <v>-13.761333333333333</v>
      </c>
      <c r="Q380" s="236">
        <v>-71.850305555555551</v>
      </c>
      <c r="R380" s="243" t="s">
        <v>1920</v>
      </c>
      <c r="S380" s="246" t="s">
        <v>1921</v>
      </c>
      <c r="U380" s="245"/>
    </row>
    <row r="381" spans="1:21" ht="17.25" customHeight="1">
      <c r="A381" s="236">
        <v>380</v>
      </c>
      <c r="B381" s="256" t="str">
        <f t="array" ref="B381">INDEX('SUR - ESTER'!B:B, MATCH(S381,'SUR - ESTER'!K:K, 0), )</f>
        <v>Paucartambo</v>
      </c>
      <c r="C381" s="156" t="str">
        <f t="array" ref="C381">INDEX('SUR - ESTER'!C:C, MATCH(S381,'SUR - ESTER'!K:K, 0), )</f>
        <v>Cusco</v>
      </c>
      <c r="D381" s="156" t="str">
        <f t="array" ref="D381">INDEX('SUR - ESTER'!D:D, MATCH(S381,'SUR - ESTER'!K:K, 0), )</f>
        <v>VHF</v>
      </c>
      <c r="E381" s="156">
        <f t="array" ref="E381">INDEX('SUR - ESTER'!E:E, MATCH(S381,'SUR - ESTER'!K:K, 0), )</f>
        <v>7</v>
      </c>
      <c r="F381" s="156">
        <f t="array" ref="F381">INDEX('SUR - ESTER'!F:F, MATCH(S381,'SUR - ESTER'!K:K, 0), )</f>
        <v>21</v>
      </c>
      <c r="G381" s="159" t="str">
        <f t="array" ref="G381">INDEX('SUR - ESTER'!G:G, MATCH(S381,'SUR - ESTER'!K:K, 0), )</f>
        <v>A.A</v>
      </c>
      <c r="H381" s="238" t="str">
        <f t="array" ref="H381">INDEX('SUR - ESTER'!H:H, MATCH(S381,'SUR - ESTER'!K:K, 0), )</f>
        <v>PAUCARTAMBO</v>
      </c>
      <c r="I381" s="239" t="str">
        <f t="array" ref="I381">INDEX('SUR - ESTER'!I:I, MATCH(S381,'SUR - ESTER'!K:K, 0), )</f>
        <v>2/09/2025 - Sectoristas - Opera con normalidad / se cambio el deco y se dejo al aire</v>
      </c>
      <c r="J381" s="257">
        <f t="array" ref="J381">INDEX('SUR - ESTER'!J:J, MATCH(S381,'SUR - ESTER'!K:K, 0), )</f>
        <v>0</v>
      </c>
      <c r="K381" s="156" t="str">
        <f t="array" ref="K381">INDEX('SUR - ESTER'!K:K, MATCH(S381,'SUR - ESTER'!K:K, 0), )</f>
        <v>E - 105</v>
      </c>
      <c r="L381" s="251">
        <f t="array" ref="L381">INDEX('SUR - ESTER'!L:L, MATCH(S381,'SUR - ESTER'!K:K, 0), )</f>
        <v>0</v>
      </c>
      <c r="M381" s="251">
        <f t="array" ref="M381">INDEX('SUR - ESTER'!M:M, MATCH(S381,'SUR - ESTER'!K:K, 0), )</f>
        <v>0</v>
      </c>
      <c r="N381" s="258">
        <f t="array" ref="N381">INDEX('SUR - ESTER'!N:N, MATCH(S381,'SUR - ESTER'!K:K, 0), )</f>
        <v>0</v>
      </c>
      <c r="O381" s="253">
        <f t="array" ref="O381">INDEX('SUR - ESTER'!O:O, MATCH(S381,'SUR - ESTER'!K:K, 0), )</f>
        <v>0</v>
      </c>
      <c r="P381" s="236">
        <v>-13.308075000000001</v>
      </c>
      <c r="Q381" s="236">
        <v>-71.586838888888877</v>
      </c>
      <c r="R381" s="243" t="s">
        <v>1922</v>
      </c>
      <c r="S381" s="246" t="s">
        <v>1923</v>
      </c>
      <c r="U381" s="245"/>
    </row>
    <row r="382" spans="1:21" ht="17.25" customHeight="1">
      <c r="A382" s="236">
        <v>381</v>
      </c>
      <c r="B382" s="256" t="str">
        <f t="array" ref="B382">INDEX('SUR - ESTER'!B:B, MATCH(S382,'SUR - ESTER'!K:K, 0), )</f>
        <v>Paucartambo</v>
      </c>
      <c r="C382" s="156" t="str">
        <f t="array" ref="C382">INDEX('SUR - ESTER'!C:C, MATCH(S382,'SUR - ESTER'!K:K, 0), )</f>
        <v>Cusco</v>
      </c>
      <c r="D382" s="156" t="str">
        <f t="array" ref="D382">INDEX('SUR - ESTER'!D:D, MATCH(S382,'SUR - ESTER'!K:K, 0), )</f>
        <v>FM</v>
      </c>
      <c r="E382" s="156" t="str">
        <f t="array" ref="E382">INDEX('SUR - ESTER'!E:E, MATCH(S382,'SUR - ESTER'!K:K, 0), )</f>
        <v>97,7</v>
      </c>
      <c r="F382" s="156">
        <f t="array" ref="F382">INDEX('SUR - ESTER'!F:F, MATCH(S382,'SUR - ESTER'!K:K, 0), )</f>
        <v>21</v>
      </c>
      <c r="G382" s="159" t="str">
        <f t="array" ref="G382">INDEX('SUR - ESTER'!G:G, MATCH(S382,'SUR - ESTER'!K:K, 0), )</f>
        <v>F.A</v>
      </c>
      <c r="H382" s="238" t="str">
        <f t="array" ref="H382">INDEX('SUR - ESTER'!H:H, MATCH(S382,'SUR - ESTER'!K:K, 0), )</f>
        <v>PAUCARTAMBO</v>
      </c>
      <c r="I382" s="239" t="str">
        <f t="array" ref="I382">INDEX('SUR - ESTER'!I:I, MATCH(S382,'SUR - ESTER'!K:K, 0), )</f>
        <v>25/11/2025 - Sectoristas - El pastor indico que el decodificador exploto, estara en la compra de ello</v>
      </c>
      <c r="J382" s="257">
        <f t="array" ref="J382">INDEX('SUR - ESTER'!J:J, MATCH(S382,'SUR - ESTER'!K:K, 0), )</f>
        <v>0</v>
      </c>
      <c r="K382" s="156" t="str">
        <f t="array" ref="K382">INDEX('SUR - ESTER'!K:K, MATCH(S382,'SUR - ESTER'!K:K, 0), )</f>
        <v>E - 106</v>
      </c>
      <c r="L382" s="251" t="str">
        <f t="array" ref="L382">INDEX('SUR - ESTER'!L:L, MATCH(S382,'SUR - ESTER'!K:K, 0), )</f>
        <v>Iglesia Local</v>
      </c>
      <c r="M382" s="251" t="str">
        <f t="array" ref="M382">INDEX('SUR - ESTER'!M:M, MATCH(S382,'SUR - ESTER'!K:K, 0), )</f>
        <v>Nivel 1</v>
      </c>
      <c r="N382" s="258">
        <f t="array" ref="N382">INDEX('SUR - ESTER'!N:N, MATCH(S382,'SUR - ESTER'!K:K, 0), )</f>
        <v>165</v>
      </c>
      <c r="O382" s="253">
        <f t="array" ref="O382">INDEX('SUR - ESTER'!O:O, MATCH(S382,'SUR - ESTER'!K:K, 0), )</f>
        <v>0</v>
      </c>
      <c r="P382" s="236">
        <v>-13.308075000000001</v>
      </c>
      <c r="Q382" s="236">
        <v>-71.586838888888877</v>
      </c>
      <c r="R382" s="243" t="s">
        <v>1922</v>
      </c>
      <c r="S382" s="246" t="s">
        <v>1241</v>
      </c>
      <c r="U382" s="245"/>
    </row>
    <row r="383" spans="1:21" ht="17.25" customHeight="1">
      <c r="A383" s="236">
        <v>382</v>
      </c>
      <c r="B383" s="256" t="str">
        <f t="array" ref="B383">INDEX('SUR - ESTER'!B:B, MATCH(S383,'SUR - ESTER'!K:K, 0), )</f>
        <v>Pedregal - Majes</v>
      </c>
      <c r="C383" s="156" t="str">
        <f t="array" ref="C383">INDEX('SUR - ESTER'!C:C, MATCH(S383,'SUR - ESTER'!K:K, 0), )</f>
        <v>Arequipa</v>
      </c>
      <c r="D383" s="156" t="str">
        <f t="array" ref="D383">INDEX('SUR - ESTER'!D:D, MATCH(S383,'SUR - ESTER'!K:K, 0), )</f>
        <v>FM</v>
      </c>
      <c r="E383" s="156" t="str">
        <f t="array" ref="E383">INDEX('SUR - ESTER'!E:E, MATCH(S383,'SUR - ESTER'!K:K, 0), )</f>
        <v>106,5</v>
      </c>
      <c r="F383" s="156">
        <f t="array" ref="F383">INDEX('SUR - ESTER'!F:F, MATCH(S383,'SUR - ESTER'!K:K, 0), )</f>
        <v>39</v>
      </c>
      <c r="G383" s="159" t="str">
        <f t="array" ref="G383">INDEX('SUR - ESTER'!G:G, MATCH(S383,'SUR - ESTER'!K:K, 0), )</f>
        <v>A.A</v>
      </c>
      <c r="H383" s="238" t="str">
        <f t="array" ref="H383">INDEX('SUR - ESTER'!H:H, MATCH(S383,'SUR - ESTER'!K:K, 0), )</f>
        <v>PEDREGAL</v>
      </c>
      <c r="I383" s="239" t="str">
        <f t="array" ref="I383">INDEX('SUR - ESTER'!I:I, MATCH(S383,'SUR - ESTER'!K:K, 0), )</f>
        <v>1/10/2025 - Sectoristas - Opera con Normalidad</v>
      </c>
      <c r="J383" s="257">
        <f t="array" ref="J383">INDEX('SUR - ESTER'!J:J, MATCH(S383,'SUR - ESTER'!K:K, 0), )</f>
        <v>0</v>
      </c>
      <c r="K383" s="156" t="str">
        <f t="array" ref="K383">INDEX('SUR - ESTER'!K:K, MATCH(S383,'SUR - ESTER'!K:K, 0), )</f>
        <v>E - 107</v>
      </c>
      <c r="L383" s="251">
        <f t="array" ref="L383">INDEX('SUR - ESTER'!L:L, MATCH(S383,'SUR - ESTER'!K:K, 0), )</f>
        <v>0</v>
      </c>
      <c r="M383" s="251">
        <f t="array" ref="M383">INDEX('SUR - ESTER'!M:M, MATCH(S383,'SUR - ESTER'!K:K, 0), )</f>
        <v>0</v>
      </c>
      <c r="N383" s="258">
        <f t="array" ref="N383">INDEX('SUR - ESTER'!N:N, MATCH(S383,'SUR - ESTER'!K:K, 0), )</f>
        <v>0</v>
      </c>
      <c r="O383" s="253">
        <f t="array" ref="O383">INDEX('SUR - ESTER'!O:O, MATCH(S383,'SUR - ESTER'!K:K, 0), )</f>
        <v>0</v>
      </c>
      <c r="P383" s="236">
        <v>-16.337666666666667</v>
      </c>
      <c r="Q383" s="236">
        <v>-72.20975</v>
      </c>
      <c r="R383" s="243" t="s">
        <v>1924</v>
      </c>
      <c r="S383" s="246" t="s">
        <v>1925</v>
      </c>
      <c r="U383" s="245"/>
    </row>
    <row r="384" spans="1:21" ht="17.25" customHeight="1">
      <c r="A384" s="236">
        <v>383</v>
      </c>
      <c r="B384" s="256" t="str">
        <f t="array" ref="B384">INDEX('SUR - ESTER'!B:B, MATCH(S384,'SUR - ESTER'!K:K, 0), )</f>
        <v>Pedregal - Majes</v>
      </c>
      <c r="C384" s="156" t="str">
        <f t="array" ref="C384">INDEX('SUR - ESTER'!C:C, MATCH(S384,'SUR - ESTER'!K:K, 0), )</f>
        <v>Arequipa</v>
      </c>
      <c r="D384" s="156" t="str">
        <f t="array" ref="D384">INDEX('SUR - ESTER'!D:D, MATCH(S384,'SUR - ESTER'!K:K, 0), )</f>
        <v>VHF</v>
      </c>
      <c r="E384" s="156">
        <f t="array" ref="E384">INDEX('SUR - ESTER'!E:E, MATCH(S384,'SUR - ESTER'!K:K, 0), )</f>
        <v>4</v>
      </c>
      <c r="F384" s="156">
        <f t="array" ref="F384">INDEX('SUR - ESTER'!F:F, MATCH(S384,'SUR - ESTER'!K:K, 0), )</f>
        <v>39</v>
      </c>
      <c r="G384" s="159" t="str">
        <f t="array" ref="G384">INDEX('SUR - ESTER'!G:G, MATCH(S384,'SUR - ESTER'!K:K, 0), )</f>
        <v>A.A</v>
      </c>
      <c r="H384" s="238" t="str">
        <f t="array" ref="H384">INDEX('SUR - ESTER'!H:H, MATCH(S384,'SUR - ESTER'!K:K, 0), )</f>
        <v>PEDREGAL</v>
      </c>
      <c r="I384" s="239" t="str">
        <f t="array" ref="I384">INDEX('SUR - ESTER'!I:I, MATCH(S384,'SUR - ESTER'!K:K, 0), )</f>
        <v>29/10/2025 - Sectoristas - El dia viernes 24/10 se le pidio al pastor que apagara el trasmisor analogico, la señal TDT opera con normalidad.</v>
      </c>
      <c r="J384" s="257">
        <f t="array" ref="J384">INDEX('SUR - ESTER'!J:J, MATCH(S384,'SUR - ESTER'!K:K, 0), )</f>
        <v>0</v>
      </c>
      <c r="K384" s="156" t="str">
        <f t="array" ref="K384">INDEX('SUR - ESTER'!K:K, MATCH(S384,'SUR - ESTER'!K:K, 0), )</f>
        <v>E - 108</v>
      </c>
      <c r="L384" s="251">
        <f t="array" ref="L384">INDEX('SUR - ESTER'!L:L, MATCH(S384,'SUR - ESTER'!K:K, 0), )</f>
        <v>0</v>
      </c>
      <c r="M384" s="251">
        <f t="array" ref="M384">INDEX('SUR - ESTER'!M:M, MATCH(S384,'SUR - ESTER'!K:K, 0), )</f>
        <v>0</v>
      </c>
      <c r="N384" s="258">
        <f t="array" ref="N384">INDEX('SUR - ESTER'!N:N, MATCH(S384,'SUR - ESTER'!K:K, 0), )</f>
        <v>0</v>
      </c>
      <c r="O384" s="253">
        <f t="array" ref="O384">INDEX('SUR - ESTER'!O:O, MATCH(S384,'SUR - ESTER'!K:K, 0), )</f>
        <v>0</v>
      </c>
      <c r="P384" s="236">
        <v>-16.337666666666667</v>
      </c>
      <c r="Q384" s="236">
        <v>-72.20975</v>
      </c>
      <c r="R384" s="243" t="s">
        <v>1924</v>
      </c>
      <c r="S384" s="246" t="s">
        <v>1926</v>
      </c>
      <c r="U384" s="245"/>
    </row>
    <row r="385" spans="1:21" ht="17.25" customHeight="1">
      <c r="A385" s="236">
        <v>384</v>
      </c>
      <c r="B385" s="256" t="str">
        <f t="array" ref="B385">INDEX('SUR - ESTER'!B:B, MATCH(S385,'SUR - ESTER'!K:K, 0), )</f>
        <v>Pisco</v>
      </c>
      <c r="C385" s="156" t="str">
        <f t="array" ref="C385">INDEX('SUR - ESTER'!C:C, MATCH(S385,'SUR - ESTER'!K:K, 0), )</f>
        <v>Ica</v>
      </c>
      <c r="D385" s="156" t="str">
        <f t="array" ref="D385">INDEX('SUR - ESTER'!D:D, MATCH(S385,'SUR - ESTER'!K:K, 0), )</f>
        <v>VHF</v>
      </c>
      <c r="E385" s="156">
        <f t="array" ref="E385">INDEX('SUR - ESTER'!E:E, MATCH(S385,'SUR - ESTER'!K:K, 0), )</f>
        <v>10</v>
      </c>
      <c r="F385" s="156">
        <f t="array" ref="F385">INDEX('SUR - ESTER'!F:F, MATCH(S385,'SUR - ESTER'!K:K, 0), )</f>
        <v>66</v>
      </c>
      <c r="G385" s="159" t="str">
        <f t="array" ref="G385">INDEX('SUR - ESTER'!G:G, MATCH(S385,'SUR - ESTER'!K:K, 0), )</f>
        <v>A.A</v>
      </c>
      <c r="H385" s="238" t="str">
        <f t="array" ref="H385">INDEX('SUR - ESTER'!H:H, MATCH(S385,'SUR - ESTER'!K:K, 0), )</f>
        <v>PISCO</v>
      </c>
      <c r="I385" s="239" t="str">
        <f t="array" ref="I385">INDEX('SUR - ESTER'!I:I, MATCH(S385,'SUR - ESTER'!K:K, 0), )</f>
        <v>17/11/2025 - Sectoristas - Opera con normalidad / Info. Manuel Valdivia</v>
      </c>
      <c r="J385" s="257">
        <f t="array" ref="J385">INDEX('SUR - ESTER'!J:J, MATCH(S385,'SUR - ESTER'!K:K, 0), )</f>
        <v>0</v>
      </c>
      <c r="K385" s="156" t="str">
        <f t="array" ref="K385">INDEX('SUR - ESTER'!K:K, MATCH(S385,'SUR - ESTER'!K:K, 0), )</f>
        <v>E - 109</v>
      </c>
      <c r="L385" s="251">
        <f t="array" ref="L385">INDEX('SUR - ESTER'!L:L, MATCH(S385,'SUR - ESTER'!K:K, 0), )</f>
        <v>0</v>
      </c>
      <c r="M385" s="251">
        <f t="array" ref="M385">INDEX('SUR - ESTER'!M:M, MATCH(S385,'SUR - ESTER'!K:K, 0), )</f>
        <v>0</v>
      </c>
      <c r="N385" s="258">
        <f t="array" ref="N385">INDEX('SUR - ESTER'!N:N, MATCH(S385,'SUR - ESTER'!K:K, 0), )</f>
        <v>0</v>
      </c>
      <c r="O385" s="253">
        <f t="array" ref="O385">INDEX('SUR - ESTER'!O:O, MATCH(S385,'SUR - ESTER'!K:K, 0), )</f>
        <v>0</v>
      </c>
      <c r="P385" s="236">
        <v>-13.713063888888888</v>
      </c>
      <c r="Q385" s="236">
        <v>-76.183383333333339</v>
      </c>
      <c r="R385" s="243" t="s">
        <v>1927</v>
      </c>
      <c r="S385" s="246" t="s">
        <v>1928</v>
      </c>
      <c r="U385" s="245"/>
    </row>
    <row r="386" spans="1:21" ht="17.25" customHeight="1">
      <c r="A386" s="236">
        <v>385</v>
      </c>
      <c r="B386" s="256" t="str">
        <f t="array" ref="B386">INDEX('SUR - ESTER'!B:B, MATCH(S386,'SUR - ESTER'!K:K, 0), )</f>
        <v>Pisco</v>
      </c>
      <c r="C386" s="156" t="str">
        <f t="array" ref="C386">INDEX('SUR - ESTER'!C:C, MATCH(S386,'SUR - ESTER'!K:K, 0), )</f>
        <v>Ica</v>
      </c>
      <c r="D386" s="156" t="str">
        <f t="array" ref="D386">INDEX('SUR - ESTER'!D:D, MATCH(S386,'SUR - ESTER'!K:K, 0), )</f>
        <v>FM</v>
      </c>
      <c r="E386" s="156">
        <f t="array" ref="E386">INDEX('SUR - ESTER'!E:E, MATCH(S386,'SUR - ESTER'!K:K, 0), )</f>
        <v>99.5</v>
      </c>
      <c r="F386" s="156">
        <f t="array" ref="F386">INDEX('SUR - ESTER'!F:F, MATCH(S386,'SUR - ESTER'!K:K, 0), )</f>
        <v>66</v>
      </c>
      <c r="G386" s="159" t="str">
        <f t="array" ref="G386">INDEX('SUR - ESTER'!G:G, MATCH(S386,'SUR - ESTER'!K:K, 0), )</f>
        <v>A.A</v>
      </c>
      <c r="H386" s="238" t="str">
        <f t="array" ref="H386">INDEX('SUR - ESTER'!H:H, MATCH(S386,'SUR - ESTER'!K:K, 0), )</f>
        <v>PISCO</v>
      </c>
      <c r="I386" s="239" t="str">
        <f t="array" ref="I386">INDEX('SUR - ESTER'!I:I, MATCH(S386,'SUR - ESTER'!K:K, 0), )</f>
        <v>11/11/2025 - Sectoristas - Opera con normalidad - Inf. Ps. Manuel Valdivia</v>
      </c>
      <c r="J386" s="257">
        <f t="array" ref="J386">INDEX('SUR - ESTER'!J:J, MATCH(S386,'SUR - ESTER'!K:K, 0), )</f>
        <v>0</v>
      </c>
      <c r="K386" s="156" t="str">
        <f t="array" ref="K386">INDEX('SUR - ESTER'!K:K, MATCH(S386,'SUR - ESTER'!K:K, 0), )</f>
        <v>E - 110</v>
      </c>
      <c r="L386" s="251" t="str">
        <f t="array" ref="L386">INDEX('SUR - ESTER'!L:L, MATCH(S386,'SUR - ESTER'!K:K, 0), )</f>
        <v>Sectoristas</v>
      </c>
      <c r="M386" s="251" t="str">
        <f t="array" ref="M386">INDEX('SUR - ESTER'!M:M, MATCH(S386,'SUR - ESTER'!K:K, 0), )</f>
        <v>Nivel 1</v>
      </c>
      <c r="N386" s="258">
        <f t="array" ref="N386">INDEX('SUR - ESTER'!N:N, MATCH(S386,'SUR - ESTER'!K:K, 0), )</f>
        <v>0</v>
      </c>
      <c r="O386" s="253">
        <f t="array" ref="O386">INDEX('SUR - ESTER'!O:O, MATCH(S386,'SUR - ESTER'!K:K, 0), )</f>
        <v>0</v>
      </c>
      <c r="P386" s="236">
        <v>-13.713063888888888</v>
      </c>
      <c r="Q386" s="236">
        <v>-76.183383333333339</v>
      </c>
      <c r="R386" s="243" t="s">
        <v>1927</v>
      </c>
      <c r="S386" s="246" t="s">
        <v>1929</v>
      </c>
      <c r="U386" s="245"/>
    </row>
    <row r="387" spans="1:21" ht="17.25" customHeight="1">
      <c r="A387" s="236">
        <v>386</v>
      </c>
      <c r="B387" s="256" t="str">
        <f t="array" ref="B387">INDEX('SUR - ESTER'!B:B, MATCH(S387,'SUR - ESTER'!K:K, 0), )</f>
        <v>Planchon - Las Piedras</v>
      </c>
      <c r="C387" s="156" t="str">
        <f t="array" ref="C387">INDEX('SUR - ESTER'!C:C, MATCH(S387,'SUR - ESTER'!K:K, 0), )</f>
        <v>Madre de Dios</v>
      </c>
      <c r="D387" s="156" t="str">
        <f t="array" ref="D387">INDEX('SUR - ESTER'!D:D, MATCH(S387,'SUR - ESTER'!K:K, 0), )</f>
        <v>FM</v>
      </c>
      <c r="E387" s="156" t="str">
        <f t="array" ref="E387">INDEX('SUR - ESTER'!E:E, MATCH(S387,'SUR - ESTER'!K:K, 0), )</f>
        <v>90,5</v>
      </c>
      <c r="F387" s="156">
        <f t="array" ref="F387">INDEX('SUR - ESTER'!F:F, MATCH(S387,'SUR - ESTER'!K:K, 0), )</f>
        <v>34</v>
      </c>
      <c r="G387" s="159" t="str">
        <f t="array" ref="G387">INDEX('SUR - ESTER'!G:G, MATCH(S387,'SUR - ESTER'!K:K, 0), )</f>
        <v>A.A</v>
      </c>
      <c r="H387" s="238" t="str">
        <f t="array" ref="H387">INDEX('SUR - ESTER'!H:H, MATCH(S387,'SUR - ESTER'!K:K, 0), )</f>
        <v>PLANCHON</v>
      </c>
      <c r="I387" s="239" t="str">
        <f t="array" ref="I387">INDEX('SUR - ESTER'!I:I, MATCH(S387,'SUR - ESTER'!K:K, 0), )</f>
        <v>10/10/2025 - Sectoristas - Opera con normalidad</v>
      </c>
      <c r="J387" s="257">
        <f t="array" ref="J387">INDEX('SUR - ESTER'!J:J, MATCH(S387,'SUR - ESTER'!K:K, 0), )</f>
        <v>0</v>
      </c>
      <c r="K387" s="156" t="str">
        <f t="array" ref="K387">INDEX('SUR - ESTER'!K:K, MATCH(S387,'SUR - ESTER'!K:K, 0), )</f>
        <v>E - 111</v>
      </c>
      <c r="L387" s="251">
        <f t="array" ref="L387">INDEX('SUR - ESTER'!L:L, MATCH(S387,'SUR - ESTER'!K:K, 0), )</f>
        <v>0</v>
      </c>
      <c r="M387" s="251">
        <f t="array" ref="M387">INDEX('SUR - ESTER'!M:M, MATCH(S387,'SUR - ESTER'!K:K, 0), )</f>
        <v>0</v>
      </c>
      <c r="N387" s="258">
        <f t="array" ref="N387">INDEX('SUR - ESTER'!N:N, MATCH(S387,'SUR - ESTER'!K:K, 0), )</f>
        <v>0</v>
      </c>
      <c r="O387" s="253">
        <f t="array" ref="O387">INDEX('SUR - ESTER'!O:O, MATCH(S387,'SUR - ESTER'!K:K, 0), )</f>
        <v>0</v>
      </c>
      <c r="P387" s="236">
        <v>-12.274805555555556</v>
      </c>
      <c r="Q387" s="236">
        <v>-69.152777777777786</v>
      </c>
      <c r="R387" s="243" t="s">
        <v>1930</v>
      </c>
      <c r="S387" s="246" t="s">
        <v>1931</v>
      </c>
      <c r="U387" s="245"/>
    </row>
    <row r="388" spans="1:21" ht="17.25" customHeight="1">
      <c r="A388" s="236">
        <v>387</v>
      </c>
      <c r="B388" s="256" t="str">
        <f t="array" ref="B388">INDEX('SUR - ESTER'!B:B, MATCH(S388,'SUR - ESTER'!K:K, 0), )</f>
        <v>Pomacanchi</v>
      </c>
      <c r="C388" s="156" t="str">
        <f t="array" ref="C388">INDEX('SUR - ESTER'!C:C, MATCH(S388,'SUR - ESTER'!K:K, 0), )</f>
        <v>Cusco</v>
      </c>
      <c r="D388" s="156" t="str">
        <f t="array" ref="D388">INDEX('SUR - ESTER'!D:D, MATCH(S388,'SUR - ESTER'!K:K, 0), )</f>
        <v>FM</v>
      </c>
      <c r="E388" s="156" t="str">
        <f t="array" ref="E388">INDEX('SUR - ESTER'!E:E, MATCH(S388,'SUR - ESTER'!K:K, 0), )</f>
        <v>97,9</v>
      </c>
      <c r="F388" s="156">
        <f t="array" ref="F388">INDEX('SUR - ESTER'!F:F, MATCH(S388,'SUR - ESTER'!K:K, 0), )</f>
        <v>93</v>
      </c>
      <c r="G388" s="159" t="str">
        <f t="array" ref="G388">INDEX('SUR - ESTER'!G:G, MATCH(S388,'SUR - ESTER'!K:K, 0), )</f>
        <v>A.A</v>
      </c>
      <c r="H388" s="238" t="str">
        <f t="array" ref="H388">INDEX('SUR - ESTER'!H:H, MATCH(S388,'SUR - ESTER'!K:K, 0), )</f>
        <v>POMACANCHI</v>
      </c>
      <c r="I388" s="239" t="str">
        <f t="array" ref="I388">INDEX('SUR - ESTER'!I:I, MATCH(S388,'SUR - ESTER'!K:K, 0), )</f>
        <v>22/09/2025 - Sectoristas - Opera con normalidad</v>
      </c>
      <c r="J388" s="257">
        <f t="array" ref="J388">INDEX('SUR - ESTER'!J:J, MATCH(S388,'SUR - ESTER'!K:K, 0), )</f>
        <v>0</v>
      </c>
      <c r="K388" s="156" t="str">
        <f t="array" ref="K388">INDEX('SUR - ESTER'!K:K, MATCH(S388,'SUR - ESTER'!K:K, 0), )</f>
        <v>E - 112</v>
      </c>
      <c r="L388" s="251">
        <f t="array" ref="L388">INDEX('SUR - ESTER'!L:L, MATCH(S388,'SUR - ESTER'!K:K, 0), )</f>
        <v>0</v>
      </c>
      <c r="M388" s="251">
        <f t="array" ref="M388">INDEX('SUR - ESTER'!M:M, MATCH(S388,'SUR - ESTER'!K:K, 0), )</f>
        <v>0</v>
      </c>
      <c r="N388" s="258">
        <f t="array" ref="N388">INDEX('SUR - ESTER'!N:N, MATCH(S388,'SUR - ESTER'!K:K, 0), )</f>
        <v>0</v>
      </c>
      <c r="O388" s="253">
        <f t="array" ref="O388">INDEX('SUR - ESTER'!O:O, MATCH(S388,'SUR - ESTER'!K:K, 0), )</f>
        <v>0</v>
      </c>
      <c r="P388" s="236">
        <v>-13.98661111111111</v>
      </c>
      <c r="Q388" s="236">
        <v>-71.591972222222211</v>
      </c>
      <c r="R388" s="243" t="s">
        <v>1932</v>
      </c>
      <c r="S388" s="246" t="s">
        <v>1933</v>
      </c>
      <c r="U388" s="245"/>
    </row>
    <row r="389" spans="1:21" ht="17.25" customHeight="1">
      <c r="A389" s="236">
        <v>388</v>
      </c>
      <c r="B389" s="256" t="str">
        <f t="array" ref="B389">INDEX('SUR - ESTER'!B:B, MATCH(S389,'SUR - ESTER'!K:K, 0), )</f>
        <v>PUCARA</v>
      </c>
      <c r="C389" s="156" t="str">
        <f t="array" ref="C389">INDEX('SUR - ESTER'!C:C, MATCH(S389,'SUR - ESTER'!K:K, 0), )</f>
        <v>Puno</v>
      </c>
      <c r="D389" s="156" t="str">
        <f t="array" ref="D389">INDEX('SUR - ESTER'!D:D, MATCH(S389,'SUR - ESTER'!K:K, 0), )</f>
        <v>FM</v>
      </c>
      <c r="E389" s="156">
        <f t="array" ref="E389">INDEX('SUR - ESTER'!E:E, MATCH(S389,'SUR - ESTER'!K:K, 0), )</f>
        <v>98.3</v>
      </c>
      <c r="F389" s="156">
        <f t="array" ref="F389">INDEX('SUR - ESTER'!F:F, MATCH(S389,'SUR - ESTER'!K:K, 0), )</f>
        <v>138</v>
      </c>
      <c r="G389" s="159" t="str">
        <f t="array" ref="G389">INDEX('SUR - ESTER'!G:G, MATCH(S389,'SUR - ESTER'!K:K, 0), )</f>
        <v>A.A</v>
      </c>
      <c r="H389" s="238" t="str">
        <f t="array" ref="H389">INDEX('SUR - ESTER'!H:H, MATCH(S389,'SUR - ESTER'!K:K, 0), )</f>
        <v>PUCARA</v>
      </c>
      <c r="I389" s="239" t="str">
        <f t="array" ref="I389">INDEX('SUR - ESTER'!I:I, MATCH(S389,'SUR - ESTER'!K:K, 0), )</f>
        <v>2/12/2025 - Sectoristas - Opera con normalidad / Inf. Jonathan Flores (PRESBITERO)</v>
      </c>
      <c r="J389" s="257">
        <f t="array" ref="J389">INDEX('SUR - ESTER'!J:J, MATCH(S389,'SUR - ESTER'!K:K, 0), )</f>
        <v>0</v>
      </c>
      <c r="K389" s="156" t="str">
        <f t="array" ref="K389">INDEX('SUR - ESTER'!K:K, MATCH(S389,'SUR - ESTER'!K:K, 0), )</f>
        <v>E - 113</v>
      </c>
      <c r="L389" s="251" t="str">
        <f t="array" ref="L389">INDEX('SUR - ESTER'!L:L, MATCH(S389,'SUR - ESTER'!K:K, 0), )</f>
        <v>Sectoristas</v>
      </c>
      <c r="M389" s="251" t="str">
        <f t="array" ref="M389">INDEX('SUR - ESTER'!M:M, MATCH(S389,'SUR - ESTER'!K:K, 0), )</f>
        <v>Nivel 1</v>
      </c>
      <c r="N389" s="258">
        <f t="array" ref="N389">INDEX('SUR - ESTER'!N:N, MATCH(S389,'SUR - ESTER'!K:K, 0), )</f>
        <v>0</v>
      </c>
      <c r="O389" s="253">
        <f t="array" ref="O389">INDEX('SUR - ESTER'!O:O, MATCH(S389,'SUR - ESTER'!K:K, 0), )</f>
        <v>0</v>
      </c>
      <c r="P389" s="236">
        <v>-15.031694444444446</v>
      </c>
      <c r="Q389" s="236">
        <v>-70.335972222222225</v>
      </c>
      <c r="R389" s="243" t="s">
        <v>1934</v>
      </c>
      <c r="S389" s="246" t="s">
        <v>1935</v>
      </c>
      <c r="U389" s="245"/>
    </row>
    <row r="390" spans="1:21" ht="17.25" customHeight="1">
      <c r="A390" s="236">
        <v>389</v>
      </c>
      <c r="B390" s="256" t="str">
        <f t="array" ref="B390">INDEX('SUR - ESTER'!B:B, MATCH(S390,'SUR - ESTER'!K:K, 0), )</f>
        <v>Puerto Maldonado - Tambopata</v>
      </c>
      <c r="C390" s="156" t="str">
        <f t="array" ref="C390">INDEX('SUR - ESTER'!C:C, MATCH(S390,'SUR - ESTER'!K:K, 0), )</f>
        <v>Madre de Dios</v>
      </c>
      <c r="D390" s="156" t="str">
        <f t="array" ref="D390">INDEX('SUR - ESTER'!D:D, MATCH(S390,'SUR - ESTER'!K:K, 0), )</f>
        <v>FM</v>
      </c>
      <c r="E390" s="156" t="str">
        <f t="array" ref="E390">INDEX('SUR - ESTER'!E:E, MATCH(S390,'SUR - ESTER'!K:K, 0), )</f>
        <v>91,7</v>
      </c>
      <c r="F390" s="156">
        <f t="array" ref="F390">INDEX('SUR - ESTER'!F:F, MATCH(S390,'SUR - ESTER'!K:K, 0), )</f>
        <v>34</v>
      </c>
      <c r="G390" s="159" t="str">
        <f t="array" ref="G390">INDEX('SUR - ESTER'!G:G, MATCH(S390,'SUR - ESTER'!K:K, 0), )</f>
        <v>A.A</v>
      </c>
      <c r="H390" s="238" t="str">
        <f t="array" ref="H390">INDEX('SUR - ESTER'!H:H, MATCH(S390,'SUR - ESTER'!K:K, 0), )</f>
        <v>PUERTO MALDONADO</v>
      </c>
      <c r="I390" s="239" t="str">
        <f t="array" ref="I390">INDEX('SUR - ESTER'!I:I, MATCH(S390,'SUR - ESTER'!K:K, 0), )</f>
        <v>10/10/2025 - Sectoristas - Opera con normalidad</v>
      </c>
      <c r="J390" s="257">
        <f t="array" ref="J390">INDEX('SUR - ESTER'!J:J, MATCH(S390,'SUR - ESTER'!K:K, 0), )</f>
        <v>0</v>
      </c>
      <c r="K390" s="156" t="str">
        <f t="array" ref="K390">INDEX('SUR - ESTER'!K:K, MATCH(S390,'SUR - ESTER'!K:K, 0), )</f>
        <v>E - 114</v>
      </c>
      <c r="L390" s="251">
        <f t="array" ref="L390">INDEX('SUR - ESTER'!L:L, MATCH(S390,'SUR - ESTER'!K:K, 0), )</f>
        <v>0</v>
      </c>
      <c r="M390" s="251">
        <f t="array" ref="M390">INDEX('SUR - ESTER'!M:M, MATCH(S390,'SUR - ESTER'!K:K, 0), )</f>
        <v>0</v>
      </c>
      <c r="N390" s="258">
        <f t="array" ref="N390">INDEX('SUR - ESTER'!N:N, MATCH(S390,'SUR - ESTER'!K:K, 0), )</f>
        <v>0</v>
      </c>
      <c r="O390" s="253">
        <f t="array" ref="O390">INDEX('SUR - ESTER'!O:O, MATCH(S390,'SUR - ESTER'!K:K, 0), )</f>
        <v>0</v>
      </c>
      <c r="P390" s="236">
        <v>-12.59298888888889</v>
      </c>
      <c r="Q390" s="236">
        <v>-69.187322222222221</v>
      </c>
      <c r="R390" s="243" t="s">
        <v>1936</v>
      </c>
      <c r="S390" s="246" t="s">
        <v>1937</v>
      </c>
      <c r="U390" s="245"/>
    </row>
    <row r="391" spans="1:21" ht="17.25" customHeight="1">
      <c r="A391" s="236">
        <v>390</v>
      </c>
      <c r="B391" s="256" t="str">
        <f t="array" ref="B391">INDEX('SUR - ESTER'!B:B, MATCH(S391,'SUR - ESTER'!K:K, 0), )</f>
        <v>Puerto Maldonado - Tambopata</v>
      </c>
      <c r="C391" s="156" t="str">
        <f t="array" ref="C391">INDEX('SUR - ESTER'!C:C, MATCH(S391,'SUR - ESTER'!K:K, 0), )</f>
        <v>Madre de Dios</v>
      </c>
      <c r="D391" s="156" t="str">
        <f t="array" ref="D391">INDEX('SUR - ESTER'!D:D, MATCH(S391,'SUR - ESTER'!K:K, 0), )</f>
        <v>VHF</v>
      </c>
      <c r="E391" s="156">
        <f t="array" ref="E391">INDEX('SUR - ESTER'!E:E, MATCH(S391,'SUR - ESTER'!K:K, 0), )</f>
        <v>2</v>
      </c>
      <c r="F391" s="156">
        <f t="array" ref="F391">INDEX('SUR - ESTER'!F:F, MATCH(S391,'SUR - ESTER'!K:K, 0), )</f>
        <v>34</v>
      </c>
      <c r="G391" s="159" t="str">
        <f t="array" ref="G391">INDEX('SUR - ESTER'!G:G, MATCH(S391,'SUR - ESTER'!K:K, 0), )</f>
        <v>A.A</v>
      </c>
      <c r="H391" s="238" t="str">
        <f t="array" ref="H391">INDEX('SUR - ESTER'!H:H, MATCH(S391,'SUR - ESTER'!K:K, 0), )</f>
        <v>PUERTO MALDONADO</v>
      </c>
      <c r="I391" s="239" t="str">
        <f t="array" ref="I391">INDEX('SUR - ESTER'!I:I, MATCH(S391,'SUR - ESTER'!K:K, 0), )</f>
        <v>10/10/2025 - Sectoristas - Opera con normalidad</v>
      </c>
      <c r="J391" s="257">
        <f t="array" ref="J391">INDEX('SUR - ESTER'!J:J, MATCH(S391,'SUR - ESTER'!K:K, 0), )</f>
        <v>0</v>
      </c>
      <c r="K391" s="156" t="str">
        <f t="array" ref="K391">INDEX('SUR - ESTER'!K:K, MATCH(S391,'SUR - ESTER'!K:K, 0), )</f>
        <v>E - 115</v>
      </c>
      <c r="L391" s="251">
        <f t="array" ref="L391">INDEX('SUR - ESTER'!L:L, MATCH(S391,'SUR - ESTER'!K:K, 0), )</f>
        <v>0</v>
      </c>
      <c r="M391" s="251">
        <f t="array" ref="M391">INDEX('SUR - ESTER'!M:M, MATCH(S391,'SUR - ESTER'!K:K, 0), )</f>
        <v>0</v>
      </c>
      <c r="N391" s="258">
        <f t="array" ref="N391">INDEX('SUR - ESTER'!N:N, MATCH(S391,'SUR - ESTER'!K:K, 0), )</f>
        <v>0</v>
      </c>
      <c r="O391" s="253">
        <f t="array" ref="O391">INDEX('SUR - ESTER'!O:O, MATCH(S391,'SUR - ESTER'!K:K, 0), )</f>
        <v>0</v>
      </c>
      <c r="P391" s="236">
        <v>-12.59298888888889</v>
      </c>
      <c r="Q391" s="236">
        <v>-69.187322222222221</v>
      </c>
      <c r="R391" s="243" t="s">
        <v>1936</v>
      </c>
      <c r="S391" s="246" t="s">
        <v>1938</v>
      </c>
      <c r="U391" s="245"/>
    </row>
    <row r="392" spans="1:21" ht="17.25" customHeight="1">
      <c r="A392" s="236">
        <v>391</v>
      </c>
      <c r="B392" s="256" t="str">
        <f t="array" ref="B392">INDEX('SUR - ESTER'!B:B, MATCH(S392,'SUR - ESTER'!K:K, 0), )</f>
        <v>Pukiri - Madre de Dios</v>
      </c>
      <c r="C392" s="156" t="str">
        <f t="array" ref="C392">INDEX('SUR - ESTER'!C:C, MATCH(S392,'SUR - ESTER'!K:K, 0), )</f>
        <v>Madre de Dios</v>
      </c>
      <c r="D392" s="156" t="str">
        <f t="array" ref="D392">INDEX('SUR - ESTER'!D:D, MATCH(S392,'SUR - ESTER'!K:K, 0), )</f>
        <v>FM</v>
      </c>
      <c r="E392" s="156" t="str">
        <f t="array" ref="E392">INDEX('SUR - ESTER'!E:E, MATCH(S392,'SUR - ESTER'!K:K, 0), )</f>
        <v>98,3</v>
      </c>
      <c r="F392" s="156">
        <f t="array" ref="F392">INDEX('SUR - ESTER'!F:F, MATCH(S392,'SUR - ESTER'!K:K, 0), )</f>
        <v>131</v>
      </c>
      <c r="G392" s="159" t="str">
        <f t="array" ref="G392">INDEX('SUR - ESTER'!G:G, MATCH(S392,'SUR - ESTER'!K:K, 0), )</f>
        <v>A.A</v>
      </c>
      <c r="H392" s="238" t="str">
        <f t="array" ref="H392">INDEX('SUR - ESTER'!H:H, MATCH(S392,'SUR - ESTER'!K:K, 0), )</f>
        <v>PUKIRI</v>
      </c>
      <c r="I392" s="239" t="str">
        <f t="array" ref="I392">INDEX('SUR - ESTER'!I:I, MATCH(S392,'SUR - ESTER'!K:K, 0), )</f>
        <v>25/09/2025 - Sectoristas - Opera con Normalidad</v>
      </c>
      <c r="J392" s="257">
        <f t="array" ref="J392">INDEX('SUR - ESTER'!J:J, MATCH(S392,'SUR - ESTER'!K:K, 0), )</f>
        <v>0</v>
      </c>
      <c r="K392" s="156" t="str">
        <f t="array" ref="K392">INDEX('SUR - ESTER'!K:K, MATCH(S392,'SUR - ESTER'!K:K, 0), )</f>
        <v>E - 116</v>
      </c>
      <c r="L392" s="251">
        <f t="array" ref="L392">INDEX('SUR - ESTER'!L:L, MATCH(S392,'SUR - ESTER'!K:K, 0), )</f>
        <v>0</v>
      </c>
      <c r="M392" s="251">
        <f t="array" ref="M392">INDEX('SUR - ESTER'!M:M, MATCH(S392,'SUR - ESTER'!K:K, 0), )</f>
        <v>0</v>
      </c>
      <c r="N392" s="258">
        <f t="array" ref="N392">INDEX('SUR - ESTER'!N:N, MATCH(S392,'SUR - ESTER'!K:K, 0), )</f>
        <v>0</v>
      </c>
      <c r="O392" s="253">
        <f t="array" ref="O392">INDEX('SUR - ESTER'!O:O, MATCH(S392,'SUR - ESTER'!K:K, 0), )</f>
        <v>0</v>
      </c>
      <c r="P392" s="236">
        <v>-12.78795</v>
      </c>
      <c r="Q392" s="236">
        <v>-70.525836111111104</v>
      </c>
      <c r="R392" s="243" t="s">
        <v>1939</v>
      </c>
      <c r="S392" s="246" t="s">
        <v>1940</v>
      </c>
      <c r="U392" s="245"/>
    </row>
    <row r="393" spans="1:21" ht="17.25" customHeight="1">
      <c r="A393" s="236">
        <v>392</v>
      </c>
      <c r="B393" s="256" t="str">
        <f t="array" ref="B393">INDEX('SUR - ESTER'!B:B, MATCH(S393,'SUR - ESTER'!K:K, 0), )</f>
        <v>Puno</v>
      </c>
      <c r="C393" s="156" t="str">
        <f t="array" ref="C393">INDEX('SUR - ESTER'!C:C, MATCH(S393,'SUR - ESTER'!K:K, 0), )</f>
        <v>Puno</v>
      </c>
      <c r="D393" s="156" t="str">
        <f t="array" ref="D393">INDEX('SUR - ESTER'!D:D, MATCH(S393,'SUR - ESTER'!K:K, 0), )</f>
        <v>FM</v>
      </c>
      <c r="E393" s="156" t="str">
        <f t="array" ref="E393">INDEX('SUR - ESTER'!E:E, MATCH(S393,'SUR - ESTER'!K:K, 0), )</f>
        <v>92,1</v>
      </c>
      <c r="F393" s="156">
        <f t="array" ref="F393">INDEX('SUR - ESTER'!F:F, MATCH(S393,'SUR - ESTER'!K:K, 0), )</f>
        <v>84</v>
      </c>
      <c r="G393" s="159" t="str">
        <f t="array" ref="G393">INDEX('SUR - ESTER'!G:G, MATCH(S393,'SUR - ESTER'!K:K, 0), )</f>
        <v>A.A</v>
      </c>
      <c r="H393" s="238" t="str">
        <f t="array" ref="H393">INDEX('SUR - ESTER'!H:H, MATCH(S393,'SUR - ESTER'!K:K, 0), )</f>
        <v>PUNO</v>
      </c>
      <c r="I393" s="239" t="str">
        <f t="array" ref="I393">INDEX('SUR - ESTER'!I:I, MATCH(S393,'SUR - ESTER'!K:K, 0), )</f>
        <v>31/10/2025 - Sectoristas - Opera con normalidad</v>
      </c>
      <c r="J393" s="257">
        <f t="array" ref="J393">INDEX('SUR - ESTER'!J:J, MATCH(S393,'SUR - ESTER'!K:K, 0), )</f>
        <v>0</v>
      </c>
      <c r="K393" s="156" t="str">
        <f t="array" ref="K393">INDEX('SUR - ESTER'!K:K, MATCH(S393,'SUR - ESTER'!K:K, 0), )</f>
        <v>E - 117</v>
      </c>
      <c r="L393" s="251">
        <f t="array" ref="L393">INDEX('SUR - ESTER'!L:L, MATCH(S393,'SUR - ESTER'!K:K, 0), )</f>
        <v>0</v>
      </c>
      <c r="M393" s="251">
        <f t="array" ref="M393">INDEX('SUR - ESTER'!M:M, MATCH(S393,'SUR - ESTER'!K:K, 0), )</f>
        <v>0</v>
      </c>
      <c r="N393" s="258">
        <f t="array" ref="N393">INDEX('SUR - ESTER'!N:N, MATCH(S393,'SUR - ESTER'!K:K, 0), )</f>
        <v>0</v>
      </c>
      <c r="O393" s="253">
        <f t="array" ref="O393">INDEX('SUR - ESTER'!O:O, MATCH(S393,'SUR - ESTER'!K:K, 0), )</f>
        <v>0</v>
      </c>
      <c r="P393" s="236">
        <v>-15.812341666666667</v>
      </c>
      <c r="Q393" s="236">
        <v>-70.017863888888883</v>
      </c>
      <c r="R393" s="243" t="s">
        <v>1941</v>
      </c>
      <c r="S393" s="246" t="s">
        <v>1942</v>
      </c>
      <c r="U393" s="245"/>
    </row>
    <row r="394" spans="1:21" ht="17.25" customHeight="1">
      <c r="A394" s="236">
        <v>393</v>
      </c>
      <c r="B394" s="256" t="str">
        <f t="array" ref="B394">INDEX('SUR - ESTER'!B:B, MATCH(S394,'SUR - ESTER'!K:K, 0), )</f>
        <v>Puno</v>
      </c>
      <c r="C394" s="156" t="str">
        <f t="array" ref="C394">INDEX('SUR - ESTER'!C:C, MATCH(S394,'SUR - ESTER'!K:K, 0), )</f>
        <v>Puno</v>
      </c>
      <c r="D394" s="156" t="str">
        <f t="array" ref="D394">INDEX('SUR - ESTER'!D:D, MATCH(S394,'SUR - ESTER'!K:K, 0), )</f>
        <v>UHF</v>
      </c>
      <c r="E394" s="156">
        <f t="array" ref="E394">INDEX('SUR - ESTER'!E:E, MATCH(S394,'SUR - ESTER'!K:K, 0), )</f>
        <v>39</v>
      </c>
      <c r="F394" s="156">
        <f t="array" ref="F394">INDEX('SUR - ESTER'!F:F, MATCH(S394,'SUR - ESTER'!K:K, 0), )</f>
        <v>84</v>
      </c>
      <c r="G394" s="159" t="str">
        <f t="array" ref="G394">INDEX('SUR - ESTER'!G:G, MATCH(S394,'SUR - ESTER'!K:K, 0), )</f>
        <v>A.A</v>
      </c>
      <c r="H394" s="238" t="str">
        <f t="array" ref="H394">INDEX('SUR - ESTER'!H:H, MATCH(S394,'SUR - ESTER'!K:K, 0), )</f>
        <v>PUNO</v>
      </c>
      <c r="I394" s="239" t="str">
        <f t="array" ref="I394">INDEX('SUR - ESTER'!I:I, MATCH(S394,'SUR - ESTER'!K:K, 0), )</f>
        <v>1/10/2025 - Sectoristas - Opera con Normalidad</v>
      </c>
      <c r="J394" s="257">
        <f t="array" ref="J394">INDEX('SUR - ESTER'!J:J, MATCH(S394,'SUR - ESTER'!K:K, 0), )</f>
        <v>0</v>
      </c>
      <c r="K394" s="156" t="str">
        <f t="array" ref="K394">INDEX('SUR - ESTER'!K:K, MATCH(S394,'SUR - ESTER'!K:K, 0), )</f>
        <v>E - 118</v>
      </c>
      <c r="L394" s="251">
        <f t="array" ref="L394">INDEX('SUR - ESTER'!L:L, MATCH(S394,'SUR - ESTER'!K:K, 0), )</f>
        <v>0</v>
      </c>
      <c r="M394" s="251">
        <f t="array" ref="M394">INDEX('SUR - ESTER'!M:M, MATCH(S394,'SUR - ESTER'!K:K, 0), )</f>
        <v>0</v>
      </c>
      <c r="N394" s="258">
        <f t="array" ref="N394">INDEX('SUR - ESTER'!N:N, MATCH(S394,'SUR - ESTER'!K:K, 0), )</f>
        <v>0</v>
      </c>
      <c r="O394" s="253">
        <f t="array" ref="O394">INDEX('SUR - ESTER'!O:O, MATCH(S394,'SUR - ESTER'!K:K, 0), )</f>
        <v>0</v>
      </c>
      <c r="P394" s="236">
        <v>-15.812341666666667</v>
      </c>
      <c r="Q394" s="236">
        <v>-70.017863888888883</v>
      </c>
      <c r="R394" s="243" t="s">
        <v>1941</v>
      </c>
      <c r="S394" s="246" t="s">
        <v>1943</v>
      </c>
      <c r="U394" s="245"/>
    </row>
    <row r="395" spans="1:21" ht="17.25" customHeight="1">
      <c r="A395" s="236">
        <v>394</v>
      </c>
      <c r="B395" s="256" t="str">
        <f t="array" ref="B395">INDEX('SUR - ESTER'!B:B, MATCH(S395,'SUR - ESTER'!K:K, 0), )</f>
        <v>Punta de Bombon</v>
      </c>
      <c r="C395" s="156" t="str">
        <f t="array" ref="C395">INDEX('SUR - ESTER'!C:C, MATCH(S395,'SUR - ESTER'!K:K, 0), )</f>
        <v>Arequipa</v>
      </c>
      <c r="D395" s="156" t="str">
        <f t="array" ref="D395">INDEX('SUR - ESTER'!D:D, MATCH(S395,'SUR - ESTER'!K:K, 0), )</f>
        <v>FM</v>
      </c>
      <c r="E395" s="156" t="str">
        <f t="array" ref="E395">INDEX('SUR - ESTER'!E:E, MATCH(S395,'SUR - ESTER'!K:K, 0), )</f>
        <v>88,7</v>
      </c>
      <c r="F395" s="156">
        <f t="array" ref="F395">INDEX('SUR - ESTER'!F:F, MATCH(S395,'SUR - ESTER'!K:K, 0), )</f>
        <v>3</v>
      </c>
      <c r="G395" s="159" t="str">
        <f t="array" ref="G395">INDEX('SUR - ESTER'!G:G, MATCH(S395,'SUR - ESTER'!K:K, 0), )</f>
        <v>F.A</v>
      </c>
      <c r="H395" s="238" t="str">
        <f t="array" ref="H395">INDEX('SUR - ESTER'!H:H, MATCH(S395,'SUR - ESTER'!K:K, 0), )</f>
        <v>PUNTA DE BOMBON</v>
      </c>
      <c r="I395" s="239" t="str">
        <f t="array" ref="I395">INDEX('SUR - ESTER'!I:I, MATCH(S395,'SUR - ESTER'!K:K, 0), )</f>
        <v>29/10/2025 - Sectoristas - El dia 20/10 se envio el presupuesto, el pastor deposito para la reparacion del transmisor el dia 27/10</v>
      </c>
      <c r="J395" s="257" t="str">
        <f t="array" ref="J395">INDEX('SUR - ESTER'!J:J, MATCH(S395,'SUR - ESTER'!K:K, 0), )</f>
        <v>LOS HERMANOS DE LABORATORIO COMENTAN QUE PROBABLEMENTE LO REPAREN LA PROXIMA SEMANA (MIERCOLES  19/11)</v>
      </c>
      <c r="K395" s="156" t="str">
        <f t="array" ref="K395">INDEX('SUR - ESTER'!K:K, MATCH(S395,'SUR - ESTER'!K:K, 0), )</f>
        <v>E - 119</v>
      </c>
      <c r="L395" s="251" t="str">
        <f t="array" ref="L395">INDEX('SUR - ESTER'!L:L, MATCH(S395,'SUR - ESTER'!K:K, 0), )</f>
        <v>Laboratorio</v>
      </c>
      <c r="M395" s="251" t="str">
        <f t="array" ref="M395">INDEX('SUR - ESTER'!M:M, MATCH(S395,'SUR - ESTER'!K:K, 0), )</f>
        <v>Nivel 3</v>
      </c>
      <c r="N395" s="258">
        <f t="array" ref="N395">INDEX('SUR - ESTER'!N:N, MATCH(S395,'SUR - ESTER'!K:K, 0), )</f>
        <v>1639.36</v>
      </c>
      <c r="O395" s="253">
        <f t="array" ref="O395">INDEX('SUR - ESTER'!O:O, MATCH(S395,'SUR - ESTER'!K:K, 0), )</f>
        <v>0</v>
      </c>
      <c r="P395" s="236">
        <v>-17.166638888888887</v>
      </c>
      <c r="Q395" s="236">
        <v>-71.808027777777781</v>
      </c>
      <c r="R395" s="243" t="s">
        <v>1944</v>
      </c>
      <c r="S395" s="246" t="s">
        <v>1244</v>
      </c>
      <c r="U395" s="245"/>
    </row>
    <row r="396" spans="1:21" ht="17.25" customHeight="1">
      <c r="A396" s="236">
        <v>395</v>
      </c>
      <c r="B396" s="256" t="str">
        <f t="array" ref="B396">INDEX('SUR - ESTER'!B:B, MATCH(S396,'SUR - ESTER'!K:K, 0), )</f>
        <v>Puquina</v>
      </c>
      <c r="C396" s="156" t="str">
        <f t="array" ref="C396">INDEX('SUR - ESTER'!C:C, MATCH(S396,'SUR - ESTER'!K:K, 0), )</f>
        <v>Moquegua</v>
      </c>
      <c r="D396" s="156" t="str">
        <f t="array" ref="D396">INDEX('SUR - ESTER'!D:D, MATCH(S396,'SUR - ESTER'!K:K, 0), )</f>
        <v>FM</v>
      </c>
      <c r="E396" s="156" t="str">
        <f t="array" ref="E396">INDEX('SUR - ESTER'!E:E, MATCH(S396,'SUR - ESTER'!K:K, 0), )</f>
        <v>94,7</v>
      </c>
      <c r="F396" s="156">
        <f t="array" ref="F396">INDEX('SUR - ESTER'!F:F, MATCH(S396,'SUR - ESTER'!K:K, 0), )</f>
        <v>3</v>
      </c>
      <c r="G396" s="159" t="str">
        <f t="array" ref="G396">INDEX('SUR - ESTER'!G:G, MATCH(S396,'SUR - ESTER'!K:K, 0), )</f>
        <v>A.A</v>
      </c>
      <c r="H396" s="238" t="str">
        <f t="array" ref="H396">INDEX('SUR - ESTER'!H:H, MATCH(S396,'SUR - ESTER'!K:K, 0), )</f>
        <v>PUQUINA</v>
      </c>
      <c r="I396" s="239" t="str">
        <f t="array" ref="I396">INDEX('SUR - ESTER'!I:I, MATCH(S396,'SUR - ESTER'!K:K, 0), )</f>
        <v>14/10/2025 - Sectoristas - Opera con normalidad / Inf. Ps Adrián Loayza</v>
      </c>
      <c r="J396" s="257">
        <f t="array" ref="J396">INDEX('SUR - ESTER'!J:J, MATCH(S396,'SUR - ESTER'!K:K, 0), )</f>
        <v>0</v>
      </c>
      <c r="K396" s="156" t="str">
        <f t="array" ref="K396">INDEX('SUR - ESTER'!K:K, MATCH(S396,'SUR - ESTER'!K:K, 0), )</f>
        <v>E - 120</v>
      </c>
      <c r="L396" s="251">
        <f t="array" ref="L396">INDEX('SUR - ESTER'!L:L, MATCH(S396,'SUR - ESTER'!K:K, 0), )</f>
        <v>0</v>
      </c>
      <c r="M396" s="251">
        <f t="array" ref="M396">INDEX('SUR - ESTER'!M:M, MATCH(S396,'SUR - ESTER'!K:K, 0), )</f>
        <v>0</v>
      </c>
      <c r="N396" s="258">
        <f t="array" ref="N396">INDEX('SUR - ESTER'!N:N, MATCH(S396,'SUR - ESTER'!K:K, 0), )</f>
        <v>0</v>
      </c>
      <c r="O396" s="253">
        <f t="array" ref="O396">INDEX('SUR - ESTER'!O:O, MATCH(S396,'SUR - ESTER'!K:K, 0), )</f>
        <v>0</v>
      </c>
      <c r="P396" s="236">
        <v>-16.628594444444445</v>
      </c>
      <c r="Q396" s="236">
        <v>-71.184430555555565</v>
      </c>
      <c r="R396" s="243" t="s">
        <v>1945</v>
      </c>
      <c r="S396" s="246" t="s">
        <v>1946</v>
      </c>
      <c r="U396" s="245"/>
    </row>
    <row r="397" spans="1:21" ht="17.25" customHeight="1">
      <c r="A397" s="236">
        <v>396</v>
      </c>
      <c r="B397" s="256" t="str">
        <f t="array" ref="B397">INDEX('SUR - ESTER'!B:B, MATCH(S397,'SUR - ESTER'!K:K, 0), )</f>
        <v>Putina</v>
      </c>
      <c r="C397" s="156" t="str">
        <f t="array" ref="C397">INDEX('SUR - ESTER'!C:C, MATCH(S397,'SUR - ESTER'!K:K, 0), )</f>
        <v>Puno</v>
      </c>
      <c r="D397" s="156" t="str">
        <f t="array" ref="D397">INDEX('SUR - ESTER'!D:D, MATCH(S397,'SUR - ESTER'!K:K, 0), )</f>
        <v>FM</v>
      </c>
      <c r="E397" s="156">
        <f t="array" ref="E397">INDEX('SUR - ESTER'!E:E, MATCH(S397,'SUR - ESTER'!K:K, 0), )</f>
        <v>91.9</v>
      </c>
      <c r="F397" s="156">
        <f t="array" ref="F397">INDEX('SUR - ESTER'!F:F, MATCH(S397,'SUR - ESTER'!K:K, 0), )</f>
        <v>31</v>
      </c>
      <c r="G397" s="159" t="str">
        <f t="array" ref="G397">INDEX('SUR - ESTER'!G:G, MATCH(S397,'SUR - ESTER'!K:K, 0), )</f>
        <v>A.A</v>
      </c>
      <c r="H397" s="238" t="str">
        <f t="array" ref="H397">INDEX('SUR - ESTER'!H:H, MATCH(S397,'SUR - ESTER'!K:K, 0), )</f>
        <v>PUTINA</v>
      </c>
      <c r="I397" s="239" t="str">
        <f t="array" ref="I397">INDEX('SUR - ESTER'!I:I, MATCH(S397,'SUR - ESTER'!K:K, 0), )</f>
        <v>1/10/2025 - Sectoristas - Opera con Normalidad</v>
      </c>
      <c r="J397" s="257">
        <f t="array" ref="J397">INDEX('SUR - ESTER'!J:J, MATCH(S397,'SUR - ESTER'!K:K, 0), )</f>
        <v>0</v>
      </c>
      <c r="K397" s="156" t="str">
        <f t="array" ref="K397">INDEX('SUR - ESTER'!K:K, MATCH(S397,'SUR - ESTER'!K:K, 0), )</f>
        <v>E - 121</v>
      </c>
      <c r="L397" s="251">
        <f t="array" ref="L397">INDEX('SUR - ESTER'!L:L, MATCH(S397,'SUR - ESTER'!K:K, 0), )</f>
        <v>0</v>
      </c>
      <c r="M397" s="251">
        <f t="array" ref="M397">INDEX('SUR - ESTER'!M:M, MATCH(S397,'SUR - ESTER'!K:K, 0), )</f>
        <v>0</v>
      </c>
      <c r="N397" s="258">
        <f t="array" ref="N397">INDEX('SUR - ESTER'!N:N, MATCH(S397,'SUR - ESTER'!K:K, 0), )</f>
        <v>0</v>
      </c>
      <c r="O397" s="253">
        <f t="array" ref="O397">INDEX('SUR - ESTER'!O:O, MATCH(S397,'SUR - ESTER'!K:K, 0), )</f>
        <v>0</v>
      </c>
      <c r="P397" s="236">
        <v>-14.920005555555555</v>
      </c>
      <c r="Q397" s="236">
        <v>-69.872163888888878</v>
      </c>
      <c r="R397" s="243" t="s">
        <v>1947</v>
      </c>
      <c r="S397" s="246" t="s">
        <v>1948</v>
      </c>
      <c r="U397" s="245"/>
    </row>
    <row r="398" spans="1:21" ht="17.25" customHeight="1">
      <c r="A398" s="236">
        <v>397</v>
      </c>
      <c r="B398" s="256" t="str">
        <f t="array" ref="B398">INDEX('SUR - ESTER'!B:B, MATCH(S398,'SUR - ESTER'!K:K, 0), )</f>
        <v>Quillabamba - Maranura</v>
      </c>
      <c r="C398" s="156" t="str">
        <f t="array" ref="C398">INDEX('SUR - ESTER'!C:C, MATCH(S398,'SUR - ESTER'!K:K, 0), )</f>
        <v>Cusco</v>
      </c>
      <c r="D398" s="156" t="str">
        <f t="array" ref="D398">INDEX('SUR - ESTER'!D:D, MATCH(S398,'SUR - ESTER'!K:K, 0), )</f>
        <v>FM</v>
      </c>
      <c r="E398" s="156" t="str">
        <f t="array" ref="E398">INDEX('SUR - ESTER'!E:E, MATCH(S398,'SUR - ESTER'!K:K, 0), )</f>
        <v>106,1</v>
      </c>
      <c r="F398" s="156">
        <f t="array" ref="F398">INDEX('SUR - ESTER'!F:F, MATCH(S398,'SUR - ESTER'!K:K, 0), )</f>
        <v>92</v>
      </c>
      <c r="G398" s="159" t="str">
        <f t="array" ref="G398">INDEX('SUR - ESTER'!G:G, MATCH(S398,'SUR - ESTER'!K:K, 0), )</f>
        <v>A.A</v>
      </c>
      <c r="H398" s="238" t="str">
        <f t="array" ref="H398">INDEX('SUR - ESTER'!H:H, MATCH(S398,'SUR - ESTER'!K:K, 0), )</f>
        <v>QUILLABAMBA</v>
      </c>
      <c r="I398" s="239" t="str">
        <f t="array" ref="I398">INDEX('SUR - ESTER'!I:I, MATCH(S398,'SUR - ESTER'!K:K, 0), )</f>
        <v>1/09/2025 - Sectoristas - Opera con normalidad</v>
      </c>
      <c r="J398" s="257">
        <f t="array" ref="J398">INDEX('SUR - ESTER'!J:J, MATCH(S398,'SUR - ESTER'!K:K, 0), )</f>
        <v>0</v>
      </c>
      <c r="K398" s="156" t="str">
        <f t="array" ref="K398">INDEX('SUR - ESTER'!K:K, MATCH(S398,'SUR - ESTER'!K:K, 0), )</f>
        <v>E - 122</v>
      </c>
      <c r="L398" s="251">
        <f t="array" ref="L398">INDEX('SUR - ESTER'!L:L, MATCH(S398,'SUR - ESTER'!K:K, 0), )</f>
        <v>0</v>
      </c>
      <c r="M398" s="251">
        <f t="array" ref="M398">INDEX('SUR - ESTER'!M:M, MATCH(S398,'SUR - ESTER'!K:K, 0), )</f>
        <v>0</v>
      </c>
      <c r="N398" s="258">
        <f t="array" ref="N398">INDEX('SUR - ESTER'!N:N, MATCH(S398,'SUR - ESTER'!K:K, 0), )</f>
        <v>0</v>
      </c>
      <c r="O398" s="253">
        <f t="array" ref="O398">INDEX('SUR - ESTER'!O:O, MATCH(S398,'SUR - ESTER'!K:K, 0), )</f>
        <v>0</v>
      </c>
      <c r="P398" s="236">
        <v>-12.849233333333334</v>
      </c>
      <c r="Q398" s="236">
        <v>-72.68898333333334</v>
      </c>
      <c r="R398" s="243" t="s">
        <v>1949</v>
      </c>
      <c r="S398" s="246" t="s">
        <v>1950</v>
      </c>
      <c r="U398" s="245"/>
    </row>
    <row r="399" spans="1:21" ht="17.25" customHeight="1">
      <c r="A399" s="236">
        <v>398</v>
      </c>
      <c r="B399" s="256" t="str">
        <f t="array" ref="B399">INDEX('SUR - ESTER'!B:B, MATCH(S399,'SUR - ESTER'!K:K, 0), )</f>
        <v>Quince Mil</v>
      </c>
      <c r="C399" s="156" t="str">
        <f t="array" ref="C399">INDEX('SUR - ESTER'!C:C, MATCH(S399,'SUR - ESTER'!K:K, 0), )</f>
        <v>Cusco</v>
      </c>
      <c r="D399" s="156" t="str">
        <f t="array" ref="D399">INDEX('SUR - ESTER'!D:D, MATCH(S399,'SUR - ESTER'!K:K, 0), )</f>
        <v>FM</v>
      </c>
      <c r="E399" s="156" t="str">
        <f t="array" ref="E399">INDEX('SUR - ESTER'!E:E, MATCH(S399,'SUR - ESTER'!K:K, 0), )</f>
        <v>103,3</v>
      </c>
      <c r="F399" s="156">
        <f t="array" ref="F399">INDEX('SUR - ESTER'!F:F, MATCH(S399,'SUR - ESTER'!K:K, 0), )</f>
        <v>131</v>
      </c>
      <c r="G399" s="159" t="str">
        <f t="array" ref="G399">INDEX('SUR - ESTER'!G:G, MATCH(S399,'SUR - ESTER'!K:K, 0), )</f>
        <v>A.A</v>
      </c>
      <c r="H399" s="238" t="str">
        <f t="array" ref="H399">INDEX('SUR - ESTER'!H:H, MATCH(S399,'SUR - ESTER'!K:K, 0), )</f>
        <v>QUINCE MIL</v>
      </c>
      <c r="I399" s="239" t="str">
        <f t="array" ref="I399">INDEX('SUR - ESTER'!I:I, MATCH(S399,'SUR - ESTER'!K:K, 0), )</f>
        <v>25/09/2025 - Sectoristas - Opera con Normalidad</v>
      </c>
      <c r="J399" s="257">
        <f t="array" ref="J399">INDEX('SUR - ESTER'!J:J, MATCH(S399,'SUR - ESTER'!K:K, 0), )</f>
        <v>0</v>
      </c>
      <c r="K399" s="156" t="str">
        <f t="array" ref="K399">INDEX('SUR - ESTER'!K:K, MATCH(S399,'SUR - ESTER'!K:K, 0), )</f>
        <v>E - 123</v>
      </c>
      <c r="L399" s="251">
        <f t="array" ref="L399">INDEX('SUR - ESTER'!L:L, MATCH(S399,'SUR - ESTER'!K:K, 0), )</f>
        <v>0</v>
      </c>
      <c r="M399" s="251">
        <f t="array" ref="M399">INDEX('SUR - ESTER'!M:M, MATCH(S399,'SUR - ESTER'!K:K, 0), )</f>
        <v>0</v>
      </c>
      <c r="N399" s="258">
        <f t="array" ref="N399">INDEX('SUR - ESTER'!N:N, MATCH(S399,'SUR - ESTER'!K:K, 0), )</f>
        <v>0</v>
      </c>
      <c r="O399" s="253">
        <f t="array" ref="O399">INDEX('SUR - ESTER'!O:O, MATCH(S399,'SUR - ESTER'!K:K, 0), )</f>
        <v>0</v>
      </c>
      <c r="P399" s="236">
        <v>-13.230541666666667</v>
      </c>
      <c r="Q399" s="236">
        <v>-70.758522222222226</v>
      </c>
      <c r="R399" s="243" t="s">
        <v>1951</v>
      </c>
      <c r="S399" s="246" t="s">
        <v>1952</v>
      </c>
      <c r="U399" s="245"/>
    </row>
    <row r="400" spans="1:21" ht="17.25" customHeight="1">
      <c r="A400" s="236">
        <v>399</v>
      </c>
      <c r="B400" s="256" t="str">
        <f t="array" ref="B400">INDEX('SUR - ESTER'!B:B, MATCH(S400,'SUR - ESTER'!K:K, 0), )</f>
        <v>Ranracancha</v>
      </c>
      <c r="C400" s="156" t="str">
        <f t="array" ref="C400">INDEX('SUR - ESTER'!C:C, MATCH(S400,'SUR - ESTER'!K:K, 0), )</f>
        <v>Apurimac</v>
      </c>
      <c r="D400" s="156" t="str">
        <f t="array" ref="D400">INDEX('SUR - ESTER'!D:D, MATCH(S400,'SUR - ESTER'!K:K, 0), )</f>
        <v>FM</v>
      </c>
      <c r="E400" s="156" t="str">
        <f t="array" ref="E400">INDEX('SUR - ESTER'!E:E, MATCH(S400,'SUR - ESTER'!K:K, 0), )</f>
        <v>97,1</v>
      </c>
      <c r="F400" s="156">
        <f t="array" ref="F400">INDEX('SUR - ESTER'!F:F, MATCH(S400,'SUR - ESTER'!K:K, 0), )</f>
        <v>22</v>
      </c>
      <c r="G400" s="159" t="str">
        <f t="array" ref="G400">INDEX('SUR - ESTER'!G:G, MATCH(S400,'SUR - ESTER'!K:K, 0), )</f>
        <v>A.A</v>
      </c>
      <c r="H400" s="238" t="str">
        <f t="array" ref="H400">INDEX('SUR - ESTER'!H:H, MATCH(S400,'SUR - ESTER'!K:K, 0), )</f>
        <v>RANRACANCHA</v>
      </c>
      <c r="I400" s="239" t="str">
        <f t="array" ref="I400">INDEX('SUR - ESTER'!I:I, MATCH(S400,'SUR - ESTER'!K:K, 0), )</f>
        <v xml:space="preserve">1/09/2025 - Sectoristas - Opera con normalidad a espera de la inspeccion tecnica </v>
      </c>
      <c r="J400" s="257">
        <f t="array" ref="J400">INDEX('SUR - ESTER'!J:J, MATCH(S400,'SUR - ESTER'!K:K, 0), )</f>
        <v>0</v>
      </c>
      <c r="K400" s="156" t="str">
        <f t="array" ref="K400">INDEX('SUR - ESTER'!K:K, MATCH(S400,'SUR - ESTER'!K:K, 0), )</f>
        <v>E - 124</v>
      </c>
      <c r="L400" s="251">
        <f t="array" ref="L400">INDEX('SUR - ESTER'!L:L, MATCH(S400,'SUR - ESTER'!K:K, 0), )</f>
        <v>0</v>
      </c>
      <c r="M400" s="251">
        <f t="array" ref="M400">INDEX('SUR - ESTER'!M:M, MATCH(S400,'SUR - ESTER'!K:K, 0), )</f>
        <v>0</v>
      </c>
      <c r="N400" s="258">
        <f t="array" ref="N400">INDEX('SUR - ESTER'!N:N, MATCH(S400,'SUR - ESTER'!K:K, 0), )</f>
        <v>0</v>
      </c>
      <c r="O400" s="253">
        <f t="array" ref="O400">INDEX('SUR - ESTER'!O:O, MATCH(S400,'SUR - ESTER'!K:K, 0), )</f>
        <v>0</v>
      </c>
      <c r="R400" s="248"/>
      <c r="S400" s="246" t="s">
        <v>1953</v>
      </c>
      <c r="U400" s="245"/>
    </row>
    <row r="401" spans="1:21" ht="17.25" customHeight="1">
      <c r="A401" s="236">
        <v>400</v>
      </c>
      <c r="B401" s="256" t="str">
        <f t="array" ref="B401">INDEX('SUR - ESTER'!B:B, MATCH(S401,'SUR - ESTER'!K:K, 0), )</f>
        <v>Salamanca</v>
      </c>
      <c r="C401" s="156" t="str">
        <f t="array" ref="C401">INDEX('SUR - ESTER'!C:C, MATCH(S401,'SUR - ESTER'!K:K, 0), )</f>
        <v>Arequipa</v>
      </c>
      <c r="D401" s="156" t="str">
        <f t="array" ref="D401">INDEX('SUR - ESTER'!D:D, MATCH(S401,'SUR - ESTER'!K:K, 0), )</f>
        <v>FM</v>
      </c>
      <c r="E401" s="156">
        <f t="array" ref="E401">INDEX('SUR - ESTER'!E:E, MATCH(S401,'SUR - ESTER'!K:K, 0), )</f>
        <v>97.1</v>
      </c>
      <c r="F401" s="156">
        <f t="array" ref="F401">INDEX('SUR - ESTER'!F:F, MATCH(S401,'SUR - ESTER'!K:K, 0), )</f>
        <v>39</v>
      </c>
      <c r="G401" s="159" t="str">
        <f t="array" ref="G401">INDEX('SUR - ESTER'!G:G, MATCH(S401,'SUR - ESTER'!K:K, 0), )</f>
        <v>A.A</v>
      </c>
      <c r="H401" s="238" t="str">
        <f t="array" ref="H401">INDEX('SUR - ESTER'!H:H, MATCH(S401,'SUR - ESTER'!K:K, 0), )</f>
        <v>SALAMANCA</v>
      </c>
      <c r="I401" s="239" t="str">
        <f t="array" ref="I401">INDEX('SUR - ESTER'!I:I, MATCH(S401,'SUR - ESTER'!K:K, 0), )</f>
        <v>1/10/2025 - Sectoristas - Opera con Normalidad</v>
      </c>
      <c r="J401" s="257">
        <f t="array" ref="J401">INDEX('SUR - ESTER'!J:J, MATCH(S401,'SUR - ESTER'!K:K, 0), )</f>
        <v>0</v>
      </c>
      <c r="K401" s="156" t="str">
        <f t="array" ref="K401">INDEX('SUR - ESTER'!K:K, MATCH(S401,'SUR - ESTER'!K:K, 0), )</f>
        <v>E - 125</v>
      </c>
      <c r="L401" s="251">
        <f t="array" ref="L401">INDEX('SUR - ESTER'!L:L, MATCH(S401,'SUR - ESTER'!K:K, 0), )</f>
        <v>0</v>
      </c>
      <c r="M401" s="251">
        <f t="array" ref="M401">INDEX('SUR - ESTER'!M:M, MATCH(S401,'SUR - ESTER'!K:K, 0), )</f>
        <v>0</v>
      </c>
      <c r="N401" s="258">
        <f t="array" ref="N401">INDEX('SUR - ESTER'!N:N, MATCH(S401,'SUR - ESTER'!K:K, 0), )</f>
        <v>0</v>
      </c>
      <c r="O401" s="253">
        <f t="array" ref="O401">INDEX('SUR - ESTER'!O:O, MATCH(S401,'SUR - ESTER'!K:K, 0), )</f>
        <v>0</v>
      </c>
      <c r="P401" s="236">
        <v>-15.502233333333333</v>
      </c>
      <c r="Q401" s="236">
        <v>-72.823777777777778</v>
      </c>
      <c r="R401" s="243" t="s">
        <v>1954</v>
      </c>
      <c r="S401" s="246" t="s">
        <v>1955</v>
      </c>
      <c r="U401" s="245"/>
    </row>
    <row r="402" spans="1:21" ht="17.25" customHeight="1">
      <c r="A402" s="236">
        <v>401</v>
      </c>
      <c r="B402" s="256" t="str">
        <f t="array" ref="B402">INDEX('SUR - ESTER'!B:B, MATCH(S402,'SUR - ESTER'!K:K, 0), )</f>
        <v>Salvacion - Manu</v>
      </c>
      <c r="C402" s="156" t="str">
        <f t="array" ref="C402">INDEX('SUR - ESTER'!C:C, MATCH(S402,'SUR - ESTER'!K:K, 0), )</f>
        <v>Madre de Dios</v>
      </c>
      <c r="D402" s="156" t="str">
        <f t="array" ref="D402">INDEX('SUR - ESTER'!D:D, MATCH(S402,'SUR - ESTER'!K:K, 0), )</f>
        <v>FM</v>
      </c>
      <c r="E402" s="156" t="str">
        <f t="array" ref="E402">INDEX('SUR - ESTER'!E:E, MATCH(S402,'SUR - ESTER'!K:K, 0), )</f>
        <v>99,3</v>
      </c>
      <c r="F402" s="156">
        <f t="array" ref="F402">INDEX('SUR - ESTER'!F:F, MATCH(S402,'SUR - ESTER'!K:K, 0), )</f>
        <v>21</v>
      </c>
      <c r="G402" s="159" t="str">
        <f t="array" ref="G402">INDEX('SUR - ESTER'!G:G, MATCH(S402,'SUR - ESTER'!K:K, 0), )</f>
        <v>A.A</v>
      </c>
      <c r="H402" s="238" t="str">
        <f t="array" ref="H402">INDEX('SUR - ESTER'!H:H, MATCH(S402,'SUR - ESTER'!K:K, 0), )</f>
        <v>SALVACIÓN</v>
      </c>
      <c r="I402" s="239" t="str">
        <f t="array" ref="I402">INDEX('SUR - ESTER'!I:I, MATCH(S402,'SUR - ESTER'!K:K, 0), )</f>
        <v>2/09/2025 - Sectoristas - Opera con normalidad</v>
      </c>
      <c r="J402" s="257">
        <f t="array" ref="J402">INDEX('SUR - ESTER'!J:J, MATCH(S402,'SUR - ESTER'!K:K, 0), )</f>
        <v>0</v>
      </c>
      <c r="K402" s="156" t="str">
        <f t="array" ref="K402">INDEX('SUR - ESTER'!K:K, MATCH(S402,'SUR - ESTER'!K:K, 0), )</f>
        <v>E - 126</v>
      </c>
      <c r="L402" s="251">
        <f t="array" ref="L402">INDEX('SUR - ESTER'!L:L, MATCH(S402,'SUR - ESTER'!K:K, 0), )</f>
        <v>0</v>
      </c>
      <c r="M402" s="251">
        <f t="array" ref="M402">INDEX('SUR - ESTER'!M:M, MATCH(S402,'SUR - ESTER'!K:K, 0), )</f>
        <v>0</v>
      </c>
      <c r="N402" s="258">
        <f t="array" ref="N402">INDEX('SUR - ESTER'!N:N, MATCH(S402,'SUR - ESTER'!K:K, 0), )</f>
        <v>0</v>
      </c>
      <c r="O402" s="253">
        <f t="array" ref="O402">INDEX('SUR - ESTER'!O:O, MATCH(S402,'SUR - ESTER'!K:K, 0), )</f>
        <v>0</v>
      </c>
      <c r="P402" s="236">
        <v>-12.834861111111111</v>
      </c>
      <c r="Q402" s="236">
        <v>-71.355388888888882</v>
      </c>
      <c r="R402" s="243" t="s">
        <v>1956</v>
      </c>
      <c r="S402" s="246" t="s">
        <v>1957</v>
      </c>
      <c r="U402" s="245"/>
    </row>
    <row r="403" spans="1:21" ht="17.25" customHeight="1">
      <c r="A403" s="236">
        <v>402</v>
      </c>
      <c r="B403" s="256" t="str">
        <f t="array" ref="B403">INDEX('SUR - ESTER'!B:B, MATCH(S403,'SUR - ESTER'!K:K, 0), )</f>
        <v>San Lorenzo - Tahuamanu</v>
      </c>
      <c r="C403" s="156" t="str">
        <f t="array" ref="C403">INDEX('SUR - ESTER'!C:C, MATCH(S403,'SUR - ESTER'!K:K, 0), )</f>
        <v>Madre de Dios</v>
      </c>
      <c r="D403" s="156" t="str">
        <f t="array" ref="D403">INDEX('SUR - ESTER'!D:D, MATCH(S403,'SUR - ESTER'!K:K, 0), )</f>
        <v>FM</v>
      </c>
      <c r="E403" s="156" t="str">
        <f t="array" ref="E403">INDEX('SUR - ESTER'!E:E, MATCH(S403,'SUR - ESTER'!K:K, 0), )</f>
        <v>93,7</v>
      </c>
      <c r="F403" s="156">
        <f t="array" ref="F403">INDEX('SUR - ESTER'!F:F, MATCH(S403,'SUR - ESTER'!K:K, 0), )</f>
        <v>34</v>
      </c>
      <c r="G403" s="159" t="str">
        <f t="array" ref="G403">INDEX('SUR - ESTER'!G:G, MATCH(S403,'SUR - ESTER'!K:K, 0), )</f>
        <v>A.A</v>
      </c>
      <c r="H403" s="238" t="str">
        <f t="array" ref="H403">INDEX('SUR - ESTER'!H:H, MATCH(S403,'SUR - ESTER'!K:K, 0), )</f>
        <v>SAN LORENZO</v>
      </c>
      <c r="I403" s="239" t="str">
        <f t="array" ref="I403">INDEX('SUR - ESTER'!I:I, MATCH(S403,'SUR - ESTER'!K:K, 0), )</f>
        <v>10/10/2025 - Sectoristas - Opera con normalidad</v>
      </c>
      <c r="J403" s="257">
        <f t="array" ref="J403">INDEX('SUR - ESTER'!J:J, MATCH(S403,'SUR - ESTER'!K:K, 0), )</f>
        <v>0</v>
      </c>
      <c r="K403" s="156" t="str">
        <f t="array" ref="K403">INDEX('SUR - ESTER'!K:K, MATCH(S403,'SUR - ESTER'!K:K, 0), )</f>
        <v>E - 127</v>
      </c>
      <c r="L403" s="251">
        <f t="array" ref="L403">INDEX('SUR - ESTER'!L:L, MATCH(S403,'SUR - ESTER'!K:K, 0), )</f>
        <v>0</v>
      </c>
      <c r="M403" s="251">
        <f t="array" ref="M403">INDEX('SUR - ESTER'!M:M, MATCH(S403,'SUR - ESTER'!K:K, 0), )</f>
        <v>0</v>
      </c>
      <c r="N403" s="258">
        <f t="array" ref="N403">INDEX('SUR - ESTER'!N:N, MATCH(S403,'SUR - ESTER'!K:K, 0), )</f>
        <v>0</v>
      </c>
      <c r="O403" s="253">
        <f t="array" ref="O403">INDEX('SUR - ESTER'!O:O, MATCH(S403,'SUR - ESTER'!K:K, 0), )</f>
        <v>0</v>
      </c>
      <c r="P403" s="236">
        <v>-11.452166666666667</v>
      </c>
      <c r="Q403" s="236">
        <v>-69.323611111111106</v>
      </c>
      <c r="R403" s="243" t="s">
        <v>1958</v>
      </c>
      <c r="S403" s="246" t="s">
        <v>1959</v>
      </c>
      <c r="U403" s="245"/>
    </row>
    <row r="404" spans="1:21" ht="17.25" customHeight="1">
      <c r="A404" s="236">
        <v>403</v>
      </c>
      <c r="B404" s="256" t="str">
        <f t="array" ref="B404">INDEX('SUR - ESTER'!B:B, MATCH(S404,'SUR - ESTER'!K:K, 0), )</f>
        <v>San Pedro de Cachora</v>
      </c>
      <c r="C404" s="156" t="str">
        <f t="array" ref="C404">INDEX('SUR - ESTER'!C:C, MATCH(S404,'SUR - ESTER'!K:K, 0), )</f>
        <v>Apurimac</v>
      </c>
      <c r="D404" s="156" t="str">
        <f t="array" ref="D404">INDEX('SUR - ESTER'!D:D, MATCH(S404,'SUR - ESTER'!K:K, 0), )</f>
        <v>FM</v>
      </c>
      <c r="E404" s="156" t="str">
        <f t="array" ref="E404">INDEX('SUR - ESTER'!E:E, MATCH(S404,'SUR - ESTER'!K:K, 0), )</f>
        <v>96,3</v>
      </c>
      <c r="F404" s="156">
        <f t="array" ref="F404">INDEX('SUR - ESTER'!F:F, MATCH(S404,'SUR - ESTER'!K:K, 0), )</f>
        <v>67</v>
      </c>
      <c r="G404" s="159" t="str">
        <f t="array" ref="G404">INDEX('SUR - ESTER'!G:G, MATCH(S404,'SUR - ESTER'!K:K, 0), )</f>
        <v>A.A</v>
      </c>
      <c r="H404" s="238" t="str">
        <f t="array" ref="H404">INDEX('SUR - ESTER'!H:H, MATCH(S404,'SUR - ESTER'!K:K, 0), )</f>
        <v>SAN PEDRO DE CACHORA</v>
      </c>
      <c r="I404" s="239" t="str">
        <f t="array" ref="I404">INDEX('SUR - ESTER'!I:I, MATCH(S404,'SUR - ESTER'!K:K, 0), )</f>
        <v>10/09/2025 - Sectoristas - Opera con normalidad</v>
      </c>
      <c r="J404" s="257">
        <f t="array" ref="J404">INDEX('SUR - ESTER'!J:J, MATCH(S404,'SUR - ESTER'!K:K, 0), )</f>
        <v>0</v>
      </c>
      <c r="K404" s="156" t="str">
        <f t="array" ref="K404">INDEX('SUR - ESTER'!K:K, MATCH(S404,'SUR - ESTER'!K:K, 0), )</f>
        <v>E - 128</v>
      </c>
      <c r="L404" s="251">
        <f t="array" ref="L404">INDEX('SUR - ESTER'!L:L, MATCH(S404,'SUR - ESTER'!K:K, 0), )</f>
        <v>0</v>
      </c>
      <c r="M404" s="251">
        <f t="array" ref="M404">INDEX('SUR - ESTER'!M:M, MATCH(S404,'SUR - ESTER'!K:K, 0), )</f>
        <v>0</v>
      </c>
      <c r="N404" s="258">
        <f t="array" ref="N404">INDEX('SUR - ESTER'!N:N, MATCH(S404,'SUR - ESTER'!K:K, 0), )</f>
        <v>0</v>
      </c>
      <c r="O404" s="253">
        <f t="array" ref="O404">INDEX('SUR - ESTER'!O:O, MATCH(S404,'SUR - ESTER'!K:K, 0), )</f>
        <v>0</v>
      </c>
      <c r="P404" s="236">
        <v>-13.510027777777777</v>
      </c>
      <c r="Q404" s="236">
        <v>-72.813333333333333</v>
      </c>
      <c r="R404" s="243" t="s">
        <v>1960</v>
      </c>
      <c r="S404" s="246" t="s">
        <v>1961</v>
      </c>
      <c r="U404" s="245"/>
    </row>
    <row r="405" spans="1:21" ht="17.25" customHeight="1">
      <c r="A405" s="236">
        <v>404</v>
      </c>
      <c r="B405" s="256" t="str">
        <f t="array" ref="B405">INDEX('SUR - ESTER'!B:B, MATCH(S405,'SUR - ESTER'!K:K, 0), )</f>
        <v>Sandia</v>
      </c>
      <c r="C405" s="156" t="str">
        <f t="array" ref="C405">INDEX('SUR - ESTER'!C:C, MATCH(S405,'SUR - ESTER'!K:K, 0), )</f>
        <v>Puno</v>
      </c>
      <c r="D405" s="156" t="str">
        <f t="array" ref="D405">INDEX('SUR - ESTER'!D:D, MATCH(S405,'SUR - ESTER'!K:K, 0), )</f>
        <v>FM</v>
      </c>
      <c r="E405" s="156" t="str">
        <f t="array" ref="E405">INDEX('SUR - ESTER'!E:E, MATCH(S405,'SUR - ESTER'!K:K, 0), )</f>
        <v>98,1</v>
      </c>
      <c r="F405" s="156">
        <f t="array" ref="F405">INDEX('SUR - ESTER'!F:F, MATCH(S405,'SUR - ESTER'!K:K, 0), )</f>
        <v>31</v>
      </c>
      <c r="G405" s="159" t="str">
        <f t="array" ref="G405">INDEX('SUR - ESTER'!G:G, MATCH(S405,'SUR - ESTER'!K:K, 0), )</f>
        <v>A.A</v>
      </c>
      <c r="H405" s="238" t="str">
        <f t="array" ref="H405">INDEX('SUR - ESTER'!H:H, MATCH(S405,'SUR - ESTER'!K:K, 0), )</f>
        <v>SANDIA</v>
      </c>
      <c r="I405" s="239" t="str">
        <f t="array" ref="I405">INDEX('SUR - ESTER'!I:I, MATCH(S405,'SUR - ESTER'!K:K, 0), )</f>
        <v>1/10/2025 - Sectoristas - Opera con Normalidad</v>
      </c>
      <c r="J405" s="257">
        <f t="array" ref="J405">INDEX('SUR - ESTER'!J:J, MATCH(S405,'SUR - ESTER'!K:K, 0), )</f>
        <v>0</v>
      </c>
      <c r="K405" s="156" t="str">
        <f t="array" ref="K405">INDEX('SUR - ESTER'!K:K, MATCH(S405,'SUR - ESTER'!K:K, 0), )</f>
        <v>E - 129</v>
      </c>
      <c r="L405" s="251">
        <f t="array" ref="L405">INDEX('SUR - ESTER'!L:L, MATCH(S405,'SUR - ESTER'!K:K, 0), )</f>
        <v>0</v>
      </c>
      <c r="M405" s="251">
        <f t="array" ref="M405">INDEX('SUR - ESTER'!M:M, MATCH(S405,'SUR - ESTER'!K:K, 0), )</f>
        <v>0</v>
      </c>
      <c r="N405" s="258">
        <f t="array" ref="N405">INDEX('SUR - ESTER'!N:N, MATCH(S405,'SUR - ESTER'!K:K, 0), )</f>
        <v>0</v>
      </c>
      <c r="O405" s="253">
        <f t="array" ref="O405">INDEX('SUR - ESTER'!O:O, MATCH(S405,'SUR - ESTER'!K:K, 0), )</f>
        <v>0</v>
      </c>
      <c r="P405" s="236">
        <v>-14.321861111111112</v>
      </c>
      <c r="Q405" s="236">
        <v>-69.462388888888896</v>
      </c>
      <c r="R405" s="243" t="s">
        <v>1962</v>
      </c>
      <c r="S405" s="246" t="s">
        <v>1963</v>
      </c>
      <c r="U405" s="245"/>
    </row>
    <row r="406" spans="1:21" ht="17.25" customHeight="1">
      <c r="A406" s="236">
        <v>405</v>
      </c>
      <c r="B406" s="256" t="str">
        <f t="array" ref="B406">INDEX('SUR - ESTER'!B:B, MATCH(S406,'SUR - ESTER'!K:K, 0), )</f>
        <v>Santa Lucia</v>
      </c>
      <c r="C406" s="156" t="str">
        <f t="array" ref="C406">INDEX('SUR - ESTER'!C:C, MATCH(S406,'SUR - ESTER'!K:K, 0), )</f>
        <v>Puno</v>
      </c>
      <c r="D406" s="156" t="str">
        <f t="array" ref="D406">INDEX('SUR - ESTER'!D:D, MATCH(S406,'SUR - ESTER'!K:K, 0), )</f>
        <v>FM</v>
      </c>
      <c r="E406" s="156" t="str">
        <f t="array" ref="E406">INDEX('SUR - ESTER'!E:E, MATCH(S406,'SUR - ESTER'!K:K, 0), )</f>
        <v>98,1</v>
      </c>
      <c r="F406" s="156">
        <f t="array" ref="F406">INDEX('SUR - ESTER'!F:F, MATCH(S406,'SUR - ESTER'!K:K, 0), )</f>
        <v>31</v>
      </c>
      <c r="G406" s="159" t="str">
        <f t="array" ref="G406">INDEX('SUR - ESTER'!G:G, MATCH(S406,'SUR - ESTER'!K:K, 0), )</f>
        <v>A.A</v>
      </c>
      <c r="H406" s="238" t="str">
        <f t="array" ref="H406">INDEX('SUR - ESTER'!H:H, MATCH(S406,'SUR - ESTER'!K:K, 0), )</f>
        <v>SANTA LUCIA</v>
      </c>
      <c r="I406" s="239" t="str">
        <f t="array" ref="I406">INDEX('SUR - ESTER'!I:I, MATCH(S406,'SUR - ESTER'!K:K, 0), )</f>
        <v>1/10/2025 - Sectoristas - Opera con Normalidad</v>
      </c>
      <c r="J406" s="257">
        <f t="array" ref="J406">INDEX('SUR - ESTER'!J:J, MATCH(S406,'SUR - ESTER'!K:K, 0), )</f>
        <v>0</v>
      </c>
      <c r="K406" s="156" t="str">
        <f t="array" ref="K406">INDEX('SUR - ESTER'!K:K, MATCH(S406,'SUR - ESTER'!K:K, 0), )</f>
        <v>E - 130</v>
      </c>
      <c r="L406" s="251">
        <f t="array" ref="L406">INDEX('SUR - ESTER'!L:L, MATCH(S406,'SUR - ESTER'!K:K, 0), )</f>
        <v>0</v>
      </c>
      <c r="M406" s="251">
        <f t="array" ref="M406">INDEX('SUR - ESTER'!M:M, MATCH(S406,'SUR - ESTER'!K:K, 0), )</f>
        <v>0</v>
      </c>
      <c r="N406" s="258">
        <f t="array" ref="N406">INDEX('SUR - ESTER'!N:N, MATCH(S406,'SUR - ESTER'!K:K, 0), )</f>
        <v>0</v>
      </c>
      <c r="O406" s="253">
        <f t="array" ref="O406">INDEX('SUR - ESTER'!O:O, MATCH(S406,'SUR - ESTER'!K:K, 0), )</f>
        <v>0</v>
      </c>
      <c r="P406" s="236">
        <v>-15.689027777777778</v>
      </c>
      <c r="Q406" s="236">
        <v>-70.605333333333334</v>
      </c>
      <c r="R406" s="243" t="s">
        <v>1964</v>
      </c>
      <c r="S406" s="246" t="s">
        <v>1965</v>
      </c>
      <c r="U406" s="245"/>
    </row>
    <row r="407" spans="1:21" ht="17.25" customHeight="1">
      <c r="A407" s="236">
        <v>406</v>
      </c>
      <c r="B407" s="256" t="str">
        <f t="array" ref="B407">INDEX('SUR - ESTER'!B:B, MATCH(S407,'SUR - ESTER'!K:K, 0), )</f>
        <v>Santo Tomas</v>
      </c>
      <c r="C407" s="156" t="str">
        <f t="array" ref="C407">INDEX('SUR - ESTER'!C:C, MATCH(S407,'SUR - ESTER'!K:K, 0), )</f>
        <v>Cusco</v>
      </c>
      <c r="D407" s="156" t="str">
        <f t="array" ref="D407">INDEX('SUR - ESTER'!D:D, MATCH(S407,'SUR - ESTER'!K:K, 0), )</f>
        <v>FM</v>
      </c>
      <c r="E407" s="156" t="str">
        <f t="array" ref="E407">INDEX('SUR - ESTER'!E:E, MATCH(S407,'SUR - ESTER'!K:K, 0), )</f>
        <v>97,7</v>
      </c>
      <c r="F407" s="156">
        <f t="array" ref="F407">INDEX('SUR - ESTER'!F:F, MATCH(S407,'SUR - ESTER'!K:K, 0), )</f>
        <v>100</v>
      </c>
      <c r="G407" s="159" t="str">
        <f t="array" ref="G407">INDEX('SUR - ESTER'!G:G, MATCH(S407,'SUR - ESTER'!K:K, 0), )</f>
        <v>A.A</v>
      </c>
      <c r="H407" s="238" t="str">
        <f t="array" ref="H407">INDEX('SUR - ESTER'!H:H, MATCH(S407,'SUR - ESTER'!K:K, 0), )</f>
        <v>SANTO TOMAS</v>
      </c>
      <c r="I407" s="239" t="str">
        <f t="array" ref="I407">INDEX('SUR - ESTER'!I:I, MATCH(S407,'SUR - ESTER'!K:K, 0), )</f>
        <v>1/09/2025 - Sectoristas - Opera con normalidad</v>
      </c>
      <c r="J407" s="257">
        <f t="array" ref="J407">INDEX('SUR - ESTER'!J:J, MATCH(S407,'SUR - ESTER'!K:K, 0), )</f>
        <v>0</v>
      </c>
      <c r="K407" s="156" t="str">
        <f t="array" ref="K407">INDEX('SUR - ESTER'!K:K, MATCH(S407,'SUR - ESTER'!K:K, 0), )</f>
        <v>E - 131</v>
      </c>
      <c r="L407" s="251">
        <f t="array" ref="L407">INDEX('SUR - ESTER'!L:L, MATCH(S407,'SUR - ESTER'!K:K, 0), )</f>
        <v>0</v>
      </c>
      <c r="M407" s="251">
        <f t="array" ref="M407">INDEX('SUR - ESTER'!M:M, MATCH(S407,'SUR - ESTER'!K:K, 0), )</f>
        <v>0</v>
      </c>
      <c r="N407" s="258">
        <f t="array" ref="N407">INDEX('SUR - ESTER'!N:N, MATCH(S407,'SUR - ESTER'!K:K, 0), )</f>
        <v>0</v>
      </c>
      <c r="O407" s="253">
        <f t="array" ref="O407">INDEX('SUR - ESTER'!O:O, MATCH(S407,'SUR - ESTER'!K:K, 0), )</f>
        <v>0</v>
      </c>
      <c r="P407" s="236">
        <v>-14.450055555555554</v>
      </c>
      <c r="Q407" s="236">
        <v>-72.073583333333332</v>
      </c>
      <c r="R407" s="243" t="s">
        <v>1966</v>
      </c>
      <c r="S407" s="246" t="s">
        <v>1967</v>
      </c>
      <c r="U407" s="245"/>
    </row>
    <row r="408" spans="1:21" ht="17.25" customHeight="1">
      <c r="A408" s="236">
        <v>407</v>
      </c>
      <c r="B408" s="256" t="str">
        <f t="array" ref="B408">INDEX('SUR - ESTER'!B:B, MATCH(S408,'SUR - ESTER'!K:K, 0), )</f>
        <v>Sarayacu</v>
      </c>
      <c r="C408" s="156" t="str">
        <f t="array" ref="C408">INDEX('SUR - ESTER'!C:C, MATCH(S408,'SUR - ESTER'!K:K, 0), )</f>
        <v>Madre de Dios</v>
      </c>
      <c r="D408" s="156" t="str">
        <f t="array" ref="D408">INDEX('SUR - ESTER'!D:D, MATCH(S408,'SUR - ESTER'!K:K, 0), )</f>
        <v>FM</v>
      </c>
      <c r="E408" s="156">
        <f t="array" ref="E408">INDEX('SUR - ESTER'!E:E, MATCH(S408,'SUR - ESTER'!K:K, 0), )</f>
        <v>102.1</v>
      </c>
      <c r="F408" s="156">
        <f t="array" ref="F408">INDEX('SUR - ESTER'!F:F, MATCH(S408,'SUR - ESTER'!K:K, 0), )</f>
        <v>131</v>
      </c>
      <c r="G408" s="159" t="str">
        <f t="array" ref="G408">INDEX('SUR - ESTER'!G:G, MATCH(S408,'SUR - ESTER'!K:K, 0), )</f>
        <v>N.I</v>
      </c>
      <c r="H408" s="238" t="str">
        <f t="array" ref="H408">INDEX('SUR - ESTER'!H:H, MATCH(S408,'SUR - ESTER'!K:K, 0), )</f>
        <v>SARAYACU</v>
      </c>
      <c r="I408" s="239" t="str">
        <f t="array" ref="I408">INDEX('SUR - ESTER'!I:I, MATCH(S408,'SUR - ESTER'!K:K, 0), )</f>
        <v>31/10/2025 - Sectoristas - Hace dos semanas pararon la obra en la caseta por motivo de lluvias intensas /infor. pastor de la zona.</v>
      </c>
      <c r="J408" s="257" t="str">
        <f t="array" ref="J408">INDEX('SUR - ESTER'!J:J, MATCH(S408,'SUR - ESTER'!K:K, 0), )</f>
        <v>tecnico - Edwin Caviedes</v>
      </c>
      <c r="K408" s="156" t="str">
        <f t="array" ref="K408">INDEX('SUR - ESTER'!K:K, MATCH(S408,'SUR - ESTER'!K:K, 0), )</f>
        <v>E - 132</v>
      </c>
      <c r="L408" s="251">
        <f t="array" ref="L408">INDEX('SUR - ESTER'!L:L, MATCH(S408,'SUR - ESTER'!K:K, 0), )</f>
        <v>0</v>
      </c>
      <c r="M408" s="251">
        <f t="array" ref="M408">INDEX('SUR - ESTER'!M:M, MATCH(S408,'SUR - ESTER'!K:K, 0), )</f>
        <v>0</v>
      </c>
      <c r="N408" s="258">
        <f t="array" ref="N408">INDEX('SUR - ESTER'!N:N, MATCH(S408,'SUR - ESTER'!K:K, 0), )</f>
        <v>0</v>
      </c>
      <c r="O408" s="253">
        <f t="array" ref="O408">INDEX('SUR - ESTER'!O:O, MATCH(S408,'SUR - ESTER'!K:K, 0), )</f>
        <v>0</v>
      </c>
      <c r="P408" s="236">
        <v>-11.077888888888889</v>
      </c>
      <c r="Q408" s="236">
        <v>-75.321138888888882</v>
      </c>
      <c r="R408" s="243" t="s">
        <v>1306</v>
      </c>
      <c r="S408" s="246" t="s">
        <v>1968</v>
      </c>
      <c r="U408" s="245"/>
    </row>
    <row r="409" spans="1:21" ht="17.25" customHeight="1">
      <c r="A409" s="236">
        <v>408</v>
      </c>
      <c r="B409" s="256" t="str">
        <f t="array" ref="B409">INDEX('SUR - ESTER'!B:B, MATCH(S409,'SUR - ESTER'!K:K, 0), )</f>
        <v>Shiringayoc, Las Piedras Mavila</v>
      </c>
      <c r="C409" s="156" t="str">
        <f t="array" ref="C409">INDEX('SUR - ESTER'!C:C, MATCH(S409,'SUR - ESTER'!K:K, 0), )</f>
        <v>Madre de Dios</v>
      </c>
      <c r="D409" s="156" t="str">
        <f t="array" ref="D409">INDEX('SUR - ESTER'!D:D, MATCH(S409,'SUR - ESTER'!K:K, 0), )</f>
        <v>FM</v>
      </c>
      <c r="E409" s="156" t="str">
        <f t="array" ref="E409">INDEX('SUR - ESTER'!E:E, MATCH(S409,'SUR - ESTER'!K:K, 0), )</f>
        <v>98,1</v>
      </c>
      <c r="F409" s="156">
        <f t="array" ref="F409">INDEX('SUR - ESTER'!F:F, MATCH(S409,'SUR - ESTER'!K:K, 0), )</f>
        <v>34</v>
      </c>
      <c r="G409" s="159" t="str">
        <f t="array" ref="G409">INDEX('SUR - ESTER'!G:G, MATCH(S409,'SUR - ESTER'!K:K, 0), )</f>
        <v>A.A</v>
      </c>
      <c r="H409" s="238" t="str">
        <f t="array" ref="H409">INDEX('SUR - ESTER'!H:H, MATCH(S409,'SUR - ESTER'!K:K, 0), )</f>
        <v>SHIRINGAYOC</v>
      </c>
      <c r="I409" s="239" t="str">
        <f t="array" ref="I409">INDEX('SUR - ESTER'!I:I, MATCH(S409,'SUR - ESTER'!K:K, 0), )</f>
        <v>10/10/2025 - Sectoristas - Opera con normalidad</v>
      </c>
      <c r="J409" s="257">
        <f t="array" ref="J409">INDEX('SUR - ESTER'!J:J, MATCH(S409,'SUR - ESTER'!K:K, 0), )</f>
        <v>0</v>
      </c>
      <c r="K409" s="156" t="str">
        <f t="array" ref="K409">INDEX('SUR - ESTER'!K:K, MATCH(S409,'SUR - ESTER'!K:K, 0), )</f>
        <v>E - 133</v>
      </c>
      <c r="L409" s="251">
        <f t="array" ref="L409">INDEX('SUR - ESTER'!L:L, MATCH(S409,'SUR - ESTER'!K:K, 0), )</f>
        <v>0</v>
      </c>
      <c r="M409" s="251">
        <f t="array" ref="M409">INDEX('SUR - ESTER'!M:M, MATCH(S409,'SUR - ESTER'!K:K, 0), )</f>
        <v>0</v>
      </c>
      <c r="N409" s="258">
        <f t="array" ref="N409">INDEX('SUR - ESTER'!N:N, MATCH(S409,'SUR - ESTER'!K:K, 0), )</f>
        <v>0</v>
      </c>
      <c r="O409" s="253">
        <f t="array" ref="O409">INDEX('SUR - ESTER'!O:O, MATCH(S409,'SUR - ESTER'!K:K, 0), )</f>
        <v>0</v>
      </c>
      <c r="P409" s="236">
        <v>-11.93525</v>
      </c>
      <c r="Q409" s="236">
        <v>-69.119527777777776</v>
      </c>
      <c r="R409" s="243" t="s">
        <v>1969</v>
      </c>
      <c r="S409" s="246" t="s">
        <v>1970</v>
      </c>
      <c r="U409" s="245"/>
    </row>
    <row r="410" spans="1:21" ht="17.25" customHeight="1">
      <c r="A410" s="236">
        <v>409</v>
      </c>
      <c r="B410" s="256" t="str">
        <f t="array" ref="B410">INDEX('SUR - ESTER'!B:B, MATCH(S410,'SUR - ESTER'!K:K, 0), )</f>
        <v>Sicuani</v>
      </c>
      <c r="C410" s="156" t="str">
        <f t="array" ref="C410">INDEX('SUR - ESTER'!C:C, MATCH(S410,'SUR - ESTER'!K:K, 0), )</f>
        <v>Cusco</v>
      </c>
      <c r="D410" s="156" t="str">
        <f t="array" ref="D410">INDEX('SUR - ESTER'!D:D, MATCH(S410,'SUR - ESTER'!K:K, 0), )</f>
        <v>FM</v>
      </c>
      <c r="E410" s="156" t="str">
        <f t="array" ref="E410">INDEX('SUR - ESTER'!E:E, MATCH(S410,'SUR - ESTER'!K:K, 0), )</f>
        <v>102,7</v>
      </c>
      <c r="F410" s="156">
        <f t="array" ref="F410">INDEX('SUR - ESTER'!F:F, MATCH(S410,'SUR - ESTER'!K:K, 0), )</f>
        <v>93</v>
      </c>
      <c r="G410" s="159" t="str">
        <f t="array" ref="G410">INDEX('SUR - ESTER'!G:G, MATCH(S410,'SUR - ESTER'!K:K, 0), )</f>
        <v>A.A</v>
      </c>
      <c r="H410" s="238" t="str">
        <f t="array" ref="H410">INDEX('SUR - ESTER'!H:H, MATCH(S410,'SUR - ESTER'!K:K, 0), )</f>
        <v>SICUANI</v>
      </c>
      <c r="I410" s="239" t="str">
        <f t="array" ref="I410">INDEX('SUR - ESTER'!I:I, MATCH(S410,'SUR - ESTER'!K:K, 0), )</f>
        <v>22/09/2025 - Sectoristas - Opera con normalidad</v>
      </c>
      <c r="J410" s="257">
        <f t="array" ref="J410">INDEX('SUR - ESTER'!J:J, MATCH(S410,'SUR - ESTER'!K:K, 0), )</f>
        <v>0</v>
      </c>
      <c r="K410" s="156" t="str">
        <f t="array" ref="K410">INDEX('SUR - ESTER'!K:K, MATCH(S410,'SUR - ESTER'!K:K, 0), )</f>
        <v>E - 134</v>
      </c>
      <c r="L410" s="251">
        <f t="array" ref="L410">INDEX('SUR - ESTER'!L:L, MATCH(S410,'SUR - ESTER'!K:K, 0), )</f>
        <v>0</v>
      </c>
      <c r="M410" s="251">
        <f t="array" ref="M410">INDEX('SUR - ESTER'!M:M, MATCH(S410,'SUR - ESTER'!K:K, 0), )</f>
        <v>0</v>
      </c>
      <c r="N410" s="258">
        <f t="array" ref="N410">INDEX('SUR - ESTER'!N:N, MATCH(S410,'SUR - ESTER'!K:K, 0), )</f>
        <v>0</v>
      </c>
      <c r="O410" s="253">
        <f t="array" ref="O410">INDEX('SUR - ESTER'!O:O, MATCH(S410,'SUR - ESTER'!K:K, 0), )</f>
        <v>0</v>
      </c>
      <c r="P410" s="236">
        <v>-14.260619444444444</v>
      </c>
      <c r="Q410" s="236">
        <v>-71.246716666666671</v>
      </c>
      <c r="R410" s="243" t="s">
        <v>1971</v>
      </c>
      <c r="S410" s="246" t="s">
        <v>1972</v>
      </c>
      <c r="U410" s="245"/>
    </row>
    <row r="411" spans="1:21" ht="17.25" customHeight="1">
      <c r="A411" s="236">
        <v>410</v>
      </c>
      <c r="B411" s="256" t="str">
        <f t="array" ref="B411">INDEX('SUR - ESTER'!B:B, MATCH(S411,'SUR - ESTER'!K:K, 0), )</f>
        <v>Sicuani</v>
      </c>
      <c r="C411" s="156" t="str">
        <f t="array" ref="C411">INDEX('SUR - ESTER'!C:C, MATCH(S411,'SUR - ESTER'!K:K, 0), )</f>
        <v>Cusco</v>
      </c>
      <c r="D411" s="156" t="str">
        <f t="array" ref="D411">INDEX('SUR - ESTER'!D:D, MATCH(S411,'SUR - ESTER'!K:K, 0), )</f>
        <v>VHF</v>
      </c>
      <c r="E411" s="156">
        <f t="array" ref="E411">INDEX('SUR - ESTER'!E:E, MATCH(S411,'SUR - ESTER'!K:K, 0), )</f>
        <v>4</v>
      </c>
      <c r="F411" s="156">
        <f t="array" ref="F411">INDEX('SUR - ESTER'!F:F, MATCH(S411,'SUR - ESTER'!K:K, 0), )</f>
        <v>93</v>
      </c>
      <c r="G411" s="159" t="str">
        <f t="array" ref="G411">INDEX('SUR - ESTER'!G:G, MATCH(S411,'SUR - ESTER'!K:K, 0), )</f>
        <v>A.A</v>
      </c>
      <c r="H411" s="238" t="str">
        <f t="array" ref="H411">INDEX('SUR - ESTER'!H:H, MATCH(S411,'SUR - ESTER'!K:K, 0), )</f>
        <v>SICUANI</v>
      </c>
      <c r="I411" s="239" t="str">
        <f t="array" ref="I411">INDEX('SUR - ESTER'!I:I, MATCH(S411,'SUR - ESTER'!K:K, 0), )</f>
        <v>22/09/2025 - Sectoristas - Opera con normalidad</v>
      </c>
      <c r="J411" s="257">
        <f t="array" ref="J411">INDEX('SUR - ESTER'!J:J, MATCH(S411,'SUR - ESTER'!K:K, 0), )</f>
        <v>0</v>
      </c>
      <c r="K411" s="156" t="str">
        <f t="array" ref="K411">INDEX('SUR - ESTER'!K:K, MATCH(S411,'SUR - ESTER'!K:K, 0), )</f>
        <v>E - 135</v>
      </c>
      <c r="L411" s="251">
        <f t="array" ref="L411">INDEX('SUR - ESTER'!L:L, MATCH(S411,'SUR - ESTER'!K:K, 0), )</f>
        <v>0</v>
      </c>
      <c r="M411" s="251">
        <f t="array" ref="M411">INDEX('SUR - ESTER'!M:M, MATCH(S411,'SUR - ESTER'!K:K, 0), )</f>
        <v>0</v>
      </c>
      <c r="N411" s="258">
        <f t="array" ref="N411">INDEX('SUR - ESTER'!N:N, MATCH(S411,'SUR - ESTER'!K:K, 0), )</f>
        <v>0</v>
      </c>
      <c r="O411" s="253">
        <f t="array" ref="O411">INDEX('SUR - ESTER'!O:O, MATCH(S411,'SUR - ESTER'!K:K, 0), )</f>
        <v>0</v>
      </c>
      <c r="P411" s="236">
        <v>-14.260619444444444</v>
      </c>
      <c r="Q411" s="236">
        <v>-71.246716666666671</v>
      </c>
      <c r="R411" s="243" t="s">
        <v>1971</v>
      </c>
      <c r="S411" s="246" t="s">
        <v>1973</v>
      </c>
      <c r="U411" s="245"/>
    </row>
    <row r="412" spans="1:21" ht="17.25" customHeight="1">
      <c r="A412" s="236">
        <v>411</v>
      </c>
      <c r="B412" s="256" t="str">
        <f t="array" ref="B412">INDEX('SUR - ESTER'!B:B, MATCH(S412,'SUR - ESTER'!K:K, 0), )</f>
        <v>Tacna</v>
      </c>
      <c r="C412" s="156" t="str">
        <f t="array" ref="C412">INDEX('SUR - ESTER'!C:C, MATCH(S412,'SUR - ESTER'!K:K, 0), )</f>
        <v>Tacna</v>
      </c>
      <c r="D412" s="156" t="str">
        <f t="array" ref="D412">INDEX('SUR - ESTER'!D:D, MATCH(S412,'SUR - ESTER'!K:K, 0), )</f>
        <v>FM</v>
      </c>
      <c r="E412" s="156">
        <f t="array" ref="E412">INDEX('SUR - ESTER'!E:E, MATCH(S412,'SUR - ESTER'!K:K, 0), )</f>
        <v>98.7</v>
      </c>
      <c r="F412" s="156">
        <f t="array" ref="F412">INDEX('SUR - ESTER'!F:F, MATCH(S412,'SUR - ESTER'!K:K, 0), )</f>
        <v>38</v>
      </c>
      <c r="G412" s="159" t="str">
        <f t="array" ref="G412">INDEX('SUR - ESTER'!G:G, MATCH(S412,'SUR - ESTER'!K:K, 0), )</f>
        <v>A.A</v>
      </c>
      <c r="H412" s="238" t="str">
        <f t="array" ref="H412">INDEX('SUR - ESTER'!H:H, MATCH(S412,'SUR - ESTER'!K:K, 0), )</f>
        <v>TACNA</v>
      </c>
      <c r="I412" s="239" t="str">
        <f t="array" ref="I412">INDEX('SUR - ESTER'!I:I, MATCH(S412,'SUR - ESTER'!K:K, 0), )</f>
        <v>16/9/25 NUEVA FRECUENCIA CAMPRADA, AL AIRE CON SEÑAL DE BETHEL DESDE EL 14/09/2025</v>
      </c>
      <c r="J412" s="257">
        <f t="array" ref="J412">INDEX('SUR - ESTER'!J:J, MATCH(S412,'SUR - ESTER'!K:K, 0), )</f>
        <v>0</v>
      </c>
      <c r="K412" s="156" t="str">
        <f t="array" ref="K412">INDEX('SUR - ESTER'!K:K, MATCH(S412,'SUR - ESTER'!K:K, 0), )</f>
        <v>E - 136</v>
      </c>
      <c r="L412" s="251">
        <f t="array" ref="L412">INDEX('SUR - ESTER'!L:L, MATCH(S412,'SUR - ESTER'!K:K, 0), )</f>
        <v>0</v>
      </c>
      <c r="M412" s="251">
        <f t="array" ref="M412">INDEX('SUR - ESTER'!M:M, MATCH(S412,'SUR - ESTER'!K:K, 0), )</f>
        <v>0</v>
      </c>
      <c r="N412" s="258">
        <f t="array" ref="N412">INDEX('SUR - ESTER'!N:N, MATCH(S412,'SUR - ESTER'!K:K, 0), )</f>
        <v>0</v>
      </c>
      <c r="O412" s="253">
        <f t="array" ref="O412">INDEX('SUR - ESTER'!O:O, MATCH(S412,'SUR - ESTER'!K:K, 0), )</f>
        <v>0</v>
      </c>
      <c r="P412" s="236">
        <v>-11.077888888888889</v>
      </c>
      <c r="Q412" s="236">
        <v>-75.321138888888882</v>
      </c>
      <c r="R412" s="243" t="s">
        <v>1306</v>
      </c>
      <c r="S412" s="246" t="s">
        <v>1974</v>
      </c>
      <c r="U412" s="245"/>
    </row>
    <row r="413" spans="1:21" ht="17.25" customHeight="1">
      <c r="A413" s="236">
        <v>412</v>
      </c>
      <c r="B413" s="256" t="str">
        <f t="array" ref="B413">INDEX('SUR - ESTER'!B:B, MATCH(S413,'SUR - ESTER'!K:K, 0), )</f>
        <v>Tacna - Alto de la Alianza</v>
      </c>
      <c r="C413" s="156" t="str">
        <f t="array" ref="C413">INDEX('SUR - ESTER'!C:C, MATCH(S413,'SUR - ESTER'!K:K, 0), )</f>
        <v>Tacna</v>
      </c>
      <c r="D413" s="156" t="str">
        <f t="array" ref="D413">INDEX('SUR - ESTER'!D:D, MATCH(S413,'SUR - ESTER'!K:K, 0), )</f>
        <v>UHF</v>
      </c>
      <c r="E413" s="156">
        <f t="array" ref="E413">INDEX('SUR - ESTER'!E:E, MATCH(S413,'SUR - ESTER'!K:K, 0), )</f>
        <v>35</v>
      </c>
      <c r="F413" s="156">
        <f t="array" ref="F413">INDEX('SUR - ESTER'!F:F, MATCH(S413,'SUR - ESTER'!K:K, 0), )</f>
        <v>38</v>
      </c>
      <c r="G413" s="159" t="str">
        <f t="array" ref="G413">INDEX('SUR - ESTER'!G:G, MATCH(S413,'SUR - ESTER'!K:K, 0), )</f>
        <v>A.A</v>
      </c>
      <c r="H413" s="238" t="str">
        <f t="array" ref="H413">INDEX('SUR - ESTER'!H:H, MATCH(S413,'SUR - ESTER'!K:K, 0), )</f>
        <v>TACNA</v>
      </c>
      <c r="I413" s="239" t="str">
        <f t="array" ref="I413">INDEX('SUR - ESTER'!I:I, MATCH(S413,'SUR - ESTER'!K:K, 0), )</f>
        <v>16/09/2025 - Sectoristas - OPERA CON NORMALIDAD</v>
      </c>
      <c r="J413" s="257">
        <f t="array" ref="J413">INDEX('SUR - ESTER'!J:J, MATCH(S413,'SUR - ESTER'!K:K, 0), )</f>
        <v>0</v>
      </c>
      <c r="K413" s="156" t="str">
        <f t="array" ref="K413">INDEX('SUR - ESTER'!K:K, MATCH(S413,'SUR - ESTER'!K:K, 0), )</f>
        <v>E - 137</v>
      </c>
      <c r="L413" s="251">
        <f t="array" ref="L413">INDEX('SUR - ESTER'!L:L, MATCH(S413,'SUR - ESTER'!K:K, 0), )</f>
        <v>0</v>
      </c>
      <c r="M413" s="251">
        <f t="array" ref="M413">INDEX('SUR - ESTER'!M:M, MATCH(S413,'SUR - ESTER'!K:K, 0), )</f>
        <v>0</v>
      </c>
      <c r="N413" s="258">
        <f t="array" ref="N413">INDEX('SUR - ESTER'!N:N, MATCH(S413,'SUR - ESTER'!K:K, 0), )</f>
        <v>0</v>
      </c>
      <c r="O413" s="253">
        <f t="array" ref="O413">INDEX('SUR - ESTER'!O:O, MATCH(S413,'SUR - ESTER'!K:K, 0), )</f>
        <v>0</v>
      </c>
      <c r="P413" s="236">
        <v>-17.99325</v>
      </c>
      <c r="Q413" s="236">
        <v>-70.26133333333334</v>
      </c>
      <c r="R413" s="243" t="s">
        <v>1975</v>
      </c>
      <c r="S413" s="246" t="s">
        <v>1976</v>
      </c>
      <c r="U413" s="245"/>
    </row>
    <row r="414" spans="1:21" ht="17.25" customHeight="1">
      <c r="A414" s="236">
        <v>413</v>
      </c>
      <c r="B414" s="256" t="str">
        <f t="array" ref="B414">INDEX('SUR - ESTER'!B:B, MATCH(S414,'SUR - ESTER'!K:K, 0), )</f>
        <v>Tacna - La Yarada , Los Palos</v>
      </c>
      <c r="C414" s="156" t="str">
        <f t="array" ref="C414">INDEX('SUR - ESTER'!C:C, MATCH(S414,'SUR - ESTER'!K:K, 0), )</f>
        <v>Tacna</v>
      </c>
      <c r="D414" s="156" t="str">
        <f t="array" ref="D414">INDEX('SUR - ESTER'!D:D, MATCH(S414,'SUR - ESTER'!K:K, 0), )</f>
        <v>AM</v>
      </c>
      <c r="E414" s="156">
        <f t="array" ref="E414">INDEX('SUR - ESTER'!E:E, MATCH(S414,'SUR - ESTER'!K:K, 0), )</f>
        <v>610</v>
      </c>
      <c r="F414" s="156">
        <f t="array" ref="F414">INDEX('SUR - ESTER'!F:F, MATCH(S414,'SUR - ESTER'!K:K, 0), )</f>
        <v>38</v>
      </c>
      <c r="G414" s="159" t="str">
        <f t="array" ref="G414">INDEX('SUR - ESTER'!G:G, MATCH(S414,'SUR - ESTER'!K:K, 0), )</f>
        <v>A.A</v>
      </c>
      <c r="H414" s="238" t="str">
        <f t="array" ref="H414">INDEX('SUR - ESTER'!H:H, MATCH(S414,'SUR - ESTER'!K:K, 0), )</f>
        <v>TACNA</v>
      </c>
      <c r="I414" s="239" t="str">
        <f t="array" ref="I414">INDEX('SUR - ESTER'!I:I, MATCH(S414,'SUR - ESTER'!K:K, 0), )</f>
        <v>16/09/2025 - Sectoristas - OPERA CON NORMALIDAD</v>
      </c>
      <c r="J414" s="257">
        <f t="array" ref="J414">INDEX('SUR - ESTER'!J:J, MATCH(S414,'SUR - ESTER'!K:K, 0), )</f>
        <v>0</v>
      </c>
      <c r="K414" s="156" t="str">
        <f t="array" ref="K414">INDEX('SUR - ESTER'!K:K, MATCH(S414,'SUR - ESTER'!K:K, 0), )</f>
        <v>E - 138</v>
      </c>
      <c r="L414" s="251">
        <f t="array" ref="L414">INDEX('SUR - ESTER'!L:L, MATCH(S414,'SUR - ESTER'!K:K, 0), )</f>
        <v>0</v>
      </c>
      <c r="M414" s="251">
        <f t="array" ref="M414">INDEX('SUR - ESTER'!M:M, MATCH(S414,'SUR - ESTER'!K:K, 0), )</f>
        <v>0</v>
      </c>
      <c r="N414" s="258">
        <f t="array" ref="N414">INDEX('SUR - ESTER'!N:N, MATCH(S414,'SUR - ESTER'!K:K, 0), )</f>
        <v>0</v>
      </c>
      <c r="O414" s="253">
        <f t="array" ref="O414">INDEX('SUR - ESTER'!O:O, MATCH(S414,'SUR - ESTER'!K:K, 0), )</f>
        <v>0</v>
      </c>
      <c r="P414" s="236">
        <v>-18.086194444444445</v>
      </c>
      <c r="Q414" s="236">
        <v>-70.254694444444439</v>
      </c>
      <c r="R414" s="243" t="s">
        <v>1977</v>
      </c>
      <c r="S414" s="246" t="s">
        <v>1978</v>
      </c>
      <c r="U414" s="245"/>
    </row>
    <row r="415" spans="1:21" ht="17.25" customHeight="1">
      <c r="A415" s="236">
        <v>414</v>
      </c>
      <c r="B415" s="256" t="str">
        <f t="array" ref="B415">INDEX('SUR - ESTER'!B:B, MATCH(S415,'SUR - ESTER'!K:K, 0), )</f>
        <v>Tambobamba</v>
      </c>
      <c r="C415" s="156" t="str">
        <f t="array" ref="C415">INDEX('SUR - ESTER'!C:C, MATCH(S415,'SUR - ESTER'!K:K, 0), )</f>
        <v>Apurimac</v>
      </c>
      <c r="D415" s="156" t="str">
        <f t="array" ref="D415">INDEX('SUR - ESTER'!D:D, MATCH(S415,'SUR - ESTER'!K:K, 0), )</f>
        <v>FM</v>
      </c>
      <c r="E415" s="156" t="str">
        <f t="array" ref="E415">INDEX('SUR - ESTER'!E:E, MATCH(S415,'SUR - ESTER'!K:K, 0), )</f>
        <v>93,9</v>
      </c>
      <c r="F415" s="156">
        <f t="array" ref="F415">INDEX('SUR - ESTER'!F:F, MATCH(S415,'SUR - ESTER'!K:K, 0), )</f>
        <v>100</v>
      </c>
      <c r="G415" s="159" t="str">
        <f t="array" ref="G415">INDEX('SUR - ESTER'!G:G, MATCH(S415,'SUR - ESTER'!K:K, 0), )</f>
        <v>A.A</v>
      </c>
      <c r="H415" s="238" t="str">
        <f t="array" ref="H415">INDEX('SUR - ESTER'!H:H, MATCH(S415,'SUR - ESTER'!K:K, 0), )</f>
        <v>TAMBOBAMBA</v>
      </c>
      <c r="I415" s="239" t="str">
        <f t="array" ref="I415">INDEX('SUR - ESTER'!I:I, MATCH(S415,'SUR - ESTER'!K:K, 0), )</f>
        <v>1/09/2025 - Sectoristas - Opera con normalidad</v>
      </c>
      <c r="J415" s="257">
        <f t="array" ref="J415">INDEX('SUR - ESTER'!J:J, MATCH(S415,'SUR - ESTER'!K:K, 0), )</f>
        <v>0</v>
      </c>
      <c r="K415" s="156" t="str">
        <f t="array" ref="K415">INDEX('SUR - ESTER'!K:K, MATCH(S415,'SUR - ESTER'!K:K, 0), )</f>
        <v>E - 139</v>
      </c>
      <c r="L415" s="251">
        <f t="array" ref="L415">INDEX('SUR - ESTER'!L:L, MATCH(S415,'SUR - ESTER'!K:K, 0), )</f>
        <v>0</v>
      </c>
      <c r="M415" s="251">
        <f t="array" ref="M415">INDEX('SUR - ESTER'!M:M, MATCH(S415,'SUR - ESTER'!K:K, 0), )</f>
        <v>0</v>
      </c>
      <c r="N415" s="258">
        <f t="array" ref="N415">INDEX('SUR - ESTER'!N:N, MATCH(S415,'SUR - ESTER'!K:K, 0), )</f>
        <v>0</v>
      </c>
      <c r="O415" s="253">
        <f t="array" ref="O415">INDEX('SUR - ESTER'!O:O, MATCH(S415,'SUR - ESTER'!K:K, 0), )</f>
        <v>0</v>
      </c>
      <c r="P415" s="236">
        <v>-14.261277777777778</v>
      </c>
      <c r="Q415" s="236">
        <v>-72.561494444444435</v>
      </c>
      <c r="R415" s="243" t="s">
        <v>1979</v>
      </c>
      <c r="S415" s="246" t="s">
        <v>1980</v>
      </c>
      <c r="U415" s="245"/>
    </row>
    <row r="416" spans="1:21" ht="17.25" customHeight="1">
      <c r="A416" s="236">
        <v>415</v>
      </c>
      <c r="B416" s="256" t="str">
        <f t="array" ref="B416">INDEX('SUR - ESTER'!B:B, MATCH(S416,'SUR - ESTER'!K:K, 0), )</f>
        <v>Tarata</v>
      </c>
      <c r="C416" s="156" t="str">
        <f t="array" ref="C416">INDEX('SUR - ESTER'!C:C, MATCH(S416,'SUR - ESTER'!K:K, 0), )</f>
        <v>Tacna</v>
      </c>
      <c r="D416" s="156" t="str">
        <f t="array" ref="D416">INDEX('SUR - ESTER'!D:D, MATCH(S416,'SUR - ESTER'!K:K, 0), )</f>
        <v>FM</v>
      </c>
      <c r="E416" s="156" t="str">
        <f t="array" ref="E416">INDEX('SUR - ESTER'!E:E, MATCH(S416,'SUR - ESTER'!K:K, 0), )</f>
        <v>90,3</v>
      </c>
      <c r="F416" s="156">
        <f t="array" ref="F416">INDEX('SUR - ESTER'!F:F, MATCH(S416,'SUR - ESTER'!K:K, 0), )</f>
        <v>38</v>
      </c>
      <c r="G416" s="159" t="str">
        <f t="array" ref="G416">INDEX('SUR - ESTER'!G:G, MATCH(S416,'SUR - ESTER'!K:K, 0), )</f>
        <v>F.A</v>
      </c>
      <c r="H416" s="238" t="str">
        <f t="array" ref="H416">INDEX('SUR - ESTER'!H:H, MATCH(S416,'SUR - ESTER'!K:K, 0), )</f>
        <v>TARATA</v>
      </c>
      <c r="I416" s="239" t="str">
        <f t="array" ref="I416">INDEX('SUR - ESTER'!I:I, MATCH(S416,'SUR - ESTER'!K:K, 0), )</f>
        <v>25/11/2025 - Sectoristas - No llegaron a reparar bien el transmisor, estara siendo enviado a Arequipa para su reparacion.</v>
      </c>
      <c r="J416" s="257">
        <f t="array" ref="J416">INDEX('SUR - ESTER'!J:J, MATCH(S416,'SUR - ESTER'!K:K, 0), )</f>
        <v>0</v>
      </c>
      <c r="K416" s="156" t="str">
        <f t="array" ref="K416">INDEX('SUR - ESTER'!K:K, MATCH(S416,'SUR - ESTER'!K:K, 0), )</f>
        <v>E - 140</v>
      </c>
      <c r="L416" s="251" t="str">
        <f t="array" ref="L416">INDEX('SUR - ESTER'!L:L, MATCH(S416,'SUR - ESTER'!K:K, 0), )</f>
        <v>Iglesia Local</v>
      </c>
      <c r="M416" s="251" t="str">
        <f t="array" ref="M416">INDEX('SUR - ESTER'!M:M, MATCH(S416,'SUR - ESTER'!K:K, 0), )</f>
        <v>Nivel 1</v>
      </c>
      <c r="N416" s="258">
        <f t="array" ref="N416">INDEX('SUR - ESTER'!N:N, MATCH(S416,'SUR - ESTER'!K:K, 0), )</f>
        <v>0</v>
      </c>
      <c r="O416" s="253">
        <f t="array" ref="O416">INDEX('SUR - ESTER'!O:O, MATCH(S416,'SUR - ESTER'!K:K, 0), )</f>
        <v>0</v>
      </c>
      <c r="P416" s="236">
        <v>-17.482533333333333</v>
      </c>
      <c r="Q416" s="236">
        <v>-70.041200000000003</v>
      </c>
      <c r="R416" s="243" t="s">
        <v>1981</v>
      </c>
      <c r="S416" s="246" t="s">
        <v>1247</v>
      </c>
      <c r="U416" s="245"/>
    </row>
    <row r="417" spans="1:21" ht="17.25" customHeight="1">
      <c r="A417" s="236">
        <v>416</v>
      </c>
      <c r="B417" s="256" t="str">
        <f t="array" ref="B417">INDEX('SUR - ESTER'!B:B, MATCH(S417,'SUR - ESTER'!K:K, 0), )</f>
        <v>Tarata</v>
      </c>
      <c r="C417" s="156" t="str">
        <f t="array" ref="C417">INDEX('SUR - ESTER'!C:C, MATCH(S417,'SUR - ESTER'!K:K, 0), )</f>
        <v>Tacna</v>
      </c>
      <c r="D417" s="156" t="str">
        <f t="array" ref="D417">INDEX('SUR - ESTER'!D:D, MATCH(S417,'SUR - ESTER'!K:K, 0), )</f>
        <v>VHF</v>
      </c>
      <c r="E417" s="156">
        <f t="array" ref="E417">INDEX('SUR - ESTER'!E:E, MATCH(S417,'SUR - ESTER'!K:K, 0), )</f>
        <v>6</v>
      </c>
      <c r="F417" s="156">
        <f t="array" ref="F417">INDEX('SUR - ESTER'!F:F, MATCH(S417,'SUR - ESTER'!K:K, 0), )</f>
        <v>38</v>
      </c>
      <c r="G417" s="159" t="str">
        <f t="array" ref="G417">INDEX('SUR - ESTER'!G:G, MATCH(S417,'SUR - ESTER'!K:K, 0), )</f>
        <v>F.A</v>
      </c>
      <c r="H417" s="238" t="str">
        <f t="array" ref="H417">INDEX('SUR - ESTER'!H:H, MATCH(S417,'SUR - ESTER'!K:K, 0), )</f>
        <v>TARATA</v>
      </c>
      <c r="I417" s="239" t="str">
        <f t="array" ref="I417">INDEX('SUR - ESTER'!I:I, MATCH(S417,'SUR - ESTER'!K:K, 0), )</f>
        <v>25/11/2025 - Sectoristas - Estara siendo enviado Arequipa para su reparacion</v>
      </c>
      <c r="J417" s="257">
        <f t="array" ref="J417">INDEX('SUR - ESTER'!J:J, MATCH(S417,'SUR - ESTER'!K:K, 0), )</f>
        <v>0</v>
      </c>
      <c r="K417" s="156" t="str">
        <f t="array" ref="K417">INDEX('SUR - ESTER'!K:K, MATCH(S417,'SUR - ESTER'!K:K, 0), )</f>
        <v>E - 141</v>
      </c>
      <c r="L417" s="251" t="str">
        <f t="array" ref="L417">INDEX('SUR - ESTER'!L:L, MATCH(S417,'SUR - ESTER'!K:K, 0), )</f>
        <v>Iglesia Local</v>
      </c>
      <c r="M417" s="251" t="str">
        <f t="array" ref="M417">INDEX('SUR - ESTER'!M:M, MATCH(S417,'SUR - ESTER'!K:K, 0), )</f>
        <v>Nivel 1</v>
      </c>
      <c r="N417" s="258">
        <f t="array" ref="N417">INDEX('SUR - ESTER'!N:N, MATCH(S417,'SUR - ESTER'!K:K, 0), )</f>
        <v>0</v>
      </c>
      <c r="O417" s="253">
        <f t="array" ref="O417">INDEX('SUR - ESTER'!O:O, MATCH(S417,'SUR - ESTER'!K:K, 0), )</f>
        <v>0</v>
      </c>
      <c r="P417" s="236">
        <v>-17.46822222222222</v>
      </c>
      <c r="Q417" s="236">
        <v>-70.041444444444437</v>
      </c>
      <c r="R417" s="243" t="s">
        <v>1982</v>
      </c>
      <c r="S417" s="246" t="s">
        <v>1249</v>
      </c>
      <c r="U417" s="245"/>
    </row>
    <row r="418" spans="1:21" ht="17.25" customHeight="1">
      <c r="A418" s="236">
        <v>417</v>
      </c>
      <c r="B418" s="256" t="str">
        <f t="array" ref="B418">INDEX('SUR - ESTER'!B:B, MATCH(S418,'SUR - ESTER'!K:K, 0), )</f>
        <v>Torata</v>
      </c>
      <c r="C418" s="156" t="str">
        <f t="array" ref="C418">INDEX('SUR - ESTER'!C:C, MATCH(S418,'SUR - ESTER'!K:K, 0), )</f>
        <v>Moquegua</v>
      </c>
      <c r="D418" s="156" t="str">
        <f t="array" ref="D418">INDEX('SUR - ESTER'!D:D, MATCH(S418,'SUR - ESTER'!K:K, 0), )</f>
        <v>FM</v>
      </c>
      <c r="E418" s="156" t="str">
        <f t="array" ref="E418">INDEX('SUR - ESTER'!E:E, MATCH(S418,'SUR - ESTER'!K:K, 0), )</f>
        <v>89,5</v>
      </c>
      <c r="F418" s="156">
        <f t="array" ref="F418">INDEX('SUR - ESTER'!F:F, MATCH(S418,'SUR - ESTER'!K:K, 0), )</f>
        <v>94</v>
      </c>
      <c r="G418" s="159" t="str">
        <f t="array" ref="G418">INDEX('SUR - ESTER'!G:G, MATCH(S418,'SUR - ESTER'!K:K, 0), )</f>
        <v>A.A</v>
      </c>
      <c r="H418" s="238" t="str">
        <f t="array" ref="H418">INDEX('SUR - ESTER'!H:H, MATCH(S418,'SUR - ESTER'!K:K, 0), )</f>
        <v>TORATA</v>
      </c>
      <c r="I418" s="239" t="str">
        <f t="array" ref="I418">INDEX('SUR - ESTER'!I:I, MATCH(S418,'SUR - ESTER'!K:K, 0), )</f>
        <v>16/09/2025 - Sectoristas - OPERA CON NORMALIDAD</v>
      </c>
      <c r="J418" s="257">
        <f t="array" ref="J418">INDEX('SUR - ESTER'!J:J, MATCH(S418,'SUR - ESTER'!K:K, 0), )</f>
        <v>0</v>
      </c>
      <c r="K418" s="156" t="str">
        <f t="array" ref="K418">INDEX('SUR - ESTER'!K:K, MATCH(S418,'SUR - ESTER'!K:K, 0), )</f>
        <v>E - 142</v>
      </c>
      <c r="L418" s="251">
        <f t="array" ref="L418">INDEX('SUR - ESTER'!L:L, MATCH(S418,'SUR - ESTER'!K:K, 0), )</f>
        <v>0</v>
      </c>
      <c r="M418" s="251">
        <f t="array" ref="M418">INDEX('SUR - ESTER'!M:M, MATCH(S418,'SUR - ESTER'!K:K, 0), )</f>
        <v>0</v>
      </c>
      <c r="N418" s="258">
        <f t="array" ref="N418">INDEX('SUR - ESTER'!N:N, MATCH(S418,'SUR - ESTER'!K:K, 0), )</f>
        <v>0</v>
      </c>
      <c r="O418" s="253">
        <f t="array" ref="O418">INDEX('SUR - ESTER'!O:O, MATCH(S418,'SUR - ESTER'!K:K, 0), )</f>
        <v>0</v>
      </c>
      <c r="P418" s="236">
        <v>-17.103722222222224</v>
      </c>
      <c r="Q418" s="236">
        <v>-70.877833333333328</v>
      </c>
      <c r="R418" s="243" t="s">
        <v>1983</v>
      </c>
      <c r="S418" s="246" t="s">
        <v>1984</v>
      </c>
      <c r="U418" s="245"/>
    </row>
    <row r="419" spans="1:21" ht="17.25" customHeight="1">
      <c r="A419" s="236">
        <v>418</v>
      </c>
      <c r="B419" s="256" t="str">
        <f t="array" ref="B419">INDEX('SUR - ESTER'!B:B, MATCH(S419,'SUR - ESTER'!K:K, 0), )</f>
        <v>Totora - Mamara</v>
      </c>
      <c r="C419" s="156" t="str">
        <f t="array" ref="C419">INDEX('SUR - ESTER'!C:C, MATCH(S419,'SUR - ESTER'!K:K, 0), )</f>
        <v>Apurimac</v>
      </c>
      <c r="D419" s="156" t="str">
        <f t="array" ref="D419">INDEX('SUR - ESTER'!D:D, MATCH(S419,'SUR - ESTER'!K:K, 0), )</f>
        <v>FM</v>
      </c>
      <c r="E419" s="156" t="str">
        <f t="array" ref="E419">INDEX('SUR - ESTER'!E:E, MATCH(S419,'SUR - ESTER'!K:K, 0), )</f>
        <v>98,5</v>
      </c>
      <c r="F419" s="156">
        <f t="array" ref="F419">INDEX('SUR - ESTER'!F:F, MATCH(S419,'SUR - ESTER'!K:K, 0), )</f>
        <v>67</v>
      </c>
      <c r="G419" s="159" t="str">
        <f t="array" ref="G419">INDEX('SUR - ESTER'!G:G, MATCH(S419,'SUR - ESTER'!K:K, 0), )</f>
        <v>A.A</v>
      </c>
      <c r="H419" s="238" t="str">
        <f t="array" ref="H419">INDEX('SUR - ESTER'!H:H, MATCH(S419,'SUR - ESTER'!K:K, 0), )</f>
        <v>TOTORA</v>
      </c>
      <c r="I419" s="239" t="str">
        <f t="array" ref="I419">INDEX('SUR - ESTER'!I:I, MATCH(S419,'SUR - ESTER'!K:K, 0), )</f>
        <v>10/09/2025 - Sectoristas - Opera con normalidad</v>
      </c>
      <c r="J419" s="257">
        <f t="array" ref="J419">INDEX('SUR - ESTER'!J:J, MATCH(S419,'SUR - ESTER'!K:K, 0), )</f>
        <v>0</v>
      </c>
      <c r="K419" s="156" t="str">
        <f t="array" ref="K419">INDEX('SUR - ESTER'!K:K, MATCH(S419,'SUR - ESTER'!K:K, 0), )</f>
        <v>E - 143</v>
      </c>
      <c r="L419" s="251">
        <f t="array" ref="L419">INDEX('SUR - ESTER'!L:L, MATCH(S419,'SUR - ESTER'!K:K, 0), )</f>
        <v>0</v>
      </c>
      <c r="M419" s="251">
        <f t="array" ref="M419">INDEX('SUR - ESTER'!M:M, MATCH(S419,'SUR - ESTER'!K:K, 0), )</f>
        <v>0</v>
      </c>
      <c r="N419" s="258">
        <f t="array" ref="N419">INDEX('SUR - ESTER'!N:N, MATCH(S419,'SUR - ESTER'!K:K, 0), )</f>
        <v>0</v>
      </c>
      <c r="O419" s="253">
        <f t="array" ref="O419">INDEX('SUR - ESTER'!O:O, MATCH(S419,'SUR - ESTER'!K:K, 0), )</f>
        <v>0</v>
      </c>
      <c r="P419" s="236">
        <v>-14.0808</v>
      </c>
      <c r="Q419" s="236">
        <v>-72.627272222222217</v>
      </c>
      <c r="R419" s="243" t="s">
        <v>1985</v>
      </c>
      <c r="S419" s="246" t="s">
        <v>1986</v>
      </c>
      <c r="U419" s="245"/>
    </row>
    <row r="420" spans="1:21" ht="17.25" customHeight="1">
      <c r="A420" s="236">
        <v>419</v>
      </c>
      <c r="B420" s="256" t="str">
        <f t="array" ref="B420">INDEX('SUR - ESTER'!B:B, MATCH(S420,'SUR - ESTER'!K:K, 0), )</f>
        <v>Urcos - Cusco</v>
      </c>
      <c r="C420" s="156" t="str">
        <f t="array" ref="C420">INDEX('SUR - ESTER'!C:C, MATCH(S420,'SUR - ESTER'!K:K, 0), )</f>
        <v>Cusco</v>
      </c>
      <c r="D420" s="156" t="str">
        <f t="array" ref="D420">INDEX('SUR - ESTER'!D:D, MATCH(S420,'SUR - ESTER'!K:K, 0), )</f>
        <v>FM</v>
      </c>
      <c r="E420" s="156" t="str">
        <f t="array" ref="E420">INDEX('SUR - ESTER'!E:E, MATCH(S420,'SUR - ESTER'!K:K, 0), )</f>
        <v>104.5</v>
      </c>
      <c r="F420" s="156">
        <f t="array" ref="F420">INDEX('SUR - ESTER'!F:F, MATCH(S420,'SUR - ESTER'!K:K, 0), )</f>
        <v>21</v>
      </c>
      <c r="G420" s="159" t="str">
        <f t="array" ref="G420">INDEX('SUR - ESTER'!G:G, MATCH(S420,'SUR - ESTER'!K:K, 0), )</f>
        <v>A.A</v>
      </c>
      <c r="H420" s="238" t="str">
        <f t="array" ref="H420">INDEX('SUR - ESTER'!H:H, MATCH(S420,'SUR - ESTER'!K:K, 0), )</f>
        <v>URCOS</v>
      </c>
      <c r="I420" s="239" t="str">
        <f t="array" ref="I420">INDEX('SUR - ESTER'!I:I, MATCH(S420,'SUR - ESTER'!K:K, 0), )</f>
        <v>2/09/2025 - Sectoristas - Opera con normalidad / local alquilado</v>
      </c>
      <c r="J420" s="257">
        <f t="array" ref="J420">INDEX('SUR - ESTER'!J:J, MATCH(S420,'SUR - ESTER'!K:K, 0), )</f>
        <v>0</v>
      </c>
      <c r="K420" s="156" t="str">
        <f t="array" ref="K420">INDEX('SUR - ESTER'!K:K, MATCH(S420,'SUR - ESTER'!K:K, 0), )</f>
        <v>E - 144</v>
      </c>
      <c r="L420" s="251">
        <f t="array" ref="L420">INDEX('SUR - ESTER'!L:L, MATCH(S420,'SUR - ESTER'!K:K, 0), )</f>
        <v>0</v>
      </c>
      <c r="M420" s="251">
        <f t="array" ref="M420">INDEX('SUR - ESTER'!M:M, MATCH(S420,'SUR - ESTER'!K:K, 0), )</f>
        <v>0</v>
      </c>
      <c r="N420" s="258">
        <f t="array" ref="N420">INDEX('SUR - ESTER'!N:N, MATCH(S420,'SUR - ESTER'!K:K, 0), )</f>
        <v>0</v>
      </c>
      <c r="O420" s="253">
        <f t="array" ref="O420">INDEX('SUR - ESTER'!O:O, MATCH(S420,'SUR - ESTER'!K:K, 0), )</f>
        <v>0</v>
      </c>
      <c r="P420" s="236">
        <v>-13.623416666666667</v>
      </c>
      <c r="Q420" s="236">
        <v>-71.643444444444455</v>
      </c>
      <c r="R420" s="243" t="s">
        <v>1987</v>
      </c>
      <c r="S420" s="246" t="s">
        <v>1988</v>
      </c>
      <c r="U420" s="245"/>
    </row>
    <row r="421" spans="1:21" ht="17.25" customHeight="1">
      <c r="A421" s="236">
        <v>420</v>
      </c>
      <c r="B421" s="256" t="str">
        <f t="array" ref="B421">INDEX('SUR - ESTER'!B:B, MATCH(S421,'SUR - ESTER'!K:K, 0), )</f>
        <v>Urubamba</v>
      </c>
      <c r="C421" s="156" t="str">
        <f t="array" ref="C421">INDEX('SUR - ESTER'!C:C, MATCH(S421,'SUR - ESTER'!K:K, 0), )</f>
        <v>Cusco</v>
      </c>
      <c r="D421" s="156" t="str">
        <f t="array" ref="D421">INDEX('SUR - ESTER'!D:D, MATCH(S421,'SUR - ESTER'!K:K, 0), )</f>
        <v>VHF</v>
      </c>
      <c r="E421" s="156">
        <f t="array" ref="E421">INDEX('SUR - ESTER'!E:E, MATCH(S421,'SUR - ESTER'!K:K, 0), )</f>
        <v>9</v>
      </c>
      <c r="F421" s="156">
        <f t="array" ref="F421">INDEX('SUR - ESTER'!F:F, MATCH(S421,'SUR - ESTER'!K:K, 0), )</f>
        <v>124</v>
      </c>
      <c r="G421" s="159" t="str">
        <f t="array" ref="G421">INDEX('SUR - ESTER'!G:G, MATCH(S421,'SUR - ESTER'!K:K, 0), )</f>
        <v>A.A</v>
      </c>
      <c r="H421" s="238" t="str">
        <f t="array" ref="H421">INDEX('SUR - ESTER'!H:H, MATCH(S421,'SUR - ESTER'!K:K, 0), )</f>
        <v>URUBAMBA</v>
      </c>
      <c r="I421" s="239" t="str">
        <f t="array" ref="I421">INDEX('SUR - ESTER'!I:I, MATCH(S421,'SUR - ESTER'!K:K, 0), )</f>
        <v>3/11/2025 - Sectoristas - Operando con normalidad, inf. El pastor comento que tuvo el apoyo del ps. Pedro Maxi para la revision de su transmisor</v>
      </c>
      <c r="J421" s="257">
        <f t="array" ref="J421">INDEX('SUR - ESTER'!J:J, MATCH(S421,'SUR - ESTER'!K:K, 0), )</f>
        <v>0</v>
      </c>
      <c r="K421" s="156" t="str">
        <f t="array" ref="K421">INDEX('SUR - ESTER'!K:K, MATCH(S421,'SUR - ESTER'!K:K, 0), )</f>
        <v>E - 145</v>
      </c>
      <c r="L421" s="251">
        <f t="array" ref="L421">INDEX('SUR - ESTER'!L:L, MATCH(S421,'SUR - ESTER'!K:K, 0), )</f>
        <v>0</v>
      </c>
      <c r="M421" s="251">
        <f t="array" ref="M421">INDEX('SUR - ESTER'!M:M, MATCH(S421,'SUR - ESTER'!K:K, 0), )</f>
        <v>0</v>
      </c>
      <c r="N421" s="258">
        <f t="array" ref="N421">INDEX('SUR - ESTER'!N:N, MATCH(S421,'SUR - ESTER'!K:K, 0), )</f>
        <v>0</v>
      </c>
      <c r="O421" s="253">
        <f t="array" ref="O421">INDEX('SUR - ESTER'!O:O, MATCH(S421,'SUR - ESTER'!K:K, 0), )</f>
        <v>0</v>
      </c>
      <c r="P421" s="236">
        <v>-13.310388888888889</v>
      </c>
      <c r="Q421" s="236">
        <v>-72.110944444444442</v>
      </c>
      <c r="R421" s="243" t="s">
        <v>1989</v>
      </c>
      <c r="S421" s="246" t="s">
        <v>1990</v>
      </c>
      <c r="U421" s="245"/>
    </row>
    <row r="422" spans="1:21" ht="17.25" customHeight="1">
      <c r="A422" s="236">
        <v>421</v>
      </c>
      <c r="B422" s="256" t="str">
        <f t="array" ref="B422">INDEX('SUR - ESTER'!B:B, MATCH(S422,'SUR - ESTER'!K:K, 0), )</f>
        <v>Urubamba</v>
      </c>
      <c r="C422" s="156" t="str">
        <f t="array" ref="C422">INDEX('SUR - ESTER'!C:C, MATCH(S422,'SUR - ESTER'!K:K, 0), )</f>
        <v>Cusco</v>
      </c>
      <c r="D422" s="156" t="str">
        <f t="array" ref="D422">INDEX('SUR - ESTER'!D:D, MATCH(S422,'SUR - ESTER'!K:K, 0), )</f>
        <v>FM</v>
      </c>
      <c r="E422" s="156" t="str">
        <f t="array" ref="E422">INDEX('SUR - ESTER'!E:E, MATCH(S422,'SUR - ESTER'!K:K, 0), )</f>
        <v>103,1</v>
      </c>
      <c r="F422" s="156">
        <f t="array" ref="F422">INDEX('SUR - ESTER'!F:F, MATCH(S422,'SUR - ESTER'!K:K, 0), )</f>
        <v>124</v>
      </c>
      <c r="G422" s="159" t="str">
        <f t="array" ref="G422">INDEX('SUR - ESTER'!G:G, MATCH(S422,'SUR - ESTER'!K:K, 0), )</f>
        <v>A.A</v>
      </c>
      <c r="H422" s="238" t="str">
        <f t="array" ref="H422">INDEX('SUR - ESTER'!H:H, MATCH(S422,'SUR - ESTER'!K:K, 0), )</f>
        <v>URUBAMBA</v>
      </c>
      <c r="I422" s="239" t="str">
        <f t="array" ref="I422">INDEX('SUR - ESTER'!I:I, MATCH(S422,'SUR - ESTER'!K:K, 0), )</f>
        <v>29/10/2025 - Sectoristas - Opera con normalidad, informacion brindada por el pastor.</v>
      </c>
      <c r="J422" s="257">
        <f t="array" ref="J422">INDEX('SUR - ESTER'!J:J, MATCH(S422,'SUR - ESTER'!K:K, 0), )</f>
        <v>0</v>
      </c>
      <c r="K422" s="156" t="str">
        <f t="array" ref="K422">INDEX('SUR - ESTER'!K:K, MATCH(S422,'SUR - ESTER'!K:K, 0), )</f>
        <v>E - 146</v>
      </c>
      <c r="L422" s="251">
        <f t="array" ref="L422">INDEX('SUR - ESTER'!L:L, MATCH(S422,'SUR - ESTER'!K:K, 0), )</f>
        <v>0</v>
      </c>
      <c r="M422" s="251">
        <f t="array" ref="M422">INDEX('SUR - ESTER'!M:M, MATCH(S422,'SUR - ESTER'!K:K, 0), )</f>
        <v>0</v>
      </c>
      <c r="N422" s="258">
        <f t="array" ref="N422">INDEX('SUR - ESTER'!N:N, MATCH(S422,'SUR - ESTER'!K:K, 0), )</f>
        <v>0</v>
      </c>
      <c r="O422" s="253">
        <f t="array" ref="O422">INDEX('SUR - ESTER'!O:O, MATCH(S422,'SUR - ESTER'!K:K, 0), )</f>
        <v>0</v>
      </c>
      <c r="P422" s="236">
        <v>-13.310388888888889</v>
      </c>
      <c r="Q422" s="236">
        <v>-72.110944444444442</v>
      </c>
      <c r="R422" s="243" t="s">
        <v>1989</v>
      </c>
      <c r="S422" s="246" t="s">
        <v>1991</v>
      </c>
      <c r="U422" s="245"/>
    </row>
    <row r="423" spans="1:21" ht="17.25" customHeight="1">
      <c r="A423" s="236">
        <v>422</v>
      </c>
      <c r="B423" s="256" t="str">
        <f t="array" ref="B423">INDEX('SUR - ESTER'!B:B, MATCH(S423,'SUR - ESTER'!K:K, 0), )</f>
        <v>Vilcabamba</v>
      </c>
      <c r="C423" s="156" t="str">
        <f t="array" ref="C423">INDEX('SUR - ESTER'!C:C, MATCH(S423,'SUR - ESTER'!K:K, 0), )</f>
        <v>Apurimac</v>
      </c>
      <c r="D423" s="156" t="str">
        <f t="array" ref="D423">INDEX('SUR - ESTER'!D:D, MATCH(S423,'SUR - ESTER'!K:K, 0), )</f>
        <v>FM</v>
      </c>
      <c r="E423" s="156" t="str">
        <f t="array" ref="E423">INDEX('SUR - ESTER'!E:E, MATCH(S423,'SUR - ESTER'!K:K, 0), )</f>
        <v>96,5</v>
      </c>
      <c r="F423" s="156">
        <f t="array" ref="F423">INDEX('SUR - ESTER'!F:F, MATCH(S423,'SUR - ESTER'!K:K, 0), )</f>
        <v>67</v>
      </c>
      <c r="G423" s="159" t="str">
        <f t="array" ref="G423">INDEX('SUR - ESTER'!G:G, MATCH(S423,'SUR - ESTER'!K:K, 0), )</f>
        <v>A.A</v>
      </c>
      <c r="H423" s="238" t="str">
        <f t="array" ref="H423">INDEX('SUR - ESTER'!H:H, MATCH(S423,'SUR - ESTER'!K:K, 0), )</f>
        <v>VILCABAMBA</v>
      </c>
      <c r="I423" s="239" t="str">
        <f t="array" ref="I423">INDEX('SUR - ESTER'!I:I, MATCH(S423,'SUR - ESTER'!K:K, 0), )</f>
        <v>10/09/2025 - Sectoristas - Opera con normalidad</v>
      </c>
      <c r="J423" s="257">
        <f t="array" ref="J423">INDEX('SUR - ESTER'!J:J, MATCH(S423,'SUR - ESTER'!K:K, 0), )</f>
        <v>0</v>
      </c>
      <c r="K423" s="156" t="str">
        <f t="array" ref="K423">INDEX('SUR - ESTER'!K:K, MATCH(S423,'SUR - ESTER'!K:K, 0), )</f>
        <v>E - 147</v>
      </c>
      <c r="L423" s="251">
        <f t="array" ref="L423">INDEX('SUR - ESTER'!L:L, MATCH(S423,'SUR - ESTER'!K:K, 0), )</f>
        <v>0</v>
      </c>
      <c r="M423" s="251">
        <f t="array" ref="M423">INDEX('SUR - ESTER'!M:M, MATCH(S423,'SUR - ESTER'!K:K, 0), )</f>
        <v>0</v>
      </c>
      <c r="N423" s="258">
        <f t="array" ref="N423">INDEX('SUR - ESTER'!N:N, MATCH(S423,'SUR - ESTER'!K:K, 0), )</f>
        <v>0</v>
      </c>
      <c r="O423" s="253">
        <f t="array" ref="O423">INDEX('SUR - ESTER'!O:O, MATCH(S423,'SUR - ESTER'!K:K, 0), )</f>
        <v>0</v>
      </c>
      <c r="P423" s="236">
        <v>-13.940305555555556</v>
      </c>
      <c r="Q423" s="236">
        <v>-72.171611111111119</v>
      </c>
      <c r="R423" s="243" t="s">
        <v>1992</v>
      </c>
      <c r="S423" s="246" t="s">
        <v>1993</v>
      </c>
      <c r="U423" s="245"/>
    </row>
    <row r="424" spans="1:21" ht="17.25" customHeight="1">
      <c r="A424" s="236">
        <v>423</v>
      </c>
      <c r="B424" s="256" t="str">
        <f t="array" ref="B424">INDEX('SUR - ESTER'!B:B, MATCH(S424,'SUR - ESTER'!K:K, 0), )</f>
        <v>Yanatile</v>
      </c>
      <c r="C424" s="156" t="str">
        <f t="array" ref="C424">INDEX('SUR - ESTER'!C:C, MATCH(S424,'SUR - ESTER'!K:K, 0), )</f>
        <v>Cusco</v>
      </c>
      <c r="D424" s="156" t="str">
        <f t="array" ref="D424">INDEX('SUR - ESTER'!D:D, MATCH(S424,'SUR - ESTER'!K:K, 0), )</f>
        <v>FM</v>
      </c>
      <c r="E424" s="156">
        <f t="array" ref="E424">INDEX('SUR - ESTER'!E:E, MATCH(S424,'SUR - ESTER'!K:K, 0), )</f>
        <v>88.9</v>
      </c>
      <c r="F424" s="156">
        <f t="array" ref="F424">INDEX('SUR - ESTER'!F:F, MATCH(S424,'SUR - ESTER'!K:K, 0), )</f>
        <v>92</v>
      </c>
      <c r="G424" s="159" t="str">
        <f t="array" ref="G424">INDEX('SUR - ESTER'!G:G, MATCH(S424,'SUR - ESTER'!K:K, 0), )</f>
        <v>A.A</v>
      </c>
      <c r="H424" s="238" t="str">
        <f t="array" ref="H424">INDEX('SUR - ESTER'!H:H, MATCH(S424,'SUR - ESTER'!K:K, 0), )</f>
        <v>YANATILE</v>
      </c>
      <c r="I424" s="239" t="str">
        <f t="array" ref="I424">INDEX('SUR - ESTER'!I:I, MATCH(S424,'SUR - ESTER'!K:K, 0), )</f>
        <v>1/09/2025 - Sectoristas - Opera con normalidad</v>
      </c>
      <c r="J424" s="257">
        <f t="array" ref="J424">INDEX('SUR - ESTER'!J:J, MATCH(S424,'SUR - ESTER'!K:K, 0), )</f>
        <v>0</v>
      </c>
      <c r="K424" s="156" t="str">
        <f t="array" ref="K424">INDEX('SUR - ESTER'!K:K, MATCH(S424,'SUR - ESTER'!K:K, 0), )</f>
        <v>E - 148</v>
      </c>
      <c r="L424" s="251">
        <f t="array" ref="L424">INDEX('SUR - ESTER'!L:L, MATCH(S424,'SUR - ESTER'!K:K, 0), )</f>
        <v>0</v>
      </c>
      <c r="M424" s="251">
        <f t="array" ref="M424">INDEX('SUR - ESTER'!M:M, MATCH(S424,'SUR - ESTER'!K:K, 0), )</f>
        <v>0</v>
      </c>
      <c r="N424" s="258">
        <f t="array" ref="N424">INDEX('SUR - ESTER'!N:N, MATCH(S424,'SUR - ESTER'!K:K, 0), )</f>
        <v>0</v>
      </c>
      <c r="O424" s="253">
        <f t="array" ref="O424">INDEX('SUR - ESTER'!O:O, MATCH(S424,'SUR - ESTER'!K:K, 0), )</f>
        <v>0</v>
      </c>
      <c r="P424" s="236">
        <v>-12.687141666666667</v>
      </c>
      <c r="Q424" s="236">
        <v>-72.313108333333332</v>
      </c>
      <c r="R424" s="243" t="s">
        <v>1994</v>
      </c>
      <c r="S424" s="246" t="s">
        <v>1995</v>
      </c>
      <c r="U424" s="245"/>
    </row>
    <row r="425" spans="1:21" ht="17.25" customHeight="1">
      <c r="A425" s="236">
        <v>424</v>
      </c>
      <c r="B425" s="256" t="str">
        <f t="array" ref="B425">INDEX('SUR - ESTER'!B:B, MATCH(S425,'SUR - ESTER'!K:K, 0), )</f>
        <v>Yunguyo</v>
      </c>
      <c r="C425" s="156" t="str">
        <f t="array" ref="C425">INDEX('SUR - ESTER'!C:C, MATCH(S425,'SUR - ESTER'!K:K, 0), )</f>
        <v>Puno</v>
      </c>
      <c r="D425" s="156" t="str">
        <f t="array" ref="D425">INDEX('SUR - ESTER'!D:D, MATCH(S425,'SUR - ESTER'!K:K, 0), )</f>
        <v>FM</v>
      </c>
      <c r="E425" s="156" t="str">
        <f t="array" ref="E425">INDEX('SUR - ESTER'!E:E, MATCH(S425,'SUR - ESTER'!K:K, 0), )</f>
        <v>95,5</v>
      </c>
      <c r="F425" s="156">
        <f t="array" ref="F425">INDEX('SUR - ESTER'!F:F, MATCH(S425,'SUR - ESTER'!K:K, 0), )</f>
        <v>84</v>
      </c>
      <c r="G425" s="159" t="str">
        <f t="array" ref="G425">INDEX('SUR - ESTER'!G:G, MATCH(S425,'SUR - ESTER'!K:K, 0), )</f>
        <v>A.A</v>
      </c>
      <c r="H425" s="238" t="str">
        <f t="array" ref="H425">INDEX('SUR - ESTER'!H:H, MATCH(S425,'SUR - ESTER'!K:K, 0), )</f>
        <v>YUNGUYO</v>
      </c>
      <c r="I425" s="239" t="str">
        <f t="array" ref="I425">INDEX('SUR - ESTER'!I:I, MATCH(S425,'SUR - ESTER'!K:K, 0), )</f>
        <v>1/10/2025 - Sectoristas - Opera con Normalidad</v>
      </c>
      <c r="J425" s="257">
        <f t="array" ref="J425">INDEX('SUR - ESTER'!J:J, MATCH(S425,'SUR - ESTER'!K:K, 0), )</f>
        <v>0</v>
      </c>
      <c r="K425" s="156" t="str">
        <f t="array" ref="K425">INDEX('SUR - ESTER'!K:K, MATCH(S425,'SUR - ESTER'!K:K, 0), )</f>
        <v>E - 149</v>
      </c>
      <c r="L425" s="251">
        <f t="array" ref="L425">INDEX('SUR - ESTER'!L:L, MATCH(S425,'SUR - ESTER'!K:K, 0), )</f>
        <v>0</v>
      </c>
      <c r="M425" s="251">
        <f t="array" ref="M425">INDEX('SUR - ESTER'!M:M, MATCH(S425,'SUR - ESTER'!K:K, 0), )</f>
        <v>0</v>
      </c>
      <c r="N425" s="258">
        <f t="array" ref="N425">INDEX('SUR - ESTER'!N:N, MATCH(S425,'SUR - ESTER'!K:K, 0), )</f>
        <v>0</v>
      </c>
      <c r="O425" s="253">
        <f t="array" ref="O425">INDEX('SUR - ESTER'!O:O, MATCH(S425,'SUR - ESTER'!K:K, 0), )</f>
        <v>0</v>
      </c>
      <c r="P425" s="236">
        <v>-16.257166666666667</v>
      </c>
      <c r="Q425" s="236">
        <v>-69.089361111111103</v>
      </c>
      <c r="R425" s="243" t="s">
        <v>1996</v>
      </c>
      <c r="S425" s="246" t="s">
        <v>1997</v>
      </c>
      <c r="U425" s="245"/>
    </row>
    <row r="426" spans="1:21" ht="17.25" customHeight="1">
      <c r="I426" s="248"/>
      <c r="J426" s="248"/>
      <c r="R426" s="248"/>
      <c r="S426" s="246"/>
      <c r="U426" s="245"/>
    </row>
    <row r="427" spans="1:21" ht="17.25" customHeight="1">
      <c r="I427" s="248"/>
      <c r="J427" s="248"/>
      <c r="R427" s="248"/>
      <c r="S427" s="246"/>
      <c r="U427" s="245"/>
    </row>
    <row r="428" spans="1:21" ht="17.25" customHeight="1">
      <c r="I428" s="248"/>
      <c r="J428" s="248"/>
      <c r="R428" s="248"/>
      <c r="S428" s="246"/>
      <c r="U428" s="245"/>
    </row>
    <row r="429" spans="1:21" ht="17.25" customHeight="1">
      <c r="I429" s="248"/>
      <c r="J429" s="248"/>
      <c r="R429" s="248"/>
      <c r="S429" s="246"/>
      <c r="U429" s="245"/>
    </row>
    <row r="430" spans="1:21" ht="17.25" customHeight="1">
      <c r="I430" s="248"/>
      <c r="J430" s="248"/>
      <c r="R430" s="248"/>
      <c r="S430" s="246"/>
      <c r="U430" s="245"/>
    </row>
    <row r="431" spans="1:21" ht="17.25" customHeight="1">
      <c r="I431" s="248"/>
      <c r="J431" s="248"/>
      <c r="R431" s="248"/>
      <c r="S431" s="246"/>
      <c r="U431" s="245"/>
    </row>
    <row r="432" spans="1:21" ht="17.25" customHeight="1">
      <c r="I432" s="248"/>
      <c r="J432" s="248"/>
      <c r="R432" s="248"/>
      <c r="S432" s="246"/>
      <c r="U432" s="245"/>
    </row>
    <row r="433" spans="9:21" ht="17.25" customHeight="1">
      <c r="I433" s="248"/>
      <c r="J433" s="248"/>
      <c r="R433" s="248"/>
      <c r="S433" s="246"/>
      <c r="U433" s="245"/>
    </row>
    <row r="434" spans="9:21" ht="17.25" customHeight="1">
      <c r="I434" s="248"/>
      <c r="J434" s="248"/>
      <c r="R434" s="248"/>
      <c r="S434" s="246"/>
      <c r="U434" s="245"/>
    </row>
    <row r="435" spans="9:21" ht="17.25" customHeight="1">
      <c r="I435" s="248"/>
      <c r="J435" s="248"/>
      <c r="R435" s="248"/>
      <c r="S435" s="246"/>
      <c r="U435" s="245"/>
    </row>
    <row r="436" spans="9:21" ht="17.25" customHeight="1">
      <c r="I436" s="248"/>
      <c r="J436" s="248"/>
      <c r="R436" s="248"/>
      <c r="S436" s="246"/>
      <c r="U436" s="245"/>
    </row>
    <row r="437" spans="9:21" ht="17.25" customHeight="1">
      <c r="I437" s="248"/>
      <c r="J437" s="248"/>
      <c r="R437" s="248"/>
      <c r="S437" s="246"/>
      <c r="U437" s="245"/>
    </row>
    <row r="438" spans="9:21" ht="17.25" customHeight="1">
      <c r="I438" s="248"/>
      <c r="J438" s="248"/>
      <c r="R438" s="248"/>
      <c r="S438" s="246"/>
      <c r="U438" s="245"/>
    </row>
    <row r="439" spans="9:21" ht="17.25" customHeight="1">
      <c r="I439" s="248"/>
      <c r="J439" s="248"/>
      <c r="R439" s="248"/>
      <c r="S439" s="246"/>
      <c r="U439" s="245"/>
    </row>
    <row r="440" spans="9:21" ht="17.25" customHeight="1">
      <c r="I440" s="248"/>
      <c r="J440" s="248"/>
      <c r="R440" s="248"/>
      <c r="S440" s="246"/>
      <c r="U440" s="245"/>
    </row>
    <row r="441" spans="9:21" ht="17.25" customHeight="1">
      <c r="I441" s="248"/>
      <c r="J441" s="248"/>
      <c r="R441" s="248"/>
      <c r="S441" s="246"/>
      <c r="U441" s="245"/>
    </row>
    <row r="442" spans="9:21" ht="17.25" customHeight="1">
      <c r="I442" s="248"/>
      <c r="J442" s="248"/>
      <c r="R442" s="248"/>
      <c r="S442" s="246"/>
      <c r="U442" s="245"/>
    </row>
    <row r="443" spans="9:21" ht="17.25" customHeight="1">
      <c r="I443" s="248"/>
      <c r="J443" s="248"/>
      <c r="R443" s="248"/>
      <c r="S443" s="246"/>
      <c r="U443" s="245"/>
    </row>
    <row r="444" spans="9:21" ht="17.25" customHeight="1">
      <c r="I444" s="248"/>
      <c r="J444" s="248"/>
      <c r="R444" s="248"/>
      <c r="S444" s="246"/>
      <c r="U444" s="245"/>
    </row>
    <row r="445" spans="9:21" ht="17.25" customHeight="1">
      <c r="I445" s="248"/>
      <c r="J445" s="248"/>
      <c r="R445" s="248"/>
      <c r="S445" s="246"/>
      <c r="U445" s="245"/>
    </row>
    <row r="446" spans="9:21" ht="17.25" customHeight="1">
      <c r="I446" s="248"/>
      <c r="J446" s="248"/>
      <c r="R446" s="248"/>
      <c r="S446" s="246"/>
      <c r="U446" s="245"/>
    </row>
    <row r="447" spans="9:21" ht="17.25" customHeight="1">
      <c r="I447" s="248"/>
      <c r="J447" s="248"/>
      <c r="R447" s="248"/>
      <c r="S447" s="246"/>
      <c r="U447" s="245"/>
    </row>
    <row r="448" spans="9:21" ht="17.25" customHeight="1">
      <c r="I448" s="248"/>
      <c r="J448" s="248"/>
      <c r="R448" s="248"/>
      <c r="S448" s="246"/>
      <c r="U448" s="245"/>
    </row>
    <row r="449" spans="9:21" ht="17.25" customHeight="1">
      <c r="I449" s="248"/>
      <c r="J449" s="248"/>
      <c r="R449" s="248"/>
      <c r="S449" s="246"/>
      <c r="U449" s="245"/>
    </row>
    <row r="450" spans="9:21" ht="17.25" customHeight="1">
      <c r="I450" s="248"/>
      <c r="J450" s="248"/>
      <c r="R450" s="248"/>
      <c r="S450" s="246"/>
      <c r="U450" s="245"/>
    </row>
    <row r="451" spans="9:21" ht="17.25" customHeight="1">
      <c r="I451" s="248"/>
      <c r="J451" s="248"/>
      <c r="R451" s="248"/>
      <c r="S451" s="246"/>
      <c r="U451" s="245"/>
    </row>
    <row r="452" spans="9:21" ht="17.25" customHeight="1">
      <c r="I452" s="248"/>
      <c r="J452" s="248"/>
      <c r="R452" s="248"/>
      <c r="S452" s="246"/>
      <c r="U452" s="245"/>
    </row>
    <row r="453" spans="9:21" ht="17.25" customHeight="1">
      <c r="I453" s="248"/>
      <c r="J453" s="248"/>
      <c r="R453" s="248"/>
      <c r="S453" s="246"/>
      <c r="U453" s="245"/>
    </row>
    <row r="454" spans="9:21" ht="17.25" customHeight="1">
      <c r="I454" s="248"/>
      <c r="J454" s="248"/>
      <c r="R454" s="248"/>
      <c r="S454" s="246"/>
      <c r="U454" s="245"/>
    </row>
    <row r="455" spans="9:21" ht="17.25" customHeight="1">
      <c r="I455" s="248"/>
      <c r="J455" s="248"/>
      <c r="R455" s="248"/>
      <c r="S455" s="246"/>
      <c r="U455" s="245"/>
    </row>
    <row r="456" spans="9:21" ht="17.25" customHeight="1">
      <c r="I456" s="248"/>
      <c r="J456" s="248"/>
      <c r="R456" s="248"/>
      <c r="S456" s="246"/>
      <c r="U456" s="245"/>
    </row>
    <row r="457" spans="9:21" ht="17.25" customHeight="1">
      <c r="I457" s="248"/>
      <c r="J457" s="248"/>
      <c r="R457" s="248"/>
      <c r="S457" s="246"/>
      <c r="U457" s="245"/>
    </row>
    <row r="458" spans="9:21" ht="17.25" customHeight="1">
      <c r="I458" s="248"/>
      <c r="J458" s="248"/>
      <c r="R458" s="248"/>
      <c r="S458" s="246"/>
      <c r="U458" s="245"/>
    </row>
    <row r="459" spans="9:21" ht="17.25" customHeight="1">
      <c r="I459" s="248"/>
      <c r="J459" s="248"/>
      <c r="R459" s="248"/>
      <c r="S459" s="246"/>
      <c r="U459" s="245"/>
    </row>
    <row r="460" spans="9:21" ht="17.25" customHeight="1">
      <c r="I460" s="248"/>
      <c r="J460" s="248"/>
      <c r="R460" s="248"/>
      <c r="S460" s="246"/>
      <c r="U460" s="245"/>
    </row>
    <row r="461" spans="9:21" ht="17.25" customHeight="1">
      <c r="I461" s="248"/>
      <c r="J461" s="248"/>
      <c r="R461" s="248"/>
      <c r="S461" s="246"/>
      <c r="U461" s="245"/>
    </row>
    <row r="462" spans="9:21" ht="17.25" customHeight="1">
      <c r="I462" s="248"/>
      <c r="J462" s="248"/>
      <c r="R462" s="248"/>
      <c r="S462" s="246"/>
      <c r="U462" s="245"/>
    </row>
    <row r="463" spans="9:21" ht="17.25" customHeight="1">
      <c r="I463" s="248"/>
      <c r="J463" s="248"/>
      <c r="R463" s="248"/>
      <c r="S463" s="246"/>
      <c r="U463" s="245"/>
    </row>
    <row r="464" spans="9:21" ht="17.25" customHeight="1">
      <c r="I464" s="248"/>
      <c r="J464" s="248"/>
      <c r="R464" s="248"/>
      <c r="S464" s="246"/>
      <c r="U464" s="245"/>
    </row>
    <row r="465" spans="9:21" ht="17.25" customHeight="1">
      <c r="I465" s="248"/>
      <c r="J465" s="248"/>
      <c r="R465" s="248"/>
      <c r="S465" s="246"/>
      <c r="U465" s="245"/>
    </row>
    <row r="466" spans="9:21" ht="17.25" customHeight="1">
      <c r="I466" s="248"/>
      <c r="J466" s="248"/>
      <c r="R466" s="248"/>
      <c r="S466" s="246"/>
      <c r="U466" s="245"/>
    </row>
    <row r="467" spans="9:21" ht="17.25" customHeight="1">
      <c r="I467" s="248"/>
      <c r="J467" s="248"/>
      <c r="R467" s="248"/>
      <c r="S467" s="246"/>
      <c r="U467" s="245"/>
    </row>
    <row r="468" spans="9:21" ht="17.25" customHeight="1">
      <c r="I468" s="248"/>
      <c r="J468" s="248"/>
      <c r="R468" s="248"/>
      <c r="S468" s="246"/>
      <c r="U468" s="245"/>
    </row>
    <row r="469" spans="9:21" ht="17.25" customHeight="1">
      <c r="I469" s="248"/>
      <c r="J469" s="248"/>
      <c r="R469" s="248"/>
      <c r="S469" s="246"/>
      <c r="U469" s="245"/>
    </row>
    <row r="470" spans="9:21" ht="17.25" customHeight="1">
      <c r="I470" s="248"/>
      <c r="J470" s="248"/>
      <c r="R470" s="248"/>
      <c r="S470" s="246"/>
      <c r="U470" s="245"/>
    </row>
    <row r="471" spans="9:21" ht="17.25" customHeight="1">
      <c r="I471" s="248"/>
      <c r="J471" s="248"/>
      <c r="R471" s="248"/>
      <c r="S471" s="246"/>
      <c r="U471" s="245"/>
    </row>
    <row r="472" spans="9:21" ht="17.25" customHeight="1">
      <c r="I472" s="248"/>
      <c r="J472" s="248"/>
      <c r="R472" s="248"/>
      <c r="S472" s="246"/>
      <c r="U472" s="245"/>
    </row>
    <row r="473" spans="9:21" ht="17.25" customHeight="1">
      <c r="I473" s="248"/>
      <c r="J473" s="248"/>
      <c r="R473" s="248"/>
      <c r="S473" s="246"/>
      <c r="U473" s="245"/>
    </row>
    <row r="474" spans="9:21" ht="17.25" customHeight="1">
      <c r="I474" s="248"/>
      <c r="J474" s="248"/>
      <c r="R474" s="248"/>
      <c r="S474" s="246"/>
      <c r="U474" s="245"/>
    </row>
    <row r="475" spans="9:21" ht="17.25" customHeight="1">
      <c r="I475" s="248"/>
      <c r="J475" s="248"/>
      <c r="R475" s="248"/>
      <c r="S475" s="246"/>
      <c r="U475" s="245"/>
    </row>
    <row r="476" spans="9:21" ht="17.25" customHeight="1">
      <c r="I476" s="248"/>
      <c r="J476" s="248"/>
      <c r="R476" s="248"/>
      <c r="S476" s="246"/>
      <c r="U476" s="245"/>
    </row>
    <row r="477" spans="9:21" ht="17.25" customHeight="1">
      <c r="I477" s="248"/>
      <c r="J477" s="248"/>
      <c r="R477" s="248"/>
      <c r="S477" s="246"/>
      <c r="U477" s="245"/>
    </row>
    <row r="478" spans="9:21" ht="17.25" customHeight="1">
      <c r="I478" s="248"/>
      <c r="J478" s="248"/>
      <c r="R478" s="248"/>
      <c r="S478" s="246"/>
      <c r="U478" s="245"/>
    </row>
    <row r="479" spans="9:21" ht="17.25" customHeight="1">
      <c r="I479" s="248"/>
      <c r="J479" s="248"/>
      <c r="R479" s="248"/>
      <c r="S479" s="246"/>
      <c r="U479" s="245"/>
    </row>
    <row r="480" spans="9:21" ht="17.25" customHeight="1">
      <c r="I480" s="248"/>
      <c r="J480" s="248"/>
      <c r="R480" s="248"/>
      <c r="S480" s="246"/>
      <c r="U480" s="245"/>
    </row>
    <row r="481" spans="9:21" ht="17.25" customHeight="1">
      <c r="I481" s="248"/>
      <c r="J481" s="248"/>
      <c r="R481" s="248"/>
      <c r="S481" s="246"/>
      <c r="U481" s="245"/>
    </row>
    <row r="482" spans="9:21" ht="17.25" customHeight="1">
      <c r="I482" s="248"/>
      <c r="J482" s="248"/>
      <c r="R482" s="248"/>
      <c r="S482" s="246"/>
      <c r="U482" s="245"/>
    </row>
    <row r="483" spans="9:21" ht="17.25" customHeight="1">
      <c r="I483" s="248"/>
      <c r="J483" s="248"/>
      <c r="R483" s="248"/>
      <c r="S483" s="246"/>
      <c r="U483" s="245"/>
    </row>
    <row r="484" spans="9:21" ht="17.25" customHeight="1">
      <c r="I484" s="248"/>
      <c r="J484" s="248"/>
      <c r="R484" s="248"/>
      <c r="S484" s="246"/>
      <c r="U484" s="245"/>
    </row>
    <row r="485" spans="9:21" ht="17.25" customHeight="1">
      <c r="I485" s="248"/>
      <c r="J485" s="248"/>
      <c r="R485" s="248"/>
      <c r="S485" s="246"/>
      <c r="U485" s="245"/>
    </row>
    <row r="486" spans="9:21" ht="17.25" customHeight="1">
      <c r="I486" s="248"/>
      <c r="J486" s="248"/>
      <c r="R486" s="248"/>
      <c r="S486" s="246"/>
      <c r="U486" s="245"/>
    </row>
    <row r="487" spans="9:21" ht="17.25" customHeight="1">
      <c r="I487" s="248"/>
      <c r="J487" s="248"/>
      <c r="R487" s="248"/>
      <c r="S487" s="246"/>
      <c r="U487" s="245"/>
    </row>
    <row r="488" spans="9:21" ht="17.25" customHeight="1">
      <c r="I488" s="248"/>
      <c r="J488" s="248"/>
      <c r="R488" s="248"/>
      <c r="S488" s="246"/>
      <c r="U488" s="245"/>
    </row>
    <row r="489" spans="9:21" ht="17.25" customHeight="1">
      <c r="I489" s="248"/>
      <c r="J489" s="248"/>
      <c r="R489" s="248"/>
      <c r="S489" s="246"/>
      <c r="U489" s="245"/>
    </row>
    <row r="490" spans="9:21" ht="17.25" customHeight="1">
      <c r="I490" s="248"/>
      <c r="J490" s="248"/>
      <c r="R490" s="248"/>
      <c r="S490" s="246"/>
      <c r="U490" s="245"/>
    </row>
    <row r="491" spans="9:21" ht="17.25" customHeight="1">
      <c r="I491" s="248"/>
      <c r="J491" s="248"/>
      <c r="R491" s="248"/>
      <c r="S491" s="246"/>
      <c r="U491" s="245"/>
    </row>
    <row r="492" spans="9:21" ht="17.25" customHeight="1">
      <c r="I492" s="248"/>
      <c r="J492" s="248"/>
      <c r="R492" s="248"/>
      <c r="S492" s="246"/>
      <c r="U492" s="245"/>
    </row>
    <row r="493" spans="9:21" ht="17.25" customHeight="1">
      <c r="I493" s="248"/>
      <c r="J493" s="248"/>
      <c r="R493" s="248"/>
      <c r="S493" s="246"/>
      <c r="U493" s="245"/>
    </row>
    <row r="494" spans="9:21" ht="17.25" customHeight="1">
      <c r="I494" s="248"/>
      <c r="J494" s="248"/>
      <c r="R494" s="248"/>
      <c r="S494" s="246"/>
      <c r="U494" s="245"/>
    </row>
    <row r="495" spans="9:21" ht="17.25" customHeight="1">
      <c r="I495" s="248"/>
      <c r="J495" s="248"/>
      <c r="R495" s="248"/>
      <c r="S495" s="246"/>
      <c r="U495" s="245"/>
    </row>
    <row r="496" spans="9:21" ht="17.25" customHeight="1">
      <c r="I496" s="248"/>
      <c r="J496" s="248"/>
      <c r="R496" s="248"/>
      <c r="S496" s="246"/>
      <c r="U496" s="245"/>
    </row>
    <row r="497" spans="9:21" ht="17.25" customHeight="1">
      <c r="I497" s="248"/>
      <c r="J497" s="248"/>
      <c r="R497" s="248"/>
      <c r="S497" s="246"/>
      <c r="U497" s="245"/>
    </row>
    <row r="498" spans="9:21" ht="17.25" customHeight="1">
      <c r="I498" s="248"/>
      <c r="J498" s="248"/>
      <c r="R498" s="248"/>
      <c r="S498" s="246"/>
      <c r="U498" s="245"/>
    </row>
    <row r="499" spans="9:21" ht="17.25" customHeight="1">
      <c r="I499" s="248"/>
      <c r="J499" s="248"/>
      <c r="R499" s="248"/>
      <c r="S499" s="246"/>
      <c r="U499" s="245"/>
    </row>
    <row r="500" spans="9:21" ht="17.25" customHeight="1">
      <c r="I500" s="248"/>
      <c r="J500" s="248"/>
      <c r="R500" s="248"/>
      <c r="S500" s="246"/>
      <c r="U500" s="245"/>
    </row>
    <row r="501" spans="9:21" ht="17.25" customHeight="1">
      <c r="I501" s="248"/>
      <c r="J501" s="248"/>
      <c r="R501" s="248"/>
      <c r="S501" s="246"/>
      <c r="U501" s="245"/>
    </row>
    <row r="502" spans="9:21" ht="17.25" customHeight="1">
      <c r="I502" s="248"/>
      <c r="J502" s="248"/>
      <c r="R502" s="248"/>
      <c r="S502" s="246"/>
      <c r="U502" s="245"/>
    </row>
    <row r="503" spans="9:21" ht="17.25" customHeight="1">
      <c r="I503" s="248"/>
      <c r="J503" s="248"/>
      <c r="R503" s="248"/>
      <c r="S503" s="246"/>
      <c r="U503" s="245"/>
    </row>
    <row r="504" spans="9:21" ht="17.25" customHeight="1">
      <c r="I504" s="248"/>
      <c r="J504" s="248"/>
      <c r="R504" s="248"/>
      <c r="S504" s="246"/>
      <c r="U504" s="245"/>
    </row>
    <row r="505" spans="9:21" ht="17.25" customHeight="1">
      <c r="I505" s="248"/>
      <c r="J505" s="248"/>
      <c r="R505" s="248"/>
      <c r="S505" s="246"/>
      <c r="U505" s="245"/>
    </row>
    <row r="506" spans="9:21" ht="17.25" customHeight="1">
      <c r="I506" s="248"/>
      <c r="J506" s="248"/>
      <c r="R506" s="248"/>
      <c r="S506" s="246"/>
      <c r="U506" s="245"/>
    </row>
    <row r="507" spans="9:21" ht="17.25" customHeight="1">
      <c r="I507" s="248"/>
      <c r="J507" s="248"/>
      <c r="R507" s="248"/>
      <c r="S507" s="246"/>
      <c r="U507" s="245"/>
    </row>
    <row r="508" spans="9:21" ht="17.25" customHeight="1">
      <c r="I508" s="248"/>
      <c r="J508" s="248"/>
      <c r="R508" s="248"/>
      <c r="S508" s="246"/>
      <c r="U508" s="245"/>
    </row>
    <row r="509" spans="9:21" ht="17.25" customHeight="1">
      <c r="I509" s="248"/>
      <c r="J509" s="248"/>
      <c r="R509" s="248"/>
      <c r="S509" s="246"/>
      <c r="U509" s="245"/>
    </row>
    <row r="510" spans="9:21" ht="17.25" customHeight="1">
      <c r="I510" s="248"/>
      <c r="J510" s="248"/>
      <c r="R510" s="248"/>
      <c r="S510" s="246"/>
      <c r="U510" s="245"/>
    </row>
    <row r="511" spans="9:21" ht="17.25" customHeight="1">
      <c r="I511" s="248"/>
      <c r="J511" s="248"/>
      <c r="R511" s="248"/>
      <c r="S511" s="246"/>
      <c r="U511" s="245"/>
    </row>
    <row r="512" spans="9:21" ht="17.25" customHeight="1">
      <c r="I512" s="248"/>
      <c r="J512" s="248"/>
      <c r="R512" s="248"/>
      <c r="S512" s="246"/>
      <c r="U512" s="245"/>
    </row>
    <row r="513" spans="9:21" ht="17.25" customHeight="1">
      <c r="I513" s="248"/>
      <c r="J513" s="248"/>
      <c r="R513" s="248"/>
      <c r="S513" s="246"/>
      <c r="U513" s="245"/>
    </row>
    <row r="514" spans="9:21" ht="17.25" customHeight="1">
      <c r="I514" s="248"/>
      <c r="J514" s="248"/>
      <c r="R514" s="248"/>
      <c r="S514" s="246"/>
      <c r="U514" s="245"/>
    </row>
    <row r="515" spans="9:21" ht="17.25" customHeight="1">
      <c r="I515" s="248"/>
      <c r="J515" s="248"/>
      <c r="R515" s="248"/>
      <c r="S515" s="246"/>
      <c r="U515" s="245"/>
    </row>
    <row r="516" spans="9:21" ht="17.25" customHeight="1">
      <c r="I516" s="248"/>
      <c r="J516" s="248"/>
      <c r="R516" s="248"/>
      <c r="S516" s="246"/>
      <c r="U516" s="245"/>
    </row>
    <row r="517" spans="9:21" ht="17.25" customHeight="1">
      <c r="I517" s="248"/>
      <c r="J517" s="248"/>
      <c r="R517" s="248"/>
      <c r="S517" s="246"/>
      <c r="U517" s="245"/>
    </row>
    <row r="518" spans="9:21" ht="17.25" customHeight="1">
      <c r="I518" s="248"/>
      <c r="J518" s="248"/>
      <c r="R518" s="248"/>
      <c r="S518" s="246"/>
      <c r="U518" s="245"/>
    </row>
    <row r="519" spans="9:21" ht="17.25" customHeight="1">
      <c r="I519" s="248"/>
      <c r="J519" s="248"/>
      <c r="R519" s="248"/>
      <c r="S519" s="246"/>
      <c r="U519" s="245"/>
    </row>
    <row r="520" spans="9:21" ht="17.25" customHeight="1">
      <c r="I520" s="248"/>
      <c r="J520" s="248"/>
      <c r="R520" s="248"/>
      <c r="S520" s="246"/>
      <c r="U520" s="245"/>
    </row>
    <row r="521" spans="9:21" ht="17.25" customHeight="1">
      <c r="I521" s="248"/>
      <c r="J521" s="248"/>
      <c r="R521" s="248"/>
      <c r="S521" s="246"/>
      <c r="U521" s="245"/>
    </row>
    <row r="522" spans="9:21" ht="17.25" customHeight="1">
      <c r="I522" s="248"/>
      <c r="J522" s="248"/>
      <c r="R522" s="248"/>
      <c r="S522" s="246"/>
      <c r="U522" s="245"/>
    </row>
    <row r="523" spans="9:21" ht="17.25" customHeight="1">
      <c r="I523" s="248"/>
      <c r="J523" s="248"/>
      <c r="R523" s="248"/>
      <c r="S523" s="246"/>
      <c r="U523" s="245"/>
    </row>
    <row r="524" spans="9:21" ht="17.25" customHeight="1">
      <c r="I524" s="248"/>
      <c r="J524" s="248"/>
      <c r="R524" s="248"/>
      <c r="S524" s="246"/>
      <c r="U524" s="245"/>
    </row>
    <row r="525" spans="9:21" ht="17.25" customHeight="1">
      <c r="I525" s="248"/>
      <c r="J525" s="248"/>
      <c r="R525" s="248"/>
      <c r="S525" s="246"/>
      <c r="U525" s="245"/>
    </row>
    <row r="526" spans="9:21" ht="17.25" customHeight="1">
      <c r="I526" s="248"/>
      <c r="J526" s="248"/>
      <c r="R526" s="248"/>
      <c r="S526" s="246"/>
      <c r="U526" s="245"/>
    </row>
    <row r="527" spans="9:21" ht="17.25" customHeight="1">
      <c r="I527" s="248"/>
      <c r="J527" s="248"/>
      <c r="R527" s="248"/>
      <c r="S527" s="246"/>
      <c r="U527" s="245"/>
    </row>
    <row r="528" spans="9:21" ht="17.25" customHeight="1">
      <c r="I528" s="248"/>
      <c r="J528" s="248"/>
      <c r="R528" s="248"/>
      <c r="S528" s="246"/>
      <c r="U528" s="245"/>
    </row>
    <row r="529" spans="9:21" ht="17.25" customHeight="1">
      <c r="I529" s="248"/>
      <c r="J529" s="248"/>
      <c r="R529" s="248"/>
      <c r="S529" s="246"/>
      <c r="U529" s="245"/>
    </row>
    <row r="530" spans="9:21" ht="17.25" customHeight="1">
      <c r="I530" s="248"/>
      <c r="J530" s="248"/>
      <c r="R530" s="248"/>
      <c r="S530" s="246"/>
      <c r="U530" s="245"/>
    </row>
    <row r="531" spans="9:21" ht="17.25" customHeight="1">
      <c r="I531" s="248"/>
      <c r="J531" s="248"/>
      <c r="R531" s="248"/>
      <c r="S531" s="246"/>
      <c r="U531" s="245"/>
    </row>
    <row r="532" spans="9:21" ht="17.25" customHeight="1">
      <c r="I532" s="248"/>
      <c r="J532" s="248"/>
      <c r="R532" s="248"/>
      <c r="S532" s="246"/>
      <c r="U532" s="245"/>
    </row>
    <row r="533" spans="9:21" ht="17.25" customHeight="1">
      <c r="I533" s="248"/>
      <c r="J533" s="248"/>
      <c r="R533" s="248"/>
      <c r="S533" s="246"/>
      <c r="U533" s="245"/>
    </row>
    <row r="534" spans="9:21" ht="17.25" customHeight="1">
      <c r="I534" s="248"/>
      <c r="J534" s="248"/>
      <c r="R534" s="248"/>
      <c r="S534" s="246"/>
      <c r="U534" s="245"/>
    </row>
    <row r="535" spans="9:21" ht="17.25" customHeight="1">
      <c r="I535" s="248"/>
      <c r="J535" s="248"/>
      <c r="R535" s="248"/>
      <c r="S535" s="246"/>
      <c r="U535" s="245"/>
    </row>
    <row r="536" spans="9:21" ht="17.25" customHeight="1">
      <c r="I536" s="248"/>
      <c r="J536" s="248"/>
      <c r="R536" s="248"/>
      <c r="S536" s="246"/>
      <c r="U536" s="245"/>
    </row>
    <row r="537" spans="9:21" ht="17.25" customHeight="1">
      <c r="I537" s="248"/>
      <c r="J537" s="248"/>
      <c r="R537" s="248"/>
      <c r="S537" s="246"/>
      <c r="U537" s="245"/>
    </row>
    <row r="538" spans="9:21" ht="17.25" customHeight="1">
      <c r="I538" s="248"/>
      <c r="J538" s="248"/>
      <c r="R538" s="248"/>
      <c r="S538" s="246"/>
      <c r="U538" s="245"/>
    </row>
    <row r="539" spans="9:21" ht="17.25" customHeight="1">
      <c r="I539" s="248"/>
      <c r="J539" s="248"/>
      <c r="R539" s="248"/>
      <c r="S539" s="246"/>
      <c r="U539" s="245"/>
    </row>
    <row r="540" spans="9:21" ht="17.25" customHeight="1">
      <c r="I540" s="248"/>
      <c r="J540" s="248"/>
      <c r="R540" s="248"/>
      <c r="S540" s="246"/>
      <c r="U540" s="245"/>
    </row>
    <row r="541" spans="9:21" ht="17.25" customHeight="1">
      <c r="I541" s="248"/>
      <c r="J541" s="248"/>
      <c r="R541" s="248"/>
      <c r="S541" s="246"/>
      <c r="U541" s="245"/>
    </row>
    <row r="542" spans="9:21" ht="17.25" customHeight="1">
      <c r="I542" s="248"/>
      <c r="J542" s="248"/>
      <c r="R542" s="248"/>
      <c r="S542" s="246"/>
      <c r="U542" s="245"/>
    </row>
    <row r="543" spans="9:21" ht="17.25" customHeight="1">
      <c r="I543" s="248"/>
      <c r="J543" s="248"/>
      <c r="R543" s="248"/>
      <c r="S543" s="246"/>
      <c r="U543" s="245"/>
    </row>
    <row r="544" spans="9:21" ht="17.25" customHeight="1">
      <c r="I544" s="248"/>
      <c r="J544" s="248"/>
      <c r="R544" s="248"/>
      <c r="S544" s="246"/>
      <c r="U544" s="245"/>
    </row>
    <row r="545" spans="9:21" ht="17.25" customHeight="1">
      <c r="I545" s="248"/>
      <c r="J545" s="248"/>
      <c r="R545" s="248"/>
      <c r="S545" s="246"/>
      <c r="U545" s="245"/>
    </row>
    <row r="546" spans="9:21" ht="17.25" customHeight="1">
      <c r="I546" s="248"/>
      <c r="J546" s="248"/>
      <c r="R546" s="248"/>
      <c r="S546" s="246"/>
      <c r="U546" s="245"/>
    </row>
    <row r="547" spans="9:21" ht="17.25" customHeight="1">
      <c r="I547" s="248"/>
      <c r="J547" s="248"/>
      <c r="R547" s="248"/>
      <c r="S547" s="246"/>
      <c r="U547" s="245"/>
    </row>
    <row r="548" spans="9:21" ht="17.25" customHeight="1">
      <c r="I548" s="248"/>
      <c r="J548" s="248"/>
      <c r="R548" s="248"/>
      <c r="S548" s="246"/>
      <c r="U548" s="245"/>
    </row>
    <row r="549" spans="9:21" ht="17.25" customHeight="1">
      <c r="I549" s="248"/>
      <c r="J549" s="248"/>
      <c r="R549" s="248"/>
      <c r="S549" s="246"/>
      <c r="U549" s="245"/>
    </row>
    <row r="550" spans="9:21" ht="17.25" customHeight="1">
      <c r="I550" s="248"/>
      <c r="J550" s="248"/>
      <c r="R550" s="248"/>
      <c r="S550" s="246"/>
      <c r="U550" s="245"/>
    </row>
    <row r="551" spans="9:21" ht="17.25" customHeight="1">
      <c r="I551" s="248"/>
      <c r="J551" s="248"/>
      <c r="R551" s="248"/>
      <c r="S551" s="246"/>
      <c r="U551" s="245"/>
    </row>
    <row r="552" spans="9:21" ht="17.25" customHeight="1">
      <c r="I552" s="248"/>
      <c r="J552" s="248"/>
      <c r="R552" s="248"/>
      <c r="S552" s="246"/>
      <c r="U552" s="245"/>
    </row>
    <row r="553" spans="9:21" ht="17.25" customHeight="1">
      <c r="I553" s="248"/>
      <c r="J553" s="248"/>
      <c r="R553" s="248"/>
      <c r="S553" s="246"/>
      <c r="U553" s="245"/>
    </row>
    <row r="554" spans="9:21" ht="17.25" customHeight="1">
      <c r="I554" s="248"/>
      <c r="J554" s="248"/>
      <c r="R554" s="248"/>
      <c r="S554" s="246"/>
      <c r="U554" s="245"/>
    </row>
    <row r="555" spans="9:21" ht="17.25" customHeight="1">
      <c r="I555" s="248"/>
      <c r="J555" s="248"/>
      <c r="R555" s="248"/>
      <c r="S555" s="246"/>
      <c r="U555" s="245"/>
    </row>
    <row r="556" spans="9:21" ht="17.25" customHeight="1">
      <c r="I556" s="248"/>
      <c r="J556" s="248"/>
      <c r="R556" s="248"/>
      <c r="S556" s="246"/>
      <c r="U556" s="245"/>
    </row>
    <row r="557" spans="9:21" ht="17.25" customHeight="1">
      <c r="I557" s="248"/>
      <c r="J557" s="248"/>
      <c r="R557" s="248"/>
      <c r="S557" s="246"/>
      <c r="U557" s="245"/>
    </row>
    <row r="558" spans="9:21" ht="17.25" customHeight="1">
      <c r="I558" s="248"/>
      <c r="J558" s="248"/>
      <c r="R558" s="248"/>
      <c r="S558" s="246"/>
      <c r="U558" s="245"/>
    </row>
    <row r="559" spans="9:21" ht="17.25" customHeight="1">
      <c r="I559" s="248"/>
      <c r="J559" s="248"/>
      <c r="R559" s="248"/>
      <c r="S559" s="246"/>
      <c r="U559" s="245"/>
    </row>
    <row r="560" spans="9:21" ht="17.25" customHeight="1">
      <c r="I560" s="248"/>
      <c r="J560" s="248"/>
      <c r="R560" s="248"/>
      <c r="S560" s="246"/>
      <c r="U560" s="245"/>
    </row>
    <row r="561" spans="9:21" ht="17.25" customHeight="1">
      <c r="I561" s="248"/>
      <c r="J561" s="248"/>
      <c r="R561" s="248"/>
      <c r="S561" s="246"/>
      <c r="U561" s="245"/>
    </row>
    <row r="562" spans="9:21" ht="17.25" customHeight="1">
      <c r="I562" s="248"/>
      <c r="J562" s="248"/>
      <c r="R562" s="248"/>
      <c r="S562" s="246"/>
      <c r="U562" s="245"/>
    </row>
    <row r="563" spans="9:21" ht="17.25" customHeight="1">
      <c r="I563" s="248"/>
      <c r="J563" s="248"/>
      <c r="R563" s="248"/>
      <c r="S563" s="246"/>
      <c r="U563" s="245"/>
    </row>
    <row r="564" spans="9:21" ht="17.25" customHeight="1">
      <c r="I564" s="248"/>
      <c r="J564" s="248"/>
      <c r="R564" s="248"/>
      <c r="S564" s="246"/>
      <c r="U564" s="245"/>
    </row>
    <row r="565" spans="9:21" ht="17.25" customHeight="1">
      <c r="I565" s="248"/>
      <c r="J565" s="248"/>
      <c r="R565" s="248"/>
      <c r="S565" s="246"/>
      <c r="U565" s="245"/>
    </row>
    <row r="566" spans="9:21" ht="17.25" customHeight="1">
      <c r="I566" s="248"/>
      <c r="J566" s="248"/>
      <c r="R566" s="248"/>
      <c r="S566" s="246"/>
      <c r="U566" s="245"/>
    </row>
    <row r="567" spans="9:21" ht="17.25" customHeight="1">
      <c r="I567" s="248"/>
      <c r="J567" s="248"/>
      <c r="R567" s="248"/>
      <c r="S567" s="246"/>
      <c r="U567" s="245"/>
    </row>
    <row r="568" spans="9:21" ht="17.25" customHeight="1">
      <c r="I568" s="248"/>
      <c r="J568" s="248"/>
      <c r="R568" s="248"/>
      <c r="S568" s="246"/>
      <c r="U568" s="245"/>
    </row>
    <row r="569" spans="9:21" ht="17.25" customHeight="1">
      <c r="I569" s="248"/>
      <c r="J569" s="248"/>
      <c r="R569" s="248"/>
      <c r="S569" s="246"/>
      <c r="U569" s="245"/>
    </row>
    <row r="570" spans="9:21" ht="17.25" customHeight="1">
      <c r="I570" s="248"/>
      <c r="J570" s="248"/>
      <c r="R570" s="248"/>
      <c r="S570" s="246"/>
      <c r="U570" s="245"/>
    </row>
    <row r="571" spans="9:21" ht="17.25" customHeight="1">
      <c r="I571" s="248"/>
      <c r="J571" s="248"/>
      <c r="R571" s="248"/>
      <c r="S571" s="246"/>
      <c r="U571" s="245"/>
    </row>
    <row r="572" spans="9:21" ht="17.25" customHeight="1">
      <c r="I572" s="248"/>
      <c r="J572" s="248"/>
      <c r="R572" s="248"/>
      <c r="S572" s="246"/>
      <c r="U572" s="245"/>
    </row>
    <row r="573" spans="9:21" ht="17.25" customHeight="1">
      <c r="I573" s="248"/>
      <c r="J573" s="248"/>
      <c r="R573" s="248"/>
      <c r="S573" s="246"/>
      <c r="U573" s="245"/>
    </row>
    <row r="574" spans="9:21" ht="17.25" customHeight="1">
      <c r="I574" s="248"/>
      <c r="J574" s="248"/>
      <c r="R574" s="248"/>
      <c r="S574" s="246"/>
      <c r="U574" s="245"/>
    </row>
    <row r="575" spans="9:21" ht="17.25" customHeight="1">
      <c r="I575" s="248"/>
      <c r="J575" s="248"/>
      <c r="R575" s="248"/>
      <c r="S575" s="246"/>
      <c r="U575" s="245"/>
    </row>
    <row r="576" spans="9:21" ht="17.25" customHeight="1">
      <c r="I576" s="248"/>
      <c r="J576" s="248"/>
      <c r="R576" s="248"/>
      <c r="S576" s="246"/>
      <c r="U576" s="245"/>
    </row>
    <row r="577" spans="9:21" ht="17.25" customHeight="1">
      <c r="I577" s="248"/>
      <c r="J577" s="248"/>
      <c r="R577" s="248"/>
      <c r="S577" s="246"/>
      <c r="U577" s="245"/>
    </row>
    <row r="578" spans="9:21" ht="17.25" customHeight="1">
      <c r="I578" s="248"/>
      <c r="J578" s="248"/>
      <c r="R578" s="248"/>
      <c r="S578" s="246"/>
      <c r="U578" s="245"/>
    </row>
    <row r="579" spans="9:21" ht="17.25" customHeight="1">
      <c r="I579" s="248"/>
      <c r="J579" s="248"/>
      <c r="R579" s="248"/>
      <c r="S579" s="246"/>
      <c r="U579" s="245"/>
    </row>
    <row r="580" spans="9:21" ht="17.25" customHeight="1">
      <c r="I580" s="248"/>
      <c r="J580" s="248"/>
      <c r="R580" s="248"/>
      <c r="S580" s="246"/>
      <c r="U580" s="245"/>
    </row>
    <row r="581" spans="9:21" ht="17.25" customHeight="1">
      <c r="I581" s="248"/>
      <c r="J581" s="248"/>
      <c r="R581" s="248"/>
      <c r="S581" s="246"/>
      <c r="U581" s="245"/>
    </row>
    <row r="582" spans="9:21" ht="17.25" customHeight="1">
      <c r="I582" s="248"/>
      <c r="J582" s="248"/>
      <c r="R582" s="248"/>
      <c r="S582" s="246"/>
      <c r="U582" s="245"/>
    </row>
    <row r="583" spans="9:21" ht="17.25" customHeight="1">
      <c r="I583" s="248"/>
      <c r="J583" s="248"/>
      <c r="R583" s="248"/>
      <c r="S583" s="246"/>
      <c r="U583" s="245"/>
    </row>
    <row r="584" spans="9:21" ht="17.25" customHeight="1">
      <c r="I584" s="248"/>
      <c r="J584" s="248"/>
      <c r="R584" s="248"/>
      <c r="S584" s="246"/>
      <c r="U584" s="245"/>
    </row>
    <row r="585" spans="9:21" ht="17.25" customHeight="1">
      <c r="I585" s="248"/>
      <c r="J585" s="248"/>
      <c r="R585" s="248"/>
      <c r="S585" s="246"/>
      <c r="U585" s="245"/>
    </row>
    <row r="586" spans="9:21" ht="17.25" customHeight="1">
      <c r="I586" s="248"/>
      <c r="J586" s="248"/>
      <c r="R586" s="248"/>
      <c r="S586" s="246"/>
      <c r="U586" s="245"/>
    </row>
    <row r="587" spans="9:21" ht="17.25" customHeight="1">
      <c r="I587" s="248"/>
      <c r="J587" s="248"/>
      <c r="R587" s="248"/>
      <c r="S587" s="246"/>
      <c r="U587" s="245"/>
    </row>
    <row r="588" spans="9:21" ht="17.25" customHeight="1">
      <c r="I588" s="248"/>
      <c r="J588" s="248"/>
      <c r="R588" s="248"/>
      <c r="S588" s="246"/>
      <c r="U588" s="245"/>
    </row>
    <row r="589" spans="9:21" ht="17.25" customHeight="1">
      <c r="I589" s="248"/>
      <c r="J589" s="248"/>
      <c r="R589" s="248"/>
      <c r="S589" s="246"/>
      <c r="U589" s="245"/>
    </row>
    <row r="590" spans="9:21" ht="17.25" customHeight="1">
      <c r="I590" s="248"/>
      <c r="J590" s="248"/>
      <c r="R590" s="248"/>
      <c r="S590" s="246"/>
      <c r="U590" s="245"/>
    </row>
    <row r="591" spans="9:21" ht="17.25" customHeight="1">
      <c r="I591" s="248"/>
      <c r="J591" s="248"/>
      <c r="R591" s="248"/>
      <c r="S591" s="246"/>
      <c r="U591" s="245"/>
    </row>
    <row r="592" spans="9:21" ht="17.25" customHeight="1">
      <c r="I592" s="248"/>
      <c r="J592" s="248"/>
      <c r="R592" s="248"/>
      <c r="S592" s="246"/>
      <c r="U592" s="245"/>
    </row>
    <row r="593" spans="9:21" ht="17.25" customHeight="1">
      <c r="I593" s="248"/>
      <c r="J593" s="248"/>
      <c r="R593" s="248"/>
      <c r="S593" s="246"/>
      <c r="U593" s="245"/>
    </row>
    <row r="594" spans="9:21" ht="17.25" customHeight="1">
      <c r="I594" s="248"/>
      <c r="J594" s="248"/>
      <c r="R594" s="248"/>
      <c r="S594" s="246"/>
      <c r="U594" s="245"/>
    </row>
    <row r="595" spans="9:21" ht="17.25" customHeight="1">
      <c r="I595" s="248"/>
      <c r="J595" s="248"/>
      <c r="R595" s="248"/>
      <c r="S595" s="246"/>
      <c r="U595" s="245"/>
    </row>
    <row r="596" spans="9:21" ht="17.25" customHeight="1">
      <c r="I596" s="248"/>
      <c r="J596" s="248"/>
      <c r="R596" s="248"/>
      <c r="S596" s="246"/>
      <c r="U596" s="245"/>
    </row>
    <row r="597" spans="9:21" ht="17.25" customHeight="1">
      <c r="I597" s="248"/>
      <c r="J597" s="248"/>
      <c r="R597" s="248"/>
      <c r="S597" s="246"/>
      <c r="U597" s="245"/>
    </row>
    <row r="598" spans="9:21" ht="17.25" customHeight="1">
      <c r="I598" s="248"/>
      <c r="J598" s="248"/>
      <c r="R598" s="248"/>
      <c r="S598" s="246"/>
      <c r="U598" s="245"/>
    </row>
    <row r="599" spans="9:21" ht="17.25" customHeight="1">
      <c r="I599" s="248"/>
      <c r="J599" s="248"/>
      <c r="R599" s="248"/>
      <c r="S599" s="246"/>
      <c r="U599" s="245"/>
    </row>
    <row r="600" spans="9:21" ht="17.25" customHeight="1">
      <c r="I600" s="248"/>
      <c r="J600" s="248"/>
      <c r="R600" s="248"/>
      <c r="S600" s="246"/>
      <c r="U600" s="245"/>
    </row>
    <row r="601" spans="9:21" ht="17.25" customHeight="1">
      <c r="I601" s="248"/>
      <c r="J601" s="248"/>
      <c r="R601" s="248"/>
      <c r="S601" s="246"/>
      <c r="U601" s="245"/>
    </row>
    <row r="602" spans="9:21" ht="17.25" customHeight="1">
      <c r="I602" s="248"/>
      <c r="J602" s="248"/>
      <c r="R602" s="248"/>
      <c r="S602" s="246"/>
      <c r="U602" s="245"/>
    </row>
    <row r="603" spans="9:21" ht="17.25" customHeight="1">
      <c r="I603" s="248"/>
      <c r="J603" s="248"/>
      <c r="R603" s="248"/>
      <c r="S603" s="246"/>
      <c r="U603" s="245"/>
    </row>
    <row r="604" spans="9:21" ht="17.25" customHeight="1">
      <c r="I604" s="248"/>
      <c r="J604" s="248"/>
      <c r="R604" s="248"/>
      <c r="S604" s="246"/>
      <c r="U604" s="245"/>
    </row>
    <row r="605" spans="9:21" ht="17.25" customHeight="1">
      <c r="I605" s="248"/>
      <c r="J605" s="248"/>
      <c r="R605" s="248"/>
      <c r="S605" s="246"/>
      <c r="U605" s="245"/>
    </row>
    <row r="606" spans="9:21" ht="17.25" customHeight="1">
      <c r="I606" s="248"/>
      <c r="J606" s="248"/>
      <c r="R606" s="248"/>
      <c r="S606" s="246"/>
      <c r="U606" s="245"/>
    </row>
    <row r="607" spans="9:21" ht="17.25" customHeight="1">
      <c r="I607" s="248"/>
      <c r="J607" s="248"/>
      <c r="R607" s="248"/>
      <c r="S607" s="246"/>
      <c r="U607" s="245"/>
    </row>
    <row r="608" spans="9:21" ht="17.25" customHeight="1">
      <c r="I608" s="248"/>
      <c r="J608" s="248"/>
      <c r="R608" s="248"/>
      <c r="S608" s="246"/>
      <c r="U608" s="245"/>
    </row>
    <row r="609" spans="9:21" ht="17.25" customHeight="1">
      <c r="I609" s="248"/>
      <c r="J609" s="248"/>
      <c r="R609" s="248"/>
      <c r="S609" s="246"/>
      <c r="U609" s="245"/>
    </row>
    <row r="610" spans="9:21" ht="17.25" customHeight="1">
      <c r="I610" s="248"/>
      <c r="J610" s="248"/>
      <c r="R610" s="248"/>
      <c r="S610" s="246"/>
      <c r="U610" s="245"/>
    </row>
    <row r="611" spans="9:21" ht="17.25" customHeight="1">
      <c r="I611" s="248"/>
      <c r="J611" s="248"/>
      <c r="R611" s="248"/>
      <c r="S611" s="246"/>
      <c r="U611" s="245"/>
    </row>
    <row r="612" spans="9:21" ht="17.25" customHeight="1">
      <c r="I612" s="248"/>
      <c r="J612" s="248"/>
      <c r="R612" s="248"/>
      <c r="S612" s="246"/>
      <c r="U612" s="245"/>
    </row>
    <row r="613" spans="9:21" ht="17.25" customHeight="1">
      <c r="I613" s="248"/>
      <c r="J613" s="248"/>
      <c r="R613" s="248"/>
      <c r="S613" s="246"/>
      <c r="U613" s="245"/>
    </row>
    <row r="614" spans="9:21" ht="17.25" customHeight="1">
      <c r="I614" s="248"/>
      <c r="J614" s="248"/>
      <c r="R614" s="248"/>
      <c r="S614" s="246"/>
      <c r="U614" s="245"/>
    </row>
    <row r="615" spans="9:21" ht="17.25" customHeight="1">
      <c r="I615" s="248"/>
      <c r="J615" s="248"/>
      <c r="R615" s="248"/>
      <c r="S615" s="246"/>
      <c r="U615" s="245"/>
    </row>
    <row r="616" spans="9:21" ht="17.25" customHeight="1">
      <c r="I616" s="248"/>
      <c r="J616" s="248"/>
      <c r="R616" s="248"/>
      <c r="S616" s="246"/>
      <c r="U616" s="245"/>
    </row>
    <row r="617" spans="9:21" ht="17.25" customHeight="1">
      <c r="I617" s="248"/>
      <c r="J617" s="248"/>
      <c r="R617" s="248"/>
      <c r="S617" s="246"/>
      <c r="U617" s="245"/>
    </row>
    <row r="618" spans="9:21" ht="17.25" customHeight="1">
      <c r="I618" s="248"/>
      <c r="J618" s="248"/>
      <c r="R618" s="248"/>
      <c r="S618" s="246"/>
      <c r="U618" s="245"/>
    </row>
    <row r="619" spans="9:21" ht="17.25" customHeight="1">
      <c r="I619" s="248"/>
      <c r="J619" s="248"/>
      <c r="R619" s="248"/>
      <c r="S619" s="246"/>
      <c r="U619" s="245"/>
    </row>
    <row r="620" spans="9:21" ht="17.25" customHeight="1">
      <c r="I620" s="248"/>
      <c r="J620" s="248"/>
      <c r="R620" s="248"/>
      <c r="S620" s="246"/>
      <c r="U620" s="245"/>
    </row>
    <row r="621" spans="9:21" ht="17.25" customHeight="1">
      <c r="I621" s="248"/>
      <c r="J621" s="248"/>
      <c r="R621" s="248"/>
      <c r="S621" s="246"/>
      <c r="U621" s="245"/>
    </row>
    <row r="622" spans="9:21" ht="17.25" customHeight="1">
      <c r="I622" s="248"/>
      <c r="J622" s="248"/>
      <c r="R622" s="248"/>
      <c r="S622" s="246"/>
      <c r="U622" s="245"/>
    </row>
    <row r="623" spans="9:21" ht="17.25" customHeight="1">
      <c r="I623" s="248"/>
      <c r="J623" s="248"/>
      <c r="R623" s="248"/>
      <c r="S623" s="246"/>
      <c r="U623" s="245"/>
    </row>
    <row r="624" spans="9:21" ht="17.25" customHeight="1">
      <c r="I624" s="248"/>
      <c r="J624" s="248"/>
      <c r="R624" s="248"/>
      <c r="S624" s="246"/>
      <c r="U624" s="245"/>
    </row>
    <row r="625" spans="9:21" ht="17.25" customHeight="1">
      <c r="I625" s="248"/>
      <c r="J625" s="248"/>
      <c r="R625" s="248"/>
      <c r="S625" s="246"/>
      <c r="U625" s="245"/>
    </row>
    <row r="626" spans="9:21" ht="17.25" customHeight="1">
      <c r="I626" s="248"/>
      <c r="J626" s="248"/>
      <c r="R626" s="248"/>
      <c r="S626" s="246"/>
      <c r="U626" s="245"/>
    </row>
    <row r="627" spans="9:21" ht="17.25" customHeight="1">
      <c r="I627" s="248"/>
      <c r="J627" s="248"/>
      <c r="R627" s="248"/>
      <c r="S627" s="246"/>
      <c r="U627" s="245"/>
    </row>
    <row r="628" spans="9:21" ht="17.25" customHeight="1">
      <c r="I628" s="248"/>
      <c r="J628" s="248"/>
      <c r="R628" s="248"/>
      <c r="S628" s="246"/>
      <c r="U628" s="245"/>
    </row>
    <row r="629" spans="9:21" ht="17.25" customHeight="1">
      <c r="I629" s="248"/>
      <c r="J629" s="248"/>
      <c r="R629" s="248"/>
      <c r="S629" s="246"/>
      <c r="U629" s="245"/>
    </row>
    <row r="630" spans="9:21" ht="17.25" customHeight="1">
      <c r="I630" s="248"/>
      <c r="J630" s="248"/>
      <c r="R630" s="248"/>
      <c r="S630" s="246"/>
      <c r="U630" s="245"/>
    </row>
    <row r="631" spans="9:21" ht="17.25" customHeight="1">
      <c r="I631" s="248"/>
      <c r="J631" s="248"/>
      <c r="R631" s="248"/>
      <c r="S631" s="246"/>
      <c r="U631" s="245"/>
    </row>
    <row r="632" spans="9:21" ht="17.25" customHeight="1">
      <c r="I632" s="248"/>
      <c r="J632" s="248"/>
      <c r="R632" s="248"/>
      <c r="S632" s="246"/>
      <c r="U632" s="245"/>
    </row>
    <row r="633" spans="9:21" ht="17.25" customHeight="1">
      <c r="I633" s="248"/>
      <c r="J633" s="248"/>
      <c r="R633" s="248"/>
      <c r="S633" s="246"/>
      <c r="U633" s="245"/>
    </row>
    <row r="634" spans="9:21" ht="17.25" customHeight="1">
      <c r="I634" s="248"/>
      <c r="J634" s="248"/>
      <c r="R634" s="248"/>
      <c r="S634" s="246"/>
      <c r="U634" s="245"/>
    </row>
    <row r="635" spans="9:21" ht="17.25" customHeight="1">
      <c r="I635" s="248"/>
      <c r="J635" s="248"/>
      <c r="R635" s="248"/>
      <c r="S635" s="246"/>
      <c r="U635" s="245"/>
    </row>
    <row r="636" spans="9:21" ht="17.25" customHeight="1">
      <c r="I636" s="248"/>
      <c r="J636" s="248"/>
      <c r="R636" s="248"/>
      <c r="S636" s="246"/>
      <c r="U636" s="245"/>
    </row>
    <row r="637" spans="9:21" ht="17.25" customHeight="1">
      <c r="I637" s="248"/>
      <c r="J637" s="248"/>
      <c r="R637" s="248"/>
      <c r="S637" s="246"/>
      <c r="U637" s="245"/>
    </row>
    <row r="638" spans="9:21" ht="17.25" customHeight="1">
      <c r="I638" s="248"/>
      <c r="J638" s="248"/>
      <c r="R638" s="248"/>
      <c r="S638" s="246"/>
      <c r="U638" s="245"/>
    </row>
    <row r="639" spans="9:21" ht="17.25" customHeight="1">
      <c r="I639" s="248"/>
      <c r="J639" s="248"/>
      <c r="R639" s="248"/>
      <c r="S639" s="246"/>
      <c r="U639" s="245"/>
    </row>
    <row r="640" spans="9:21" ht="17.25" customHeight="1">
      <c r="I640" s="248"/>
      <c r="J640" s="248"/>
      <c r="R640" s="248"/>
      <c r="S640" s="246"/>
      <c r="U640" s="245"/>
    </row>
    <row r="641" spans="9:21" ht="17.25" customHeight="1">
      <c r="I641" s="248"/>
      <c r="J641" s="248"/>
      <c r="R641" s="248"/>
      <c r="S641" s="246"/>
      <c r="U641" s="245"/>
    </row>
    <row r="642" spans="9:21" ht="17.25" customHeight="1">
      <c r="I642" s="248"/>
      <c r="J642" s="248"/>
      <c r="R642" s="248"/>
      <c r="S642" s="246"/>
      <c r="U642" s="245"/>
    </row>
    <row r="643" spans="9:21" ht="17.25" customHeight="1">
      <c r="I643" s="248"/>
      <c r="J643" s="248"/>
      <c r="R643" s="248"/>
      <c r="S643" s="246"/>
      <c r="U643" s="245"/>
    </row>
    <row r="644" spans="9:21" ht="17.25" customHeight="1">
      <c r="I644" s="248"/>
      <c r="J644" s="248"/>
      <c r="R644" s="248"/>
      <c r="S644" s="246"/>
      <c r="U644" s="245"/>
    </row>
    <row r="645" spans="9:21" ht="17.25" customHeight="1">
      <c r="I645" s="248"/>
      <c r="J645" s="248"/>
      <c r="R645" s="248"/>
      <c r="S645" s="246"/>
      <c r="U645" s="245"/>
    </row>
    <row r="646" spans="9:21" ht="17.25" customHeight="1">
      <c r="I646" s="248"/>
      <c r="J646" s="248"/>
      <c r="R646" s="248"/>
      <c r="S646" s="246"/>
      <c r="U646" s="245"/>
    </row>
    <row r="647" spans="9:21" ht="17.25" customHeight="1">
      <c r="I647" s="248"/>
      <c r="J647" s="248"/>
      <c r="R647" s="248"/>
      <c r="S647" s="246"/>
      <c r="U647" s="245"/>
    </row>
    <row r="648" spans="9:21" ht="17.25" customHeight="1">
      <c r="I648" s="248"/>
      <c r="J648" s="248"/>
      <c r="R648" s="248"/>
      <c r="S648" s="246"/>
      <c r="U648" s="245"/>
    </row>
    <row r="649" spans="9:21" ht="17.25" customHeight="1">
      <c r="I649" s="248"/>
      <c r="J649" s="248"/>
      <c r="R649" s="248"/>
      <c r="S649" s="246"/>
      <c r="U649" s="245"/>
    </row>
    <row r="650" spans="9:21" ht="17.25" customHeight="1">
      <c r="I650" s="248"/>
      <c r="J650" s="248"/>
      <c r="R650" s="248"/>
      <c r="S650" s="246"/>
      <c r="U650" s="245"/>
    </row>
    <row r="651" spans="9:21" ht="17.25" customHeight="1">
      <c r="I651" s="248"/>
      <c r="J651" s="248"/>
      <c r="R651" s="248"/>
      <c r="S651" s="246"/>
      <c r="U651" s="245"/>
    </row>
    <row r="652" spans="9:21" ht="17.25" customHeight="1">
      <c r="I652" s="248"/>
      <c r="J652" s="248"/>
      <c r="R652" s="248"/>
      <c r="S652" s="246"/>
      <c r="U652" s="245"/>
    </row>
    <row r="653" spans="9:21" ht="17.25" customHeight="1">
      <c r="I653" s="248"/>
      <c r="J653" s="248"/>
      <c r="R653" s="248"/>
      <c r="S653" s="246"/>
      <c r="U653" s="245"/>
    </row>
    <row r="654" spans="9:21" ht="17.25" customHeight="1">
      <c r="I654" s="248"/>
      <c r="J654" s="248"/>
      <c r="R654" s="248"/>
      <c r="S654" s="246"/>
      <c r="U654" s="245"/>
    </row>
    <row r="655" spans="9:21" ht="17.25" customHeight="1">
      <c r="I655" s="248"/>
      <c r="J655" s="248"/>
      <c r="R655" s="248"/>
      <c r="S655" s="246"/>
      <c r="U655" s="245"/>
    </row>
    <row r="656" spans="9:21" ht="17.25" customHeight="1">
      <c r="I656" s="248"/>
      <c r="J656" s="248"/>
      <c r="R656" s="248"/>
      <c r="S656" s="246"/>
      <c r="U656" s="245"/>
    </row>
    <row r="657" spans="9:21" ht="17.25" customHeight="1">
      <c r="I657" s="248"/>
      <c r="J657" s="248"/>
      <c r="R657" s="248"/>
      <c r="S657" s="246"/>
      <c r="U657" s="245"/>
    </row>
    <row r="658" spans="9:21" ht="17.25" customHeight="1">
      <c r="I658" s="248"/>
      <c r="J658" s="248"/>
      <c r="R658" s="248"/>
      <c r="S658" s="246"/>
      <c r="U658" s="245"/>
    </row>
    <row r="659" spans="9:21" ht="17.25" customHeight="1">
      <c r="I659" s="248"/>
      <c r="J659" s="248"/>
      <c r="R659" s="248"/>
      <c r="S659" s="246"/>
      <c r="U659" s="245"/>
    </row>
    <row r="660" spans="9:21" ht="17.25" customHeight="1">
      <c r="I660" s="248"/>
      <c r="J660" s="248"/>
      <c r="R660" s="248"/>
      <c r="S660" s="246"/>
      <c r="U660" s="245"/>
    </row>
    <row r="661" spans="9:21" ht="17.25" customHeight="1">
      <c r="I661" s="248"/>
      <c r="J661" s="248"/>
      <c r="R661" s="248"/>
      <c r="S661" s="246"/>
      <c r="U661" s="245"/>
    </row>
    <row r="662" spans="9:21" ht="17.25" customHeight="1">
      <c r="I662" s="248"/>
      <c r="J662" s="248"/>
      <c r="R662" s="248"/>
      <c r="S662" s="246"/>
      <c r="U662" s="245"/>
    </row>
    <row r="663" spans="9:21" ht="17.25" customHeight="1">
      <c r="I663" s="248"/>
      <c r="J663" s="248"/>
      <c r="R663" s="248"/>
      <c r="S663" s="246"/>
      <c r="U663" s="245"/>
    </row>
    <row r="664" spans="9:21" ht="17.25" customHeight="1">
      <c r="I664" s="248"/>
      <c r="J664" s="248"/>
      <c r="R664" s="248"/>
      <c r="S664" s="246"/>
      <c r="U664" s="245"/>
    </row>
    <row r="665" spans="9:21" ht="17.25" customHeight="1">
      <c r="I665" s="248"/>
      <c r="J665" s="248"/>
      <c r="R665" s="248"/>
      <c r="S665" s="246"/>
      <c r="U665" s="245"/>
    </row>
    <row r="666" spans="9:21" ht="17.25" customHeight="1">
      <c r="I666" s="248"/>
      <c r="J666" s="248"/>
      <c r="R666" s="248"/>
      <c r="S666" s="246"/>
      <c r="U666" s="245"/>
    </row>
    <row r="667" spans="9:21" ht="17.25" customHeight="1">
      <c r="I667" s="248"/>
      <c r="J667" s="248"/>
      <c r="R667" s="248"/>
      <c r="S667" s="246"/>
      <c r="U667" s="245"/>
    </row>
    <row r="668" spans="9:21" ht="17.25" customHeight="1">
      <c r="I668" s="248"/>
      <c r="J668" s="248"/>
      <c r="R668" s="248"/>
      <c r="S668" s="246"/>
      <c r="U668" s="245"/>
    </row>
    <row r="669" spans="9:21" ht="17.25" customHeight="1">
      <c r="I669" s="248"/>
      <c r="J669" s="248"/>
      <c r="R669" s="248"/>
      <c r="S669" s="246"/>
      <c r="U669" s="245"/>
    </row>
    <row r="670" spans="9:21" ht="17.25" customHeight="1">
      <c r="I670" s="248"/>
      <c r="J670" s="248"/>
      <c r="R670" s="248"/>
      <c r="S670" s="246"/>
      <c r="U670" s="245"/>
    </row>
    <row r="671" spans="9:21" ht="17.25" customHeight="1">
      <c r="I671" s="248"/>
      <c r="J671" s="248"/>
      <c r="R671" s="248"/>
      <c r="S671" s="246"/>
      <c r="U671" s="245"/>
    </row>
    <row r="672" spans="9:21" ht="17.25" customHeight="1">
      <c r="I672" s="248"/>
      <c r="J672" s="248"/>
      <c r="R672" s="248"/>
      <c r="S672" s="246"/>
      <c r="U672" s="245"/>
    </row>
    <row r="673" spans="9:21" ht="17.25" customHeight="1">
      <c r="I673" s="248"/>
      <c r="J673" s="248"/>
      <c r="R673" s="248"/>
      <c r="S673" s="246"/>
      <c r="U673" s="245"/>
    </row>
    <row r="674" spans="9:21" ht="17.25" customHeight="1">
      <c r="I674" s="248"/>
      <c r="J674" s="248"/>
      <c r="R674" s="248"/>
      <c r="S674" s="246"/>
      <c r="U674" s="245"/>
    </row>
    <row r="675" spans="9:21" ht="17.25" customHeight="1">
      <c r="I675" s="248"/>
      <c r="J675" s="248"/>
      <c r="R675" s="248"/>
      <c r="S675" s="246"/>
      <c r="U675" s="245"/>
    </row>
    <row r="676" spans="9:21" ht="17.25" customHeight="1">
      <c r="I676" s="248"/>
      <c r="J676" s="248"/>
      <c r="R676" s="248"/>
      <c r="S676" s="246"/>
      <c r="U676" s="245"/>
    </row>
    <row r="677" spans="9:21" ht="17.25" customHeight="1">
      <c r="I677" s="248"/>
      <c r="J677" s="248"/>
      <c r="R677" s="248"/>
      <c r="S677" s="246"/>
      <c r="U677" s="245"/>
    </row>
    <row r="678" spans="9:21" ht="17.25" customHeight="1">
      <c r="I678" s="248"/>
      <c r="J678" s="248"/>
      <c r="R678" s="248"/>
      <c r="S678" s="246"/>
      <c r="U678" s="245"/>
    </row>
    <row r="679" spans="9:21" ht="17.25" customHeight="1">
      <c r="I679" s="248"/>
      <c r="J679" s="248"/>
      <c r="R679" s="248"/>
      <c r="S679" s="246"/>
      <c r="U679" s="245"/>
    </row>
    <row r="680" spans="9:21" ht="17.25" customHeight="1">
      <c r="I680" s="248"/>
      <c r="J680" s="248"/>
      <c r="R680" s="248"/>
      <c r="S680" s="246"/>
      <c r="U680" s="245"/>
    </row>
    <row r="681" spans="9:21" ht="17.25" customHeight="1">
      <c r="I681" s="248"/>
      <c r="J681" s="248"/>
      <c r="R681" s="248"/>
      <c r="S681" s="246"/>
      <c r="U681" s="245"/>
    </row>
    <row r="682" spans="9:21" ht="17.25" customHeight="1">
      <c r="I682" s="248"/>
      <c r="J682" s="248"/>
      <c r="R682" s="248"/>
      <c r="S682" s="246"/>
      <c r="U682" s="245"/>
    </row>
    <row r="683" spans="9:21" ht="17.25" customHeight="1">
      <c r="I683" s="248"/>
      <c r="J683" s="248"/>
      <c r="R683" s="248"/>
      <c r="S683" s="246"/>
      <c r="U683" s="245"/>
    </row>
    <row r="684" spans="9:21" ht="17.25" customHeight="1">
      <c r="I684" s="248"/>
      <c r="J684" s="248"/>
      <c r="R684" s="248"/>
      <c r="S684" s="246"/>
      <c r="U684" s="245"/>
    </row>
    <row r="685" spans="9:21" ht="17.25" customHeight="1">
      <c r="I685" s="248"/>
      <c r="J685" s="248"/>
      <c r="R685" s="248"/>
      <c r="S685" s="246"/>
      <c r="U685" s="245"/>
    </row>
    <row r="686" spans="9:21" ht="17.25" customHeight="1">
      <c r="I686" s="248"/>
      <c r="J686" s="248"/>
      <c r="R686" s="248"/>
      <c r="S686" s="246"/>
      <c r="U686" s="245"/>
    </row>
    <row r="687" spans="9:21" ht="17.25" customHeight="1">
      <c r="I687" s="248"/>
      <c r="J687" s="248"/>
      <c r="R687" s="248"/>
      <c r="S687" s="246"/>
      <c r="U687" s="245"/>
    </row>
    <row r="688" spans="9:21" ht="17.25" customHeight="1">
      <c r="I688" s="248"/>
      <c r="J688" s="248"/>
      <c r="R688" s="248"/>
      <c r="S688" s="246"/>
      <c r="U688" s="245"/>
    </row>
    <row r="689" spans="9:21" ht="17.25" customHeight="1">
      <c r="I689" s="248"/>
      <c r="J689" s="248"/>
      <c r="R689" s="248"/>
      <c r="S689" s="246"/>
      <c r="U689" s="245"/>
    </row>
    <row r="690" spans="9:21" ht="17.25" customHeight="1">
      <c r="I690" s="248"/>
      <c r="J690" s="248"/>
      <c r="R690" s="248"/>
      <c r="S690" s="246"/>
      <c r="U690" s="245"/>
    </row>
    <row r="691" spans="9:21" ht="17.25" customHeight="1">
      <c r="I691" s="248"/>
      <c r="J691" s="248"/>
      <c r="R691" s="248"/>
      <c r="S691" s="246"/>
      <c r="U691" s="245"/>
    </row>
    <row r="692" spans="9:21" ht="17.25" customHeight="1">
      <c r="I692" s="248"/>
      <c r="J692" s="248"/>
      <c r="R692" s="248"/>
      <c r="S692" s="246"/>
      <c r="U692" s="245"/>
    </row>
    <row r="693" spans="9:21" ht="17.25" customHeight="1">
      <c r="I693" s="248"/>
      <c r="J693" s="248"/>
      <c r="R693" s="248"/>
      <c r="S693" s="246"/>
      <c r="U693" s="245"/>
    </row>
    <row r="694" spans="9:21" ht="17.25" customHeight="1">
      <c r="I694" s="248"/>
      <c r="J694" s="248"/>
      <c r="R694" s="248"/>
      <c r="S694" s="246"/>
      <c r="U694" s="245"/>
    </row>
    <row r="695" spans="9:21" ht="17.25" customHeight="1">
      <c r="I695" s="248"/>
      <c r="J695" s="248"/>
      <c r="R695" s="248"/>
      <c r="S695" s="246"/>
      <c r="U695" s="245"/>
    </row>
    <row r="696" spans="9:21" ht="17.25" customHeight="1">
      <c r="I696" s="248"/>
      <c r="J696" s="248"/>
      <c r="R696" s="248"/>
      <c r="S696" s="246"/>
      <c r="U696" s="245"/>
    </row>
    <row r="697" spans="9:21" ht="17.25" customHeight="1">
      <c r="I697" s="248"/>
      <c r="J697" s="248"/>
      <c r="R697" s="248"/>
      <c r="S697" s="246"/>
      <c r="U697" s="245"/>
    </row>
    <row r="698" spans="9:21" ht="17.25" customHeight="1">
      <c r="I698" s="248"/>
      <c r="J698" s="248"/>
      <c r="R698" s="248"/>
      <c r="S698" s="246"/>
      <c r="U698" s="245"/>
    </row>
    <row r="699" spans="9:21" ht="17.25" customHeight="1">
      <c r="I699" s="248"/>
      <c r="J699" s="248"/>
      <c r="R699" s="248"/>
      <c r="S699" s="246"/>
      <c r="U699" s="245"/>
    </row>
    <row r="700" spans="9:21" ht="17.25" customHeight="1">
      <c r="I700" s="248"/>
      <c r="J700" s="248"/>
      <c r="R700" s="248"/>
      <c r="S700" s="246"/>
      <c r="U700" s="245"/>
    </row>
    <row r="701" spans="9:21" ht="17.25" customHeight="1">
      <c r="I701" s="248"/>
      <c r="J701" s="248"/>
      <c r="R701" s="248"/>
      <c r="S701" s="246"/>
      <c r="U701" s="245"/>
    </row>
    <row r="702" spans="9:21" ht="17.25" customHeight="1">
      <c r="I702" s="248"/>
      <c r="J702" s="248"/>
      <c r="R702" s="248"/>
      <c r="S702" s="246"/>
      <c r="U702" s="245"/>
    </row>
    <row r="703" spans="9:21" ht="17.25" customHeight="1">
      <c r="I703" s="248"/>
      <c r="J703" s="248"/>
      <c r="R703" s="248"/>
      <c r="S703" s="246"/>
      <c r="U703" s="245"/>
    </row>
    <row r="704" spans="9:21" ht="17.25" customHeight="1">
      <c r="I704" s="248"/>
      <c r="J704" s="248"/>
      <c r="R704" s="248"/>
      <c r="S704" s="246"/>
      <c r="U704" s="245"/>
    </row>
    <row r="705" spans="9:21" ht="17.25" customHeight="1">
      <c r="I705" s="248"/>
      <c r="J705" s="248"/>
      <c r="R705" s="248"/>
      <c r="S705" s="246"/>
      <c r="U705" s="245"/>
    </row>
    <row r="706" spans="9:21" ht="17.25" customHeight="1">
      <c r="I706" s="248"/>
      <c r="J706" s="248"/>
      <c r="R706" s="248"/>
      <c r="S706" s="246"/>
      <c r="U706" s="245"/>
    </row>
    <row r="707" spans="9:21" ht="17.25" customHeight="1">
      <c r="I707" s="248"/>
      <c r="J707" s="248"/>
      <c r="R707" s="248"/>
      <c r="S707" s="246"/>
      <c r="U707" s="245"/>
    </row>
    <row r="708" spans="9:21" ht="17.25" customHeight="1">
      <c r="I708" s="248"/>
      <c r="J708" s="248"/>
      <c r="R708" s="248"/>
      <c r="S708" s="246"/>
      <c r="U708" s="245"/>
    </row>
    <row r="709" spans="9:21" ht="17.25" customHeight="1">
      <c r="I709" s="248"/>
      <c r="J709" s="248"/>
      <c r="R709" s="248"/>
      <c r="S709" s="246"/>
      <c r="U709" s="245"/>
    </row>
    <row r="710" spans="9:21" ht="17.25" customHeight="1">
      <c r="I710" s="248"/>
      <c r="J710" s="248"/>
      <c r="R710" s="248"/>
      <c r="S710" s="246"/>
      <c r="U710" s="245"/>
    </row>
    <row r="711" spans="9:21" ht="17.25" customHeight="1">
      <c r="I711" s="248"/>
      <c r="J711" s="248"/>
      <c r="R711" s="248"/>
      <c r="S711" s="246"/>
      <c r="U711" s="245"/>
    </row>
    <row r="712" spans="9:21" ht="17.25" customHeight="1">
      <c r="I712" s="248"/>
      <c r="J712" s="248"/>
      <c r="R712" s="248"/>
      <c r="S712" s="246"/>
      <c r="U712" s="245"/>
    </row>
    <row r="713" spans="9:21" ht="17.25" customHeight="1">
      <c r="I713" s="248"/>
      <c r="J713" s="248"/>
      <c r="R713" s="248"/>
      <c r="S713" s="246"/>
      <c r="U713" s="245"/>
    </row>
    <row r="714" spans="9:21" ht="17.25" customHeight="1">
      <c r="I714" s="248"/>
      <c r="J714" s="248"/>
      <c r="R714" s="248"/>
      <c r="S714" s="246"/>
      <c r="U714" s="245"/>
    </row>
    <row r="715" spans="9:21" ht="17.25" customHeight="1">
      <c r="I715" s="248"/>
      <c r="J715" s="248"/>
      <c r="R715" s="248"/>
      <c r="S715" s="246"/>
      <c r="U715" s="245"/>
    </row>
    <row r="716" spans="9:21" ht="17.25" customHeight="1">
      <c r="I716" s="248"/>
      <c r="J716" s="248"/>
      <c r="R716" s="248"/>
      <c r="S716" s="246"/>
      <c r="U716" s="245"/>
    </row>
    <row r="717" spans="9:21" ht="17.25" customHeight="1">
      <c r="I717" s="248"/>
      <c r="J717" s="248"/>
      <c r="R717" s="248"/>
      <c r="S717" s="246"/>
      <c r="U717" s="245"/>
    </row>
    <row r="718" spans="9:21" ht="17.25" customHeight="1">
      <c r="I718" s="248"/>
      <c r="J718" s="248"/>
      <c r="R718" s="248"/>
      <c r="S718" s="246"/>
      <c r="U718" s="245"/>
    </row>
    <row r="719" spans="9:21" ht="17.25" customHeight="1">
      <c r="I719" s="248"/>
      <c r="J719" s="248"/>
      <c r="R719" s="248"/>
      <c r="S719" s="246"/>
      <c r="U719" s="245"/>
    </row>
    <row r="720" spans="9:21" ht="17.25" customHeight="1">
      <c r="I720" s="248"/>
      <c r="J720" s="248"/>
      <c r="R720" s="248"/>
      <c r="S720" s="246"/>
      <c r="U720" s="245"/>
    </row>
    <row r="721" spans="9:21" ht="17.25" customHeight="1">
      <c r="I721" s="248"/>
      <c r="J721" s="248"/>
      <c r="R721" s="248"/>
      <c r="S721" s="246"/>
      <c r="U721" s="245"/>
    </row>
    <row r="722" spans="9:21" ht="17.25" customHeight="1">
      <c r="I722" s="248"/>
      <c r="J722" s="248"/>
      <c r="R722" s="248"/>
      <c r="S722" s="246"/>
      <c r="U722" s="245"/>
    </row>
    <row r="723" spans="9:21" ht="17.25" customHeight="1">
      <c r="I723" s="248"/>
      <c r="J723" s="248"/>
      <c r="R723" s="248"/>
      <c r="S723" s="246"/>
      <c r="U723" s="245"/>
    </row>
    <row r="724" spans="9:21" ht="17.25" customHeight="1">
      <c r="I724" s="248"/>
      <c r="J724" s="248"/>
      <c r="R724" s="248"/>
      <c r="S724" s="246"/>
      <c r="U724" s="245"/>
    </row>
    <row r="725" spans="9:21" ht="17.25" customHeight="1">
      <c r="I725" s="248"/>
      <c r="J725" s="248"/>
      <c r="R725" s="248"/>
      <c r="S725" s="246"/>
      <c r="U725" s="245"/>
    </row>
    <row r="726" spans="9:21" ht="17.25" customHeight="1">
      <c r="I726" s="248"/>
      <c r="J726" s="248"/>
      <c r="R726" s="248"/>
      <c r="S726" s="246"/>
      <c r="U726" s="245"/>
    </row>
    <row r="727" spans="9:21" ht="17.25" customHeight="1">
      <c r="I727" s="248"/>
      <c r="J727" s="248"/>
      <c r="R727" s="248"/>
      <c r="S727" s="246"/>
      <c r="U727" s="245"/>
    </row>
    <row r="728" spans="9:21" ht="17.25" customHeight="1">
      <c r="I728" s="248"/>
      <c r="J728" s="248"/>
      <c r="R728" s="248"/>
      <c r="S728" s="246"/>
      <c r="U728" s="245"/>
    </row>
    <row r="729" spans="9:21" ht="17.25" customHeight="1">
      <c r="I729" s="248"/>
      <c r="J729" s="248"/>
      <c r="R729" s="248"/>
      <c r="S729" s="246"/>
      <c r="U729" s="245"/>
    </row>
    <row r="730" spans="9:21" ht="17.25" customHeight="1">
      <c r="I730" s="248"/>
      <c r="J730" s="248"/>
      <c r="R730" s="248"/>
      <c r="S730" s="246"/>
      <c r="U730" s="245"/>
    </row>
    <row r="731" spans="9:21" ht="17.25" customHeight="1">
      <c r="I731" s="248"/>
      <c r="J731" s="248"/>
      <c r="R731" s="248"/>
      <c r="S731" s="246"/>
      <c r="U731" s="245"/>
    </row>
    <row r="732" spans="9:21" ht="17.25" customHeight="1">
      <c r="I732" s="248"/>
      <c r="J732" s="248"/>
      <c r="R732" s="248"/>
      <c r="S732" s="246"/>
      <c r="U732" s="245"/>
    </row>
    <row r="733" spans="9:21" ht="17.25" customHeight="1">
      <c r="I733" s="248"/>
      <c r="J733" s="248"/>
      <c r="R733" s="248"/>
      <c r="S733" s="246"/>
      <c r="U733" s="245"/>
    </row>
    <row r="734" spans="9:21" ht="17.25" customHeight="1">
      <c r="I734" s="248"/>
      <c r="J734" s="248"/>
      <c r="R734" s="248"/>
      <c r="S734" s="246"/>
      <c r="U734" s="245"/>
    </row>
    <row r="735" spans="9:21" ht="17.25" customHeight="1">
      <c r="I735" s="248"/>
      <c r="J735" s="248"/>
      <c r="R735" s="248"/>
      <c r="S735" s="246"/>
      <c r="U735" s="245"/>
    </row>
    <row r="736" spans="9:21" ht="17.25" customHeight="1">
      <c r="I736" s="248"/>
      <c r="J736" s="248"/>
      <c r="R736" s="248"/>
      <c r="S736" s="246"/>
      <c r="U736" s="245"/>
    </row>
    <row r="737" spans="9:21" ht="17.25" customHeight="1">
      <c r="I737" s="248"/>
      <c r="J737" s="248"/>
      <c r="R737" s="248"/>
      <c r="S737" s="246"/>
      <c r="U737" s="245"/>
    </row>
    <row r="738" spans="9:21" ht="17.25" customHeight="1">
      <c r="I738" s="248"/>
      <c r="J738" s="248"/>
      <c r="R738" s="248"/>
      <c r="S738" s="246"/>
      <c r="U738" s="245"/>
    </row>
    <row r="739" spans="9:21" ht="17.25" customHeight="1">
      <c r="I739" s="248"/>
      <c r="J739" s="248"/>
      <c r="R739" s="248"/>
      <c r="S739" s="246"/>
      <c r="U739" s="245"/>
    </row>
    <row r="740" spans="9:21" ht="17.25" customHeight="1">
      <c r="I740" s="248"/>
      <c r="J740" s="248"/>
      <c r="R740" s="248"/>
      <c r="S740" s="246"/>
      <c r="U740" s="245"/>
    </row>
    <row r="741" spans="9:21" ht="17.25" customHeight="1">
      <c r="I741" s="248"/>
      <c r="J741" s="248"/>
      <c r="R741" s="248"/>
      <c r="S741" s="246"/>
      <c r="U741" s="245"/>
    </row>
    <row r="742" spans="9:21" ht="17.25" customHeight="1">
      <c r="I742" s="248"/>
      <c r="J742" s="248"/>
      <c r="R742" s="248"/>
      <c r="S742" s="246"/>
      <c r="U742" s="245"/>
    </row>
    <row r="743" spans="9:21" ht="17.25" customHeight="1">
      <c r="I743" s="248"/>
      <c r="J743" s="248"/>
      <c r="R743" s="248"/>
      <c r="S743" s="246"/>
      <c r="U743" s="245"/>
    </row>
    <row r="744" spans="9:21" ht="17.25" customHeight="1">
      <c r="I744" s="248"/>
      <c r="J744" s="248"/>
      <c r="R744" s="248"/>
      <c r="S744" s="246"/>
      <c r="U744" s="245"/>
    </row>
    <row r="745" spans="9:21" ht="17.25" customHeight="1">
      <c r="I745" s="248"/>
      <c r="J745" s="248"/>
      <c r="R745" s="248"/>
      <c r="S745" s="246"/>
      <c r="U745" s="245"/>
    </row>
    <row r="746" spans="9:21" ht="17.25" customHeight="1">
      <c r="I746" s="248"/>
      <c r="J746" s="248"/>
      <c r="R746" s="248"/>
      <c r="S746" s="246"/>
      <c r="U746" s="245"/>
    </row>
    <row r="747" spans="9:21" ht="17.25" customHeight="1">
      <c r="I747" s="248"/>
      <c r="J747" s="248"/>
      <c r="R747" s="248"/>
      <c r="S747" s="246"/>
      <c r="U747" s="245"/>
    </row>
    <row r="748" spans="9:21" ht="17.25" customHeight="1">
      <c r="I748" s="248"/>
      <c r="J748" s="248"/>
      <c r="R748" s="248"/>
      <c r="S748" s="246"/>
      <c r="U748" s="245"/>
    </row>
    <row r="749" spans="9:21" ht="17.25" customHeight="1">
      <c r="I749" s="248"/>
      <c r="J749" s="248"/>
      <c r="R749" s="248"/>
      <c r="S749" s="246"/>
      <c r="U749" s="245"/>
    </row>
    <row r="750" spans="9:21" ht="17.25" customHeight="1">
      <c r="I750" s="248"/>
      <c r="J750" s="248"/>
      <c r="R750" s="248"/>
      <c r="S750" s="246"/>
      <c r="U750" s="245"/>
    </row>
    <row r="751" spans="9:21" ht="17.25" customHeight="1">
      <c r="I751" s="248"/>
      <c r="J751" s="248"/>
      <c r="R751" s="248"/>
      <c r="S751" s="246"/>
      <c r="U751" s="245"/>
    </row>
    <row r="752" spans="9:21" ht="17.25" customHeight="1">
      <c r="I752" s="248"/>
      <c r="J752" s="248"/>
      <c r="R752" s="248"/>
      <c r="S752" s="246"/>
      <c r="U752" s="245"/>
    </row>
    <row r="753" spans="9:21" ht="17.25" customHeight="1">
      <c r="I753" s="248"/>
      <c r="J753" s="248"/>
      <c r="R753" s="248"/>
      <c r="S753" s="246"/>
      <c r="U753" s="245"/>
    </row>
    <row r="754" spans="9:21" ht="17.25" customHeight="1">
      <c r="I754" s="248"/>
      <c r="J754" s="248"/>
      <c r="R754" s="248"/>
      <c r="S754" s="246"/>
      <c r="U754" s="245"/>
    </row>
    <row r="755" spans="9:21" ht="17.25" customHeight="1">
      <c r="I755" s="248"/>
      <c r="J755" s="248"/>
      <c r="R755" s="248"/>
      <c r="S755" s="246"/>
      <c r="U755" s="245"/>
    </row>
    <row r="756" spans="9:21" ht="17.25" customHeight="1">
      <c r="I756" s="248"/>
      <c r="J756" s="248"/>
      <c r="R756" s="248"/>
      <c r="S756" s="246"/>
      <c r="U756" s="245"/>
    </row>
    <row r="757" spans="9:21" ht="17.25" customHeight="1">
      <c r="I757" s="248"/>
      <c r="J757" s="248"/>
      <c r="R757" s="248"/>
      <c r="S757" s="246"/>
      <c r="U757" s="245"/>
    </row>
    <row r="758" spans="9:21" ht="17.25" customHeight="1">
      <c r="I758" s="248"/>
      <c r="J758" s="248"/>
      <c r="R758" s="248"/>
      <c r="S758" s="246"/>
      <c r="U758" s="245"/>
    </row>
    <row r="759" spans="9:21" ht="17.25" customHeight="1">
      <c r="I759" s="248"/>
      <c r="J759" s="248"/>
      <c r="R759" s="248"/>
      <c r="S759" s="246"/>
      <c r="U759" s="245"/>
    </row>
    <row r="760" spans="9:21" ht="17.25" customHeight="1">
      <c r="I760" s="248"/>
      <c r="J760" s="248"/>
      <c r="R760" s="248"/>
      <c r="S760" s="246"/>
      <c r="U760" s="245"/>
    </row>
    <row r="761" spans="9:21" ht="17.25" customHeight="1">
      <c r="I761" s="248"/>
      <c r="J761" s="248"/>
      <c r="R761" s="248"/>
      <c r="S761" s="246"/>
      <c r="U761" s="245"/>
    </row>
    <row r="762" spans="9:21" ht="17.25" customHeight="1">
      <c r="I762" s="248"/>
      <c r="J762" s="248"/>
      <c r="R762" s="248"/>
      <c r="S762" s="246"/>
      <c r="U762" s="245"/>
    </row>
    <row r="763" spans="9:21" ht="17.25" customHeight="1">
      <c r="I763" s="248"/>
      <c r="J763" s="248"/>
      <c r="R763" s="248"/>
      <c r="S763" s="246"/>
      <c r="U763" s="245"/>
    </row>
    <row r="764" spans="9:21" ht="17.25" customHeight="1">
      <c r="I764" s="248"/>
      <c r="J764" s="248"/>
      <c r="R764" s="248"/>
      <c r="S764" s="246"/>
      <c r="U764" s="245"/>
    </row>
    <row r="765" spans="9:21" ht="17.25" customHeight="1">
      <c r="I765" s="248"/>
      <c r="J765" s="248"/>
      <c r="R765" s="248"/>
      <c r="S765" s="246"/>
      <c r="U765" s="245"/>
    </row>
    <row r="766" spans="9:21" ht="17.25" customHeight="1">
      <c r="I766" s="248"/>
      <c r="J766" s="248"/>
      <c r="R766" s="248"/>
      <c r="S766" s="246"/>
      <c r="U766" s="245"/>
    </row>
    <row r="767" spans="9:21" ht="17.25" customHeight="1">
      <c r="I767" s="248"/>
      <c r="J767" s="248"/>
      <c r="R767" s="248"/>
      <c r="S767" s="246"/>
      <c r="U767" s="245"/>
    </row>
    <row r="768" spans="9:21" ht="17.25" customHeight="1">
      <c r="I768" s="248"/>
      <c r="J768" s="248"/>
      <c r="R768" s="248"/>
      <c r="S768" s="246"/>
      <c r="U768" s="245"/>
    </row>
    <row r="769" spans="9:21" ht="17.25" customHeight="1">
      <c r="I769" s="248"/>
      <c r="J769" s="248"/>
      <c r="R769" s="248"/>
      <c r="S769" s="246"/>
      <c r="U769" s="245"/>
    </row>
    <row r="770" spans="9:21" ht="17.25" customHeight="1">
      <c r="I770" s="248"/>
      <c r="J770" s="248"/>
      <c r="R770" s="248"/>
      <c r="S770" s="246"/>
      <c r="U770" s="245"/>
    </row>
    <row r="771" spans="9:21" ht="17.25" customHeight="1">
      <c r="I771" s="248"/>
      <c r="J771" s="248"/>
      <c r="R771" s="248"/>
      <c r="S771" s="246"/>
      <c r="U771" s="245"/>
    </row>
    <row r="772" spans="9:21" ht="17.25" customHeight="1">
      <c r="I772" s="248"/>
      <c r="J772" s="248"/>
      <c r="R772" s="248"/>
      <c r="S772" s="246"/>
      <c r="U772" s="245"/>
    </row>
    <row r="773" spans="9:21" ht="17.25" customHeight="1">
      <c r="I773" s="248"/>
      <c r="J773" s="248"/>
      <c r="R773" s="248"/>
      <c r="S773" s="246"/>
      <c r="U773" s="245"/>
    </row>
    <row r="774" spans="9:21" ht="17.25" customHeight="1">
      <c r="I774" s="248"/>
      <c r="J774" s="248"/>
      <c r="R774" s="248"/>
      <c r="S774" s="246"/>
      <c r="U774" s="245"/>
    </row>
    <row r="775" spans="9:21" ht="17.25" customHeight="1">
      <c r="I775" s="248"/>
      <c r="J775" s="248"/>
      <c r="R775" s="248"/>
      <c r="S775" s="246"/>
      <c r="U775" s="245"/>
    </row>
    <row r="776" spans="9:21" ht="17.25" customHeight="1">
      <c r="I776" s="248"/>
      <c r="J776" s="248"/>
      <c r="R776" s="248"/>
      <c r="S776" s="246"/>
      <c r="U776" s="245"/>
    </row>
    <row r="777" spans="9:21" ht="17.25" customHeight="1">
      <c r="I777" s="248"/>
      <c r="J777" s="248"/>
      <c r="R777" s="248"/>
      <c r="S777" s="246"/>
      <c r="U777" s="245"/>
    </row>
    <row r="778" spans="9:21" ht="17.25" customHeight="1">
      <c r="I778" s="248"/>
      <c r="J778" s="248"/>
      <c r="R778" s="248"/>
      <c r="S778" s="246"/>
      <c r="U778" s="245"/>
    </row>
    <row r="779" spans="9:21" ht="17.25" customHeight="1">
      <c r="I779" s="248"/>
      <c r="J779" s="248"/>
      <c r="R779" s="248"/>
      <c r="S779" s="246"/>
      <c r="U779" s="245"/>
    </row>
    <row r="780" spans="9:21" ht="17.25" customHeight="1">
      <c r="I780" s="248"/>
      <c r="J780" s="248"/>
      <c r="R780" s="248"/>
      <c r="S780" s="246"/>
      <c r="U780" s="245"/>
    </row>
    <row r="781" spans="9:21" ht="17.25" customHeight="1">
      <c r="I781" s="248"/>
      <c r="J781" s="248"/>
      <c r="R781" s="248"/>
      <c r="S781" s="246"/>
      <c r="U781" s="245"/>
    </row>
    <row r="782" spans="9:21" ht="17.25" customHeight="1">
      <c r="I782" s="248"/>
      <c r="J782" s="248"/>
      <c r="R782" s="248"/>
      <c r="S782" s="246"/>
      <c r="U782" s="245"/>
    </row>
    <row r="783" spans="9:21" ht="17.25" customHeight="1">
      <c r="I783" s="248"/>
      <c r="J783" s="248"/>
      <c r="R783" s="248"/>
      <c r="S783" s="246"/>
      <c r="U783" s="245"/>
    </row>
    <row r="784" spans="9:21" ht="17.25" customHeight="1">
      <c r="I784" s="248"/>
      <c r="J784" s="248"/>
      <c r="R784" s="248"/>
      <c r="S784" s="246"/>
      <c r="U784" s="245"/>
    </row>
    <row r="785" spans="9:21" ht="17.25" customHeight="1">
      <c r="I785" s="248"/>
      <c r="J785" s="248"/>
      <c r="R785" s="248"/>
      <c r="S785" s="246"/>
      <c r="U785" s="245"/>
    </row>
    <row r="786" spans="9:21" ht="17.25" customHeight="1">
      <c r="I786" s="248"/>
      <c r="J786" s="248"/>
      <c r="R786" s="248"/>
      <c r="S786" s="246"/>
      <c r="U786" s="245"/>
    </row>
    <row r="787" spans="9:21" ht="17.25" customHeight="1">
      <c r="I787" s="248"/>
      <c r="J787" s="248"/>
      <c r="R787" s="248"/>
      <c r="S787" s="246"/>
      <c r="U787" s="245"/>
    </row>
    <row r="788" spans="9:21" ht="17.25" customHeight="1">
      <c r="I788" s="248"/>
      <c r="J788" s="248"/>
      <c r="R788" s="248"/>
      <c r="S788" s="246"/>
      <c r="U788" s="245"/>
    </row>
    <row r="789" spans="9:21" ht="17.25" customHeight="1">
      <c r="I789" s="248"/>
      <c r="J789" s="248"/>
      <c r="R789" s="248"/>
      <c r="S789" s="246"/>
      <c r="U789" s="245"/>
    </row>
    <row r="790" spans="9:21" ht="17.25" customHeight="1">
      <c r="I790" s="248"/>
      <c r="J790" s="248"/>
      <c r="R790" s="248"/>
      <c r="S790" s="246"/>
      <c r="U790" s="245"/>
    </row>
    <row r="791" spans="9:21" ht="17.25" customHeight="1">
      <c r="I791" s="248"/>
      <c r="J791" s="248"/>
      <c r="R791" s="248"/>
      <c r="S791" s="246"/>
      <c r="U791" s="245"/>
    </row>
    <row r="792" spans="9:21" ht="17.25" customHeight="1">
      <c r="I792" s="248"/>
      <c r="J792" s="248"/>
      <c r="R792" s="248"/>
      <c r="S792" s="246"/>
      <c r="U792" s="245"/>
    </row>
    <row r="793" spans="9:21" ht="17.25" customHeight="1">
      <c r="I793" s="248"/>
      <c r="J793" s="248"/>
      <c r="R793" s="248"/>
      <c r="S793" s="246"/>
      <c r="U793" s="245"/>
    </row>
    <row r="794" spans="9:21" ht="17.25" customHeight="1">
      <c r="I794" s="248"/>
      <c r="J794" s="248"/>
      <c r="R794" s="248"/>
      <c r="S794" s="246"/>
      <c r="U794" s="245"/>
    </row>
    <row r="795" spans="9:21" ht="17.25" customHeight="1">
      <c r="I795" s="248"/>
      <c r="J795" s="248"/>
      <c r="R795" s="248"/>
      <c r="S795" s="246"/>
      <c r="U795" s="245"/>
    </row>
    <row r="796" spans="9:21" ht="17.25" customHeight="1">
      <c r="I796" s="248"/>
      <c r="J796" s="248"/>
      <c r="R796" s="248"/>
      <c r="S796" s="246"/>
      <c r="U796" s="245"/>
    </row>
    <row r="797" spans="9:21" ht="17.25" customHeight="1">
      <c r="I797" s="248"/>
      <c r="J797" s="248"/>
      <c r="R797" s="248"/>
      <c r="S797" s="246"/>
      <c r="U797" s="245"/>
    </row>
    <row r="798" spans="9:21" ht="17.25" customHeight="1">
      <c r="I798" s="248"/>
      <c r="J798" s="248"/>
      <c r="R798" s="248"/>
      <c r="S798" s="246"/>
      <c r="U798" s="245"/>
    </row>
    <row r="799" spans="9:21" ht="17.25" customHeight="1">
      <c r="I799" s="248"/>
      <c r="J799" s="248"/>
      <c r="R799" s="248"/>
      <c r="S799" s="246"/>
      <c r="U799" s="245"/>
    </row>
    <row r="800" spans="9:21" ht="17.25" customHeight="1">
      <c r="I800" s="248"/>
      <c r="J800" s="248"/>
      <c r="R800" s="248"/>
      <c r="S800" s="246"/>
      <c r="U800" s="245"/>
    </row>
    <row r="801" spans="9:21" ht="17.25" customHeight="1">
      <c r="I801" s="248"/>
      <c r="J801" s="248"/>
      <c r="R801" s="248"/>
      <c r="S801" s="246"/>
      <c r="U801" s="245"/>
    </row>
    <row r="802" spans="9:21" ht="17.25" customHeight="1">
      <c r="I802" s="248"/>
      <c r="J802" s="248"/>
      <c r="R802" s="248"/>
      <c r="S802" s="246"/>
      <c r="U802" s="245"/>
    </row>
    <row r="803" spans="9:21" ht="17.25" customHeight="1">
      <c r="I803" s="248"/>
      <c r="J803" s="248"/>
      <c r="R803" s="248"/>
      <c r="S803" s="246"/>
      <c r="U803" s="245"/>
    </row>
    <row r="804" spans="9:21" ht="17.25" customHeight="1">
      <c r="I804" s="248"/>
      <c r="J804" s="248"/>
      <c r="R804" s="248"/>
      <c r="S804" s="246"/>
      <c r="U804" s="245"/>
    </row>
    <row r="805" spans="9:21" ht="17.25" customHeight="1">
      <c r="I805" s="248"/>
      <c r="J805" s="248"/>
      <c r="R805" s="248"/>
      <c r="S805" s="246"/>
      <c r="U805" s="245"/>
    </row>
    <row r="806" spans="9:21" ht="17.25" customHeight="1">
      <c r="I806" s="248"/>
      <c r="J806" s="248"/>
      <c r="R806" s="248"/>
      <c r="S806" s="246"/>
      <c r="U806" s="245"/>
    </row>
    <row r="807" spans="9:21" ht="17.25" customHeight="1">
      <c r="I807" s="248"/>
      <c r="J807" s="248"/>
      <c r="R807" s="248"/>
      <c r="S807" s="246"/>
      <c r="U807" s="245"/>
    </row>
    <row r="808" spans="9:21" ht="17.25" customHeight="1">
      <c r="I808" s="248"/>
      <c r="J808" s="248"/>
      <c r="R808" s="248"/>
      <c r="S808" s="246"/>
      <c r="U808" s="245"/>
    </row>
    <row r="809" spans="9:21" ht="17.25" customHeight="1">
      <c r="I809" s="248"/>
      <c r="J809" s="248"/>
      <c r="R809" s="248"/>
      <c r="S809" s="246"/>
      <c r="U809" s="245"/>
    </row>
    <row r="810" spans="9:21" ht="17.25" customHeight="1">
      <c r="I810" s="248"/>
      <c r="J810" s="248"/>
      <c r="R810" s="248"/>
      <c r="S810" s="246"/>
      <c r="U810" s="245"/>
    </row>
    <row r="811" spans="9:21" ht="17.25" customHeight="1">
      <c r="I811" s="248"/>
      <c r="J811" s="248"/>
      <c r="R811" s="248"/>
      <c r="S811" s="246"/>
      <c r="U811" s="245"/>
    </row>
    <row r="812" spans="9:21" ht="17.25" customHeight="1">
      <c r="I812" s="248"/>
      <c r="J812" s="248"/>
      <c r="R812" s="248"/>
      <c r="S812" s="246"/>
      <c r="U812" s="245"/>
    </row>
    <row r="813" spans="9:21" ht="17.25" customHeight="1">
      <c r="I813" s="248"/>
      <c r="J813" s="248"/>
      <c r="R813" s="248"/>
      <c r="S813" s="246"/>
      <c r="U813" s="245"/>
    </row>
    <row r="814" spans="9:21" ht="17.25" customHeight="1">
      <c r="I814" s="248"/>
      <c r="J814" s="248"/>
      <c r="R814" s="248"/>
      <c r="S814" s="246"/>
      <c r="U814" s="245"/>
    </row>
    <row r="815" spans="9:21" ht="17.25" customHeight="1">
      <c r="I815" s="248"/>
      <c r="J815" s="248"/>
      <c r="R815" s="248"/>
      <c r="S815" s="246"/>
      <c r="U815" s="245"/>
    </row>
    <row r="816" spans="9:21" ht="17.25" customHeight="1">
      <c r="I816" s="248"/>
      <c r="J816" s="248"/>
      <c r="R816" s="248"/>
      <c r="S816" s="246"/>
      <c r="U816" s="245"/>
    </row>
    <row r="817" spans="9:21" ht="17.25" customHeight="1">
      <c r="I817" s="248"/>
      <c r="J817" s="248"/>
      <c r="R817" s="248"/>
      <c r="S817" s="246"/>
      <c r="U817" s="245"/>
    </row>
    <row r="818" spans="9:21" ht="17.25" customHeight="1">
      <c r="I818" s="248"/>
      <c r="J818" s="248"/>
      <c r="R818" s="248"/>
      <c r="S818" s="246"/>
      <c r="U818" s="245"/>
    </row>
    <row r="819" spans="9:21" ht="17.25" customHeight="1">
      <c r="I819" s="248"/>
      <c r="J819" s="248"/>
      <c r="R819" s="248"/>
      <c r="S819" s="246"/>
      <c r="U819" s="245"/>
    </row>
    <row r="820" spans="9:21" ht="17.25" customHeight="1">
      <c r="I820" s="248"/>
      <c r="J820" s="248"/>
      <c r="R820" s="248"/>
      <c r="S820" s="246"/>
      <c r="U820" s="245"/>
    </row>
    <row r="821" spans="9:21" ht="17.25" customHeight="1">
      <c r="I821" s="248"/>
      <c r="J821" s="248"/>
      <c r="R821" s="248"/>
      <c r="S821" s="246"/>
      <c r="U821" s="245"/>
    </row>
    <row r="822" spans="9:21" ht="17.25" customHeight="1">
      <c r="I822" s="248"/>
      <c r="J822" s="248"/>
      <c r="R822" s="248"/>
      <c r="S822" s="246"/>
      <c r="U822" s="245"/>
    </row>
    <row r="823" spans="9:21" ht="17.25" customHeight="1">
      <c r="I823" s="248"/>
      <c r="J823" s="248"/>
      <c r="R823" s="248"/>
      <c r="S823" s="246"/>
      <c r="U823" s="245"/>
    </row>
    <row r="824" spans="9:21" ht="17.25" customHeight="1">
      <c r="I824" s="248"/>
      <c r="J824" s="248"/>
      <c r="R824" s="248"/>
      <c r="S824" s="246"/>
      <c r="U824" s="245"/>
    </row>
    <row r="825" spans="9:21" ht="17.25" customHeight="1">
      <c r="I825" s="248"/>
      <c r="J825" s="248"/>
      <c r="R825" s="248"/>
      <c r="S825" s="246"/>
      <c r="U825" s="245"/>
    </row>
    <row r="826" spans="9:21" ht="17.25" customHeight="1">
      <c r="I826" s="248"/>
      <c r="J826" s="248"/>
      <c r="R826" s="248"/>
      <c r="S826" s="246"/>
      <c r="U826" s="245"/>
    </row>
    <row r="827" spans="9:21" ht="17.25" customHeight="1">
      <c r="I827" s="248"/>
      <c r="J827" s="248"/>
      <c r="R827" s="248"/>
      <c r="S827" s="246"/>
      <c r="U827" s="245"/>
    </row>
    <row r="828" spans="9:21" ht="17.25" customHeight="1">
      <c r="I828" s="248"/>
      <c r="J828" s="248"/>
      <c r="R828" s="248"/>
      <c r="S828" s="246"/>
      <c r="U828" s="245"/>
    </row>
    <row r="829" spans="9:21" ht="17.25" customHeight="1">
      <c r="I829" s="248"/>
      <c r="J829" s="248"/>
      <c r="R829" s="248"/>
      <c r="S829" s="246"/>
      <c r="U829" s="245"/>
    </row>
    <row r="830" spans="9:21" ht="17.25" customHeight="1">
      <c r="I830" s="248"/>
      <c r="J830" s="248"/>
      <c r="R830" s="248"/>
      <c r="S830" s="246"/>
      <c r="U830" s="245"/>
    </row>
    <row r="831" spans="9:21" ht="17.25" customHeight="1">
      <c r="I831" s="248"/>
      <c r="J831" s="248"/>
      <c r="R831" s="248"/>
      <c r="S831" s="246"/>
      <c r="U831" s="245"/>
    </row>
    <row r="832" spans="9:21" ht="17.25" customHeight="1">
      <c r="I832" s="248"/>
      <c r="J832" s="248"/>
      <c r="R832" s="248"/>
      <c r="S832" s="246"/>
      <c r="U832" s="245"/>
    </row>
    <row r="833" spans="9:21" ht="17.25" customHeight="1">
      <c r="I833" s="248"/>
      <c r="J833" s="248"/>
      <c r="R833" s="248"/>
      <c r="S833" s="246"/>
      <c r="U833" s="245"/>
    </row>
    <row r="834" spans="9:21" ht="17.25" customHeight="1">
      <c r="I834" s="248"/>
      <c r="J834" s="248"/>
      <c r="R834" s="248"/>
      <c r="S834" s="246"/>
      <c r="U834" s="245"/>
    </row>
    <row r="835" spans="9:21" ht="17.25" customHeight="1">
      <c r="I835" s="248"/>
      <c r="J835" s="248"/>
      <c r="R835" s="248"/>
      <c r="S835" s="246"/>
      <c r="U835" s="245"/>
    </row>
    <row r="836" spans="9:21" ht="17.25" customHeight="1">
      <c r="I836" s="248"/>
      <c r="J836" s="248"/>
      <c r="R836" s="248"/>
      <c r="S836" s="246"/>
      <c r="U836" s="245"/>
    </row>
    <row r="837" spans="9:21" ht="17.25" customHeight="1">
      <c r="I837" s="248"/>
      <c r="J837" s="248"/>
      <c r="R837" s="248"/>
      <c r="S837" s="246"/>
      <c r="U837" s="245"/>
    </row>
    <row r="838" spans="9:21" ht="17.25" customHeight="1">
      <c r="I838" s="248"/>
      <c r="J838" s="248"/>
      <c r="R838" s="248"/>
      <c r="S838" s="246"/>
      <c r="U838" s="245"/>
    </row>
    <row r="839" spans="9:21" ht="17.25" customHeight="1">
      <c r="I839" s="248"/>
      <c r="J839" s="248"/>
      <c r="R839" s="248"/>
      <c r="S839" s="246"/>
      <c r="U839" s="245"/>
    </row>
    <row r="840" spans="9:21" ht="17.25" customHeight="1">
      <c r="I840" s="248"/>
      <c r="J840" s="248"/>
      <c r="R840" s="248"/>
      <c r="S840" s="246"/>
      <c r="U840" s="245"/>
    </row>
    <row r="841" spans="9:21" ht="17.25" customHeight="1">
      <c r="I841" s="248"/>
      <c r="J841" s="248"/>
      <c r="R841" s="248"/>
      <c r="S841" s="246"/>
      <c r="U841" s="245"/>
    </row>
    <row r="842" spans="9:21" ht="17.25" customHeight="1">
      <c r="I842" s="248"/>
      <c r="J842" s="248"/>
      <c r="R842" s="248"/>
      <c r="S842" s="246"/>
      <c r="U842" s="245"/>
    </row>
    <row r="843" spans="9:21" ht="17.25" customHeight="1">
      <c r="I843" s="248"/>
      <c r="J843" s="248"/>
      <c r="R843" s="248"/>
      <c r="S843" s="246"/>
      <c r="U843" s="245"/>
    </row>
    <row r="844" spans="9:21" ht="17.25" customHeight="1">
      <c r="I844" s="248"/>
      <c r="J844" s="248"/>
      <c r="R844" s="248"/>
      <c r="S844" s="246"/>
      <c r="U844" s="245"/>
    </row>
    <row r="845" spans="9:21" ht="17.25" customHeight="1">
      <c r="I845" s="248"/>
      <c r="J845" s="248"/>
      <c r="R845" s="248"/>
      <c r="S845" s="246"/>
      <c r="U845" s="245"/>
    </row>
    <row r="846" spans="9:21" ht="17.25" customHeight="1">
      <c r="I846" s="248"/>
      <c r="J846" s="248"/>
      <c r="R846" s="248"/>
      <c r="S846" s="246"/>
      <c r="U846" s="245"/>
    </row>
    <row r="847" spans="9:21" ht="17.25" customHeight="1">
      <c r="I847" s="248"/>
      <c r="J847" s="248"/>
      <c r="R847" s="248"/>
      <c r="S847" s="246"/>
      <c r="U847" s="245"/>
    </row>
    <row r="848" spans="9:21" ht="17.25" customHeight="1">
      <c r="I848" s="248"/>
      <c r="J848" s="248"/>
      <c r="R848" s="248"/>
      <c r="S848" s="246"/>
      <c r="U848" s="245"/>
    </row>
    <row r="849" spans="9:21" ht="17.25" customHeight="1">
      <c r="I849" s="248"/>
      <c r="J849" s="248"/>
      <c r="R849" s="248"/>
      <c r="S849" s="246"/>
      <c r="U849" s="245"/>
    </row>
    <row r="850" spans="9:21" ht="17.25" customHeight="1">
      <c r="I850" s="248"/>
      <c r="J850" s="248"/>
      <c r="R850" s="248"/>
      <c r="S850" s="246"/>
      <c r="U850" s="245"/>
    </row>
    <row r="851" spans="9:21" ht="17.25" customHeight="1">
      <c r="I851" s="248"/>
      <c r="J851" s="248"/>
      <c r="R851" s="248"/>
      <c r="S851" s="246"/>
      <c r="U851" s="245"/>
    </row>
    <row r="852" spans="9:21" ht="17.25" customHeight="1">
      <c r="I852" s="248"/>
      <c r="J852" s="248"/>
      <c r="R852" s="248"/>
      <c r="S852" s="246"/>
      <c r="U852" s="245"/>
    </row>
    <row r="853" spans="9:21" ht="17.25" customHeight="1">
      <c r="I853" s="248"/>
      <c r="J853" s="248"/>
      <c r="R853" s="248"/>
      <c r="S853" s="246"/>
      <c r="U853" s="245"/>
    </row>
    <row r="854" spans="9:21" ht="17.25" customHeight="1">
      <c r="I854" s="248"/>
      <c r="J854" s="248"/>
      <c r="R854" s="248"/>
      <c r="S854" s="246"/>
      <c r="U854" s="245"/>
    </row>
    <row r="855" spans="9:21" ht="17.25" customHeight="1">
      <c r="I855" s="248"/>
      <c r="J855" s="248"/>
      <c r="R855" s="248"/>
      <c r="S855" s="246"/>
      <c r="U855" s="245"/>
    </row>
    <row r="856" spans="9:21" ht="17.25" customHeight="1">
      <c r="I856" s="248"/>
      <c r="J856" s="248"/>
      <c r="R856" s="248"/>
      <c r="S856" s="246"/>
      <c r="U856" s="245"/>
    </row>
    <row r="857" spans="9:21" ht="17.25" customHeight="1">
      <c r="I857" s="248"/>
      <c r="J857" s="248"/>
      <c r="R857" s="248"/>
      <c r="S857" s="246"/>
      <c r="U857" s="245"/>
    </row>
    <row r="858" spans="9:21" ht="17.25" customHeight="1">
      <c r="I858" s="248"/>
      <c r="J858" s="248"/>
      <c r="R858" s="248"/>
      <c r="S858" s="246"/>
      <c r="U858" s="245"/>
    </row>
    <row r="859" spans="9:21" ht="17.25" customHeight="1">
      <c r="I859" s="248"/>
      <c r="J859" s="248"/>
      <c r="R859" s="248"/>
      <c r="S859" s="246"/>
      <c r="U859" s="245"/>
    </row>
    <row r="860" spans="9:21" ht="17.25" customHeight="1">
      <c r="I860" s="248"/>
      <c r="J860" s="248"/>
      <c r="R860" s="248"/>
      <c r="S860" s="246"/>
      <c r="U860" s="245"/>
    </row>
    <row r="861" spans="9:21" ht="17.25" customHeight="1">
      <c r="I861" s="248"/>
      <c r="J861" s="248"/>
      <c r="R861" s="248"/>
      <c r="S861" s="246"/>
      <c r="U861" s="245"/>
    </row>
    <row r="862" spans="9:21" ht="17.25" customHeight="1">
      <c r="I862" s="248"/>
      <c r="J862" s="248"/>
      <c r="R862" s="248"/>
      <c r="S862" s="246"/>
      <c r="U862" s="245"/>
    </row>
    <row r="863" spans="9:21" ht="17.25" customHeight="1">
      <c r="I863" s="248"/>
      <c r="J863" s="248"/>
      <c r="R863" s="248"/>
      <c r="S863" s="246"/>
      <c r="U863" s="245"/>
    </row>
    <row r="864" spans="9:21" ht="17.25" customHeight="1">
      <c r="I864" s="248"/>
      <c r="J864" s="248"/>
      <c r="R864" s="248"/>
      <c r="S864" s="246"/>
      <c r="U864" s="245"/>
    </row>
    <row r="865" spans="9:21" ht="17.25" customHeight="1">
      <c r="I865" s="248"/>
      <c r="J865" s="248"/>
      <c r="R865" s="248"/>
      <c r="S865" s="246"/>
      <c r="U865" s="245"/>
    </row>
    <row r="866" spans="9:21" ht="17.25" customHeight="1">
      <c r="I866" s="248"/>
      <c r="J866" s="248"/>
      <c r="R866" s="248"/>
      <c r="S866" s="246"/>
      <c r="U866" s="245"/>
    </row>
    <row r="867" spans="9:21" ht="17.25" customHeight="1">
      <c r="I867" s="248"/>
      <c r="J867" s="248"/>
      <c r="R867" s="248"/>
      <c r="S867" s="246"/>
      <c r="U867" s="245"/>
    </row>
    <row r="868" spans="9:21" ht="17.25" customHeight="1">
      <c r="I868" s="248"/>
      <c r="J868" s="248"/>
      <c r="R868" s="248"/>
      <c r="S868" s="246"/>
      <c r="U868" s="245"/>
    </row>
    <row r="869" spans="9:21" ht="17.25" customHeight="1">
      <c r="I869" s="248"/>
      <c r="J869" s="248"/>
      <c r="R869" s="248"/>
      <c r="S869" s="246"/>
      <c r="U869" s="245"/>
    </row>
    <row r="870" spans="9:21" ht="17.25" customHeight="1">
      <c r="I870" s="248"/>
      <c r="J870" s="248"/>
      <c r="R870" s="248"/>
      <c r="S870" s="246"/>
      <c r="U870" s="245"/>
    </row>
    <row r="871" spans="9:21" ht="17.25" customHeight="1">
      <c r="I871" s="248"/>
      <c r="J871" s="248"/>
      <c r="R871" s="248"/>
      <c r="S871" s="246"/>
      <c r="U871" s="245"/>
    </row>
    <row r="872" spans="9:21" ht="17.25" customHeight="1">
      <c r="I872" s="248"/>
      <c r="J872" s="248"/>
      <c r="R872" s="248"/>
      <c r="S872" s="246"/>
      <c r="U872" s="245"/>
    </row>
    <row r="873" spans="9:21" ht="17.25" customHeight="1">
      <c r="I873" s="248"/>
      <c r="J873" s="248"/>
      <c r="R873" s="248"/>
      <c r="S873" s="246"/>
      <c r="U873" s="245"/>
    </row>
    <row r="874" spans="9:21" ht="17.25" customHeight="1">
      <c r="I874" s="248"/>
      <c r="J874" s="248"/>
      <c r="R874" s="248"/>
      <c r="S874" s="246"/>
      <c r="U874" s="245"/>
    </row>
    <row r="875" spans="9:21" ht="17.25" customHeight="1">
      <c r="I875" s="248"/>
      <c r="J875" s="248"/>
      <c r="R875" s="248"/>
      <c r="S875" s="246"/>
      <c r="U875" s="245"/>
    </row>
    <row r="876" spans="9:21" ht="17.25" customHeight="1">
      <c r="I876" s="248"/>
      <c r="J876" s="248"/>
      <c r="R876" s="248"/>
      <c r="S876" s="246"/>
      <c r="U876" s="245"/>
    </row>
    <row r="877" spans="9:21" ht="17.25" customHeight="1">
      <c r="I877" s="248"/>
      <c r="J877" s="248"/>
      <c r="R877" s="248"/>
      <c r="S877" s="246"/>
      <c r="U877" s="245"/>
    </row>
    <row r="878" spans="9:21" ht="17.25" customHeight="1">
      <c r="I878" s="248"/>
      <c r="J878" s="248"/>
      <c r="R878" s="248"/>
      <c r="S878" s="246"/>
      <c r="U878" s="245"/>
    </row>
    <row r="879" spans="9:21" ht="17.25" customHeight="1">
      <c r="I879" s="248"/>
      <c r="J879" s="248"/>
      <c r="R879" s="248"/>
      <c r="S879" s="246"/>
      <c r="U879" s="245"/>
    </row>
    <row r="880" spans="9:21" ht="17.25" customHeight="1">
      <c r="I880" s="248"/>
      <c r="J880" s="248"/>
      <c r="R880" s="248"/>
      <c r="S880" s="246"/>
      <c r="U880" s="245"/>
    </row>
    <row r="881" spans="9:21" ht="17.25" customHeight="1">
      <c r="I881" s="248"/>
      <c r="J881" s="248"/>
      <c r="R881" s="248"/>
      <c r="S881" s="246"/>
      <c r="U881" s="245"/>
    </row>
    <row r="882" spans="9:21" ht="17.25" customHeight="1">
      <c r="I882" s="248"/>
      <c r="J882" s="248"/>
      <c r="R882" s="248"/>
      <c r="S882" s="246"/>
      <c r="U882" s="245"/>
    </row>
    <row r="883" spans="9:21" ht="17.25" customHeight="1">
      <c r="I883" s="248"/>
      <c r="J883" s="248"/>
      <c r="R883" s="248"/>
      <c r="S883" s="246"/>
      <c r="U883" s="245"/>
    </row>
    <row r="884" spans="9:21" ht="17.25" customHeight="1">
      <c r="I884" s="248"/>
      <c r="J884" s="248"/>
      <c r="R884" s="248"/>
      <c r="S884" s="246"/>
      <c r="U884" s="245"/>
    </row>
    <row r="885" spans="9:21" ht="17.25" customHeight="1">
      <c r="I885" s="248"/>
      <c r="J885" s="248"/>
      <c r="R885" s="248"/>
      <c r="S885" s="246"/>
      <c r="U885" s="245"/>
    </row>
    <row r="886" spans="9:21" ht="17.25" customHeight="1">
      <c r="I886" s="248"/>
      <c r="J886" s="248"/>
      <c r="R886" s="248"/>
      <c r="S886" s="246"/>
      <c r="U886" s="245"/>
    </row>
    <row r="887" spans="9:21" ht="17.25" customHeight="1">
      <c r="I887" s="248"/>
      <c r="J887" s="248"/>
      <c r="R887" s="248"/>
      <c r="S887" s="246"/>
      <c r="U887" s="245"/>
    </row>
    <row r="888" spans="9:21" ht="17.25" customHeight="1">
      <c r="I888" s="248"/>
      <c r="J888" s="248"/>
      <c r="R888" s="248"/>
      <c r="S888" s="246"/>
      <c r="U888" s="245"/>
    </row>
    <row r="889" spans="9:21" ht="17.25" customHeight="1">
      <c r="I889" s="248"/>
      <c r="J889" s="248"/>
      <c r="R889" s="248"/>
      <c r="S889" s="246"/>
      <c r="U889" s="245"/>
    </row>
    <row r="890" spans="9:21" ht="17.25" customHeight="1">
      <c r="I890" s="248"/>
      <c r="J890" s="248"/>
      <c r="R890" s="248"/>
      <c r="S890" s="246"/>
      <c r="U890" s="245"/>
    </row>
    <row r="891" spans="9:21" ht="17.25" customHeight="1">
      <c r="I891" s="248"/>
      <c r="J891" s="248"/>
      <c r="R891" s="248"/>
      <c r="S891" s="246"/>
      <c r="U891" s="245"/>
    </row>
    <row r="892" spans="9:21" ht="17.25" customHeight="1">
      <c r="I892" s="248"/>
      <c r="J892" s="248"/>
      <c r="R892" s="248"/>
      <c r="S892" s="246"/>
      <c r="U892" s="245"/>
    </row>
    <row r="893" spans="9:21" ht="17.25" customHeight="1">
      <c r="I893" s="248"/>
      <c r="J893" s="248"/>
      <c r="R893" s="248"/>
      <c r="S893" s="246"/>
      <c r="U893" s="245"/>
    </row>
    <row r="894" spans="9:21" ht="17.25" customHeight="1">
      <c r="I894" s="248"/>
      <c r="J894" s="248"/>
      <c r="R894" s="248"/>
      <c r="S894" s="246"/>
      <c r="U894" s="245"/>
    </row>
    <row r="895" spans="9:21" ht="17.25" customHeight="1">
      <c r="I895" s="248"/>
      <c r="J895" s="248"/>
      <c r="R895" s="248"/>
      <c r="S895" s="246"/>
      <c r="U895" s="245"/>
    </row>
    <row r="896" spans="9:21" ht="17.25" customHeight="1">
      <c r="I896" s="248"/>
      <c r="J896" s="248"/>
      <c r="R896" s="248"/>
      <c r="S896" s="246"/>
      <c r="U896" s="245"/>
    </row>
    <row r="897" spans="9:21" ht="17.25" customHeight="1">
      <c r="I897" s="248"/>
      <c r="J897" s="248"/>
      <c r="R897" s="248"/>
      <c r="S897" s="246"/>
      <c r="U897" s="245"/>
    </row>
    <row r="898" spans="9:21" ht="17.25" customHeight="1">
      <c r="I898" s="248"/>
      <c r="J898" s="248"/>
      <c r="R898" s="248"/>
      <c r="S898" s="246"/>
      <c r="U898" s="245"/>
    </row>
    <row r="899" spans="9:21" ht="17.25" customHeight="1">
      <c r="I899" s="248"/>
      <c r="J899" s="248"/>
      <c r="R899" s="248"/>
      <c r="S899" s="246"/>
      <c r="U899" s="245"/>
    </row>
    <row r="900" spans="9:21" ht="17.25" customHeight="1">
      <c r="I900" s="248"/>
      <c r="J900" s="248"/>
      <c r="R900" s="248"/>
      <c r="S900" s="246"/>
      <c r="U900" s="245"/>
    </row>
    <row r="901" spans="9:21" ht="17.25" customHeight="1">
      <c r="I901" s="248"/>
      <c r="J901" s="248"/>
      <c r="R901" s="248"/>
      <c r="S901" s="246"/>
      <c r="U901" s="245"/>
    </row>
    <row r="902" spans="9:21" ht="17.25" customHeight="1">
      <c r="I902" s="248"/>
      <c r="J902" s="248"/>
      <c r="R902" s="248"/>
      <c r="S902" s="246"/>
      <c r="U902" s="245"/>
    </row>
    <row r="903" spans="9:21" ht="17.25" customHeight="1">
      <c r="I903" s="248"/>
      <c r="J903" s="248"/>
      <c r="R903" s="248"/>
      <c r="S903" s="246"/>
      <c r="U903" s="245"/>
    </row>
    <row r="904" spans="9:21" ht="17.25" customHeight="1">
      <c r="I904" s="248"/>
      <c r="J904" s="248"/>
      <c r="R904" s="248"/>
      <c r="S904" s="246"/>
      <c r="U904" s="245"/>
    </row>
    <row r="905" spans="9:21" ht="17.25" customHeight="1">
      <c r="I905" s="248"/>
      <c r="J905" s="248"/>
      <c r="R905" s="248"/>
      <c r="S905" s="246"/>
      <c r="U905" s="245"/>
    </row>
    <row r="906" spans="9:21" ht="17.25" customHeight="1">
      <c r="I906" s="248"/>
      <c r="J906" s="248"/>
      <c r="R906" s="248"/>
      <c r="S906" s="246"/>
      <c r="U906" s="245"/>
    </row>
    <row r="907" spans="9:21" ht="17.25" customHeight="1">
      <c r="I907" s="248"/>
      <c r="J907" s="248"/>
      <c r="R907" s="248"/>
      <c r="S907" s="246"/>
      <c r="U907" s="245"/>
    </row>
    <row r="908" spans="9:21" ht="17.25" customHeight="1">
      <c r="I908" s="248"/>
      <c r="J908" s="248"/>
      <c r="R908" s="248"/>
      <c r="S908" s="246"/>
      <c r="U908" s="245"/>
    </row>
    <row r="909" spans="9:21" ht="17.25" customHeight="1">
      <c r="I909" s="248"/>
      <c r="J909" s="248"/>
      <c r="R909" s="248"/>
      <c r="S909" s="246"/>
      <c r="U909" s="245"/>
    </row>
    <row r="910" spans="9:21" ht="17.25" customHeight="1">
      <c r="I910" s="248"/>
      <c r="J910" s="248"/>
      <c r="R910" s="248"/>
      <c r="S910" s="246"/>
      <c r="U910" s="245"/>
    </row>
    <row r="911" spans="9:21" ht="17.25" customHeight="1">
      <c r="I911" s="248"/>
      <c r="J911" s="248"/>
      <c r="R911" s="248"/>
      <c r="S911" s="246"/>
      <c r="U911" s="245"/>
    </row>
    <row r="912" spans="9:21" ht="17.25" customHeight="1">
      <c r="I912" s="248"/>
      <c r="J912" s="248"/>
      <c r="R912" s="248"/>
      <c r="S912" s="246"/>
      <c r="U912" s="245"/>
    </row>
    <row r="913" spans="9:21" ht="17.25" customHeight="1">
      <c r="I913" s="248"/>
      <c r="J913" s="248"/>
      <c r="R913" s="248"/>
      <c r="S913" s="246"/>
      <c r="U913" s="245"/>
    </row>
    <row r="914" spans="9:21" ht="17.25" customHeight="1">
      <c r="I914" s="248"/>
      <c r="J914" s="248"/>
      <c r="R914" s="248"/>
      <c r="S914" s="246"/>
      <c r="U914" s="245"/>
    </row>
    <row r="915" spans="9:21" ht="17.25" customHeight="1">
      <c r="I915" s="248"/>
      <c r="J915" s="248"/>
      <c r="R915" s="248"/>
      <c r="S915" s="246"/>
      <c r="U915" s="245"/>
    </row>
    <row r="916" spans="9:21" ht="17.25" customHeight="1">
      <c r="I916" s="248"/>
      <c r="J916" s="248"/>
      <c r="R916" s="248"/>
      <c r="S916" s="246"/>
      <c r="U916" s="245"/>
    </row>
    <row r="917" spans="9:21" ht="17.25" customHeight="1">
      <c r="I917" s="248"/>
      <c r="J917" s="248"/>
      <c r="R917" s="248"/>
      <c r="S917" s="246"/>
      <c r="U917" s="245"/>
    </row>
    <row r="918" spans="9:21" ht="17.25" customHeight="1">
      <c r="I918" s="248"/>
      <c r="J918" s="248"/>
      <c r="R918" s="248"/>
      <c r="S918" s="246"/>
      <c r="U918" s="245"/>
    </row>
    <row r="919" spans="9:21" ht="17.25" customHeight="1">
      <c r="I919" s="248"/>
      <c r="J919" s="248"/>
      <c r="R919" s="248"/>
      <c r="S919" s="246"/>
      <c r="U919" s="245"/>
    </row>
    <row r="920" spans="9:21" ht="17.25" customHeight="1">
      <c r="I920" s="248"/>
      <c r="J920" s="248"/>
      <c r="R920" s="248"/>
      <c r="S920" s="246"/>
      <c r="U920" s="245"/>
    </row>
    <row r="921" spans="9:21" ht="17.25" customHeight="1">
      <c r="I921" s="248"/>
      <c r="J921" s="248"/>
      <c r="R921" s="248"/>
      <c r="S921" s="246"/>
      <c r="U921" s="245"/>
    </row>
    <row r="922" spans="9:21" ht="17.25" customHeight="1">
      <c r="I922" s="248"/>
      <c r="J922" s="248"/>
      <c r="R922" s="248"/>
      <c r="S922" s="246"/>
      <c r="U922" s="245"/>
    </row>
    <row r="923" spans="9:21" ht="17.25" customHeight="1">
      <c r="I923" s="248"/>
      <c r="J923" s="248"/>
      <c r="R923" s="248"/>
      <c r="S923" s="246"/>
      <c r="U923" s="245"/>
    </row>
    <row r="924" spans="9:21" ht="17.25" customHeight="1">
      <c r="I924" s="248"/>
      <c r="J924" s="248"/>
      <c r="R924" s="248"/>
      <c r="S924" s="246"/>
      <c r="U924" s="245"/>
    </row>
    <row r="925" spans="9:21" ht="17.25" customHeight="1">
      <c r="I925" s="248"/>
      <c r="J925" s="248"/>
      <c r="R925" s="248"/>
      <c r="S925" s="246"/>
      <c r="U925" s="245"/>
    </row>
    <row r="926" spans="9:21" ht="17.25" customHeight="1">
      <c r="I926" s="248"/>
      <c r="J926" s="248"/>
      <c r="R926" s="248"/>
      <c r="S926" s="246"/>
      <c r="U926" s="245"/>
    </row>
    <row r="927" spans="9:21" ht="17.25" customHeight="1">
      <c r="I927" s="248"/>
      <c r="J927" s="248"/>
      <c r="R927" s="248"/>
      <c r="S927" s="246"/>
      <c r="U927" s="245"/>
    </row>
    <row r="928" spans="9:21" ht="17.25" customHeight="1">
      <c r="I928" s="248"/>
      <c r="J928" s="248"/>
      <c r="R928" s="248"/>
      <c r="S928" s="246"/>
      <c r="U928" s="245"/>
    </row>
    <row r="929" spans="9:21" ht="17.25" customHeight="1">
      <c r="I929" s="248"/>
      <c r="J929" s="248"/>
      <c r="R929" s="248"/>
      <c r="S929" s="246"/>
      <c r="U929" s="245"/>
    </row>
    <row r="930" spans="9:21" ht="17.25" customHeight="1">
      <c r="I930" s="248"/>
      <c r="J930" s="248"/>
      <c r="R930" s="248"/>
      <c r="S930" s="246"/>
      <c r="U930" s="245"/>
    </row>
    <row r="931" spans="9:21" ht="17.25" customHeight="1">
      <c r="I931" s="248"/>
      <c r="J931" s="248"/>
      <c r="R931" s="248"/>
      <c r="S931" s="246"/>
      <c r="U931" s="245"/>
    </row>
    <row r="932" spans="9:21" ht="17.25" customHeight="1">
      <c r="I932" s="248"/>
      <c r="J932" s="248"/>
      <c r="R932" s="248"/>
      <c r="S932" s="246"/>
      <c r="U932" s="245"/>
    </row>
    <row r="933" spans="9:21" ht="17.25" customHeight="1">
      <c r="I933" s="248"/>
      <c r="J933" s="248"/>
      <c r="R933" s="248"/>
      <c r="S933" s="246"/>
      <c r="U933" s="245"/>
    </row>
    <row r="934" spans="9:21" ht="17.25" customHeight="1">
      <c r="I934" s="248"/>
      <c r="J934" s="248"/>
      <c r="R934" s="248"/>
      <c r="S934" s="246"/>
      <c r="U934" s="245"/>
    </row>
    <row r="935" spans="9:21" ht="17.25" customHeight="1">
      <c r="I935" s="248"/>
      <c r="J935" s="248"/>
      <c r="R935" s="248"/>
      <c r="S935" s="246"/>
      <c r="U935" s="245"/>
    </row>
    <row r="936" spans="9:21" ht="17.25" customHeight="1">
      <c r="I936" s="248"/>
      <c r="J936" s="248"/>
      <c r="R936" s="248"/>
      <c r="S936" s="246"/>
      <c r="U936" s="245"/>
    </row>
    <row r="937" spans="9:21" ht="17.25" customHeight="1">
      <c r="I937" s="248"/>
      <c r="J937" s="248"/>
      <c r="R937" s="248"/>
      <c r="S937" s="246"/>
      <c r="U937" s="245"/>
    </row>
    <row r="938" spans="9:21" ht="17.25" customHeight="1">
      <c r="I938" s="248"/>
      <c r="J938" s="248"/>
      <c r="R938" s="248"/>
      <c r="S938" s="246"/>
      <c r="U938" s="245"/>
    </row>
    <row r="939" spans="9:21" ht="17.25" customHeight="1">
      <c r="I939" s="248"/>
      <c r="J939" s="248"/>
      <c r="R939" s="248"/>
      <c r="S939" s="246"/>
      <c r="U939" s="245"/>
    </row>
    <row r="940" spans="9:21" ht="17.25" customHeight="1">
      <c r="I940" s="248"/>
      <c r="J940" s="248"/>
      <c r="R940" s="248"/>
      <c r="S940" s="246"/>
      <c r="U940" s="245"/>
    </row>
    <row r="941" spans="9:21" ht="17.25" customHeight="1">
      <c r="I941" s="248"/>
      <c r="J941" s="248"/>
      <c r="R941" s="248"/>
      <c r="S941" s="246"/>
      <c r="U941" s="245"/>
    </row>
    <row r="942" spans="9:21" ht="17.25" customHeight="1">
      <c r="I942" s="248"/>
      <c r="J942" s="248"/>
      <c r="R942" s="248"/>
      <c r="S942" s="246"/>
      <c r="U942" s="245"/>
    </row>
    <row r="943" spans="9:21" ht="17.25" customHeight="1">
      <c r="I943" s="248"/>
      <c r="J943" s="248"/>
      <c r="R943" s="248"/>
      <c r="S943" s="246"/>
      <c r="U943" s="245"/>
    </row>
    <row r="944" spans="9:21" ht="17.25" customHeight="1">
      <c r="I944" s="248"/>
      <c r="J944" s="248"/>
      <c r="R944" s="248"/>
      <c r="S944" s="246"/>
      <c r="U944" s="245"/>
    </row>
    <row r="945" spans="9:21" ht="17.25" customHeight="1">
      <c r="I945" s="248"/>
      <c r="J945" s="248"/>
      <c r="R945" s="248"/>
      <c r="S945" s="246"/>
      <c r="U945" s="245"/>
    </row>
    <row r="946" spans="9:21" ht="17.25" customHeight="1">
      <c r="I946" s="248"/>
      <c r="J946" s="248"/>
      <c r="R946" s="248"/>
      <c r="S946" s="246"/>
      <c r="U946" s="245"/>
    </row>
    <row r="947" spans="9:21" ht="17.25" customHeight="1">
      <c r="I947" s="248"/>
      <c r="J947" s="248"/>
      <c r="R947" s="248"/>
      <c r="S947" s="246"/>
      <c r="U947" s="245"/>
    </row>
    <row r="948" spans="9:21" ht="17.25" customHeight="1">
      <c r="I948" s="248"/>
      <c r="J948" s="248"/>
      <c r="R948" s="248"/>
      <c r="S948" s="246"/>
      <c r="U948" s="245"/>
    </row>
    <row r="949" spans="9:21" ht="17.25" customHeight="1">
      <c r="I949" s="248"/>
      <c r="J949" s="248"/>
      <c r="R949" s="248"/>
      <c r="S949" s="246"/>
      <c r="U949" s="245"/>
    </row>
  </sheetData>
  <autoFilter ref="B1:X425" xr:uid="{00000000-0009-0000-0000-000005000000}"/>
  <conditionalFormatting sqref="G1">
    <cfRule type="cellIs" dxfId="0" priority="1" operator="equal">
      <formula>"A.A"</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993"/>
  <sheetViews>
    <sheetView workbookViewId="0"/>
  </sheetViews>
  <sheetFormatPr baseColWidth="10" defaultColWidth="14.44140625" defaultRowHeight="15" customHeight="1"/>
  <cols>
    <col min="1" max="1" width="35.109375" customWidth="1"/>
  </cols>
  <sheetData>
    <row r="1" spans="1:4" ht="15" customHeight="1">
      <c r="A1" s="260" t="s">
        <v>1998</v>
      </c>
      <c r="B1" s="261" t="s">
        <v>1999</v>
      </c>
      <c r="C1" s="262"/>
      <c r="D1" s="263"/>
    </row>
    <row r="2" spans="1:4" ht="15" customHeight="1">
      <c r="A2" s="264" t="s">
        <v>2000</v>
      </c>
      <c r="B2" s="265" t="s">
        <v>2001</v>
      </c>
      <c r="C2" s="262"/>
    </row>
    <row r="3" spans="1:4" ht="15" customHeight="1">
      <c r="A3" s="266" t="s">
        <v>2002</v>
      </c>
      <c r="B3" s="265" t="s">
        <v>2003</v>
      </c>
      <c r="C3" s="262"/>
    </row>
    <row r="4" spans="1:4" ht="15" customHeight="1">
      <c r="A4" s="264" t="s">
        <v>2004</v>
      </c>
      <c r="B4" s="265" t="s">
        <v>2005</v>
      </c>
      <c r="C4" s="262"/>
    </row>
    <row r="5" spans="1:4" ht="15" customHeight="1">
      <c r="A5" s="264" t="s">
        <v>2006</v>
      </c>
      <c r="B5" s="265" t="s">
        <v>2007</v>
      </c>
      <c r="C5" s="262"/>
    </row>
    <row r="6" spans="1:4" ht="15" customHeight="1">
      <c r="A6" s="266" t="s">
        <v>2008</v>
      </c>
      <c r="B6" s="265" t="s">
        <v>2009</v>
      </c>
      <c r="C6" s="262"/>
    </row>
    <row r="7" spans="1:4" ht="15" customHeight="1">
      <c r="A7" s="266" t="s">
        <v>2010</v>
      </c>
      <c r="B7" s="265" t="s">
        <v>2011</v>
      </c>
      <c r="C7" s="262"/>
    </row>
    <row r="8" spans="1:4" ht="15" customHeight="1">
      <c r="A8" s="266" t="s">
        <v>2012</v>
      </c>
      <c r="B8" s="265" t="s">
        <v>2013</v>
      </c>
      <c r="C8" s="262"/>
    </row>
    <row r="9" spans="1:4" ht="15" customHeight="1">
      <c r="A9" s="266" t="s">
        <v>2014</v>
      </c>
      <c r="B9" s="265" t="s">
        <v>2015</v>
      </c>
      <c r="C9" s="262"/>
    </row>
    <row r="10" spans="1:4" ht="15" customHeight="1">
      <c r="A10" s="267" t="s">
        <v>2016</v>
      </c>
      <c r="B10" s="265" t="s">
        <v>2017</v>
      </c>
      <c r="C10" s="262"/>
    </row>
    <row r="11" spans="1:4" ht="15" customHeight="1">
      <c r="A11" s="266" t="s">
        <v>2018</v>
      </c>
      <c r="B11" s="265" t="s">
        <v>2019</v>
      </c>
      <c r="C11" s="262"/>
    </row>
    <row r="12" spans="1:4" ht="15" customHeight="1">
      <c r="A12" s="266" t="s">
        <v>2020</v>
      </c>
      <c r="B12" s="265" t="s">
        <v>2021</v>
      </c>
      <c r="C12" s="262"/>
    </row>
    <row r="13" spans="1:4" ht="15" customHeight="1">
      <c r="A13" s="266" t="s">
        <v>2022</v>
      </c>
      <c r="B13" s="265" t="s">
        <v>2023</v>
      </c>
      <c r="C13" s="262"/>
    </row>
    <row r="14" spans="1:4" ht="15" customHeight="1">
      <c r="A14" s="266" t="s">
        <v>2024</v>
      </c>
      <c r="B14" s="265" t="s">
        <v>2025</v>
      </c>
      <c r="C14" s="262"/>
    </row>
    <row r="15" spans="1:4" ht="15" customHeight="1">
      <c r="A15" s="266" t="s">
        <v>2026</v>
      </c>
      <c r="B15" s="265" t="s">
        <v>2027</v>
      </c>
      <c r="C15" s="262"/>
    </row>
    <row r="16" spans="1:4" ht="15" customHeight="1">
      <c r="A16" s="266" t="s">
        <v>2028</v>
      </c>
      <c r="B16" s="265" t="s">
        <v>2029</v>
      </c>
      <c r="C16" s="262"/>
    </row>
    <row r="17" spans="1:3" ht="15" customHeight="1">
      <c r="A17" s="266" t="s">
        <v>2030</v>
      </c>
      <c r="B17" s="265" t="s">
        <v>2031</v>
      </c>
      <c r="C17" s="262"/>
    </row>
    <row r="18" spans="1:3" ht="15" customHeight="1">
      <c r="A18" s="266" t="s">
        <v>2032</v>
      </c>
      <c r="B18" s="265" t="s">
        <v>2033</v>
      </c>
      <c r="C18" s="262"/>
    </row>
    <row r="19" spans="1:3" ht="15" customHeight="1">
      <c r="A19" s="266" t="s">
        <v>2034</v>
      </c>
      <c r="B19" s="265" t="s">
        <v>2035</v>
      </c>
      <c r="C19" s="262"/>
    </row>
    <row r="20" spans="1:3" ht="15" customHeight="1">
      <c r="A20" s="268" t="s">
        <v>2036</v>
      </c>
      <c r="B20" s="265" t="s">
        <v>2037</v>
      </c>
      <c r="C20" s="262"/>
    </row>
    <row r="21" spans="1:3" ht="15" customHeight="1">
      <c r="A21" s="267" t="s">
        <v>2038</v>
      </c>
      <c r="B21" s="265" t="s">
        <v>2039</v>
      </c>
      <c r="C21" s="262"/>
    </row>
    <row r="22" spans="1:3" ht="15" customHeight="1">
      <c r="A22" s="267" t="s">
        <v>2040</v>
      </c>
      <c r="B22" s="265" t="s">
        <v>2041</v>
      </c>
      <c r="C22" s="262"/>
    </row>
    <row r="23" spans="1:3" ht="15" customHeight="1">
      <c r="A23" s="267" t="s">
        <v>2042</v>
      </c>
      <c r="B23" s="269" t="s">
        <v>2043</v>
      </c>
      <c r="C23" s="262"/>
    </row>
    <row r="24" spans="1:3" ht="15" customHeight="1">
      <c r="A24" s="267" t="s">
        <v>2044</v>
      </c>
      <c r="B24" s="269" t="s">
        <v>2045</v>
      </c>
      <c r="C24" s="262"/>
    </row>
    <row r="25" spans="1:3" ht="15" customHeight="1">
      <c r="A25" s="267" t="s">
        <v>2046</v>
      </c>
      <c r="B25" s="269" t="s">
        <v>2047</v>
      </c>
      <c r="C25" s="262"/>
    </row>
    <row r="26" spans="1:3" ht="15" customHeight="1">
      <c r="A26" s="267" t="s">
        <v>2048</v>
      </c>
      <c r="B26" s="269" t="s">
        <v>2048</v>
      </c>
      <c r="C26" s="262"/>
    </row>
    <row r="27" spans="1:3" ht="18">
      <c r="A27" s="270"/>
      <c r="B27" s="271"/>
    </row>
    <row r="28" spans="1:3" ht="18">
      <c r="A28" s="270"/>
      <c r="B28" s="271"/>
    </row>
    <row r="29" spans="1:3" ht="18">
      <c r="A29" s="270"/>
      <c r="B29" s="271"/>
    </row>
    <row r="30" spans="1:3" ht="18">
      <c r="A30" s="270"/>
      <c r="B30" s="271"/>
    </row>
    <row r="31" spans="1:3" ht="18">
      <c r="A31" s="270"/>
      <c r="B31" s="271"/>
    </row>
    <row r="32" spans="1:3" ht="18">
      <c r="A32" s="272"/>
      <c r="B32" s="271"/>
    </row>
    <row r="33" spans="1:2" ht="18">
      <c r="A33" s="272"/>
      <c r="B33" s="271"/>
    </row>
    <row r="34" spans="1:2" ht="18">
      <c r="A34" s="272"/>
      <c r="B34" s="271"/>
    </row>
    <row r="35" spans="1:2" ht="18">
      <c r="A35" s="272"/>
      <c r="B35" s="271"/>
    </row>
    <row r="36" spans="1:2" ht="18">
      <c r="A36" s="272"/>
      <c r="B36" s="271"/>
    </row>
    <row r="37" spans="1:2" ht="18">
      <c r="A37" s="272"/>
      <c r="B37" s="271"/>
    </row>
    <row r="38" spans="1:2" ht="18">
      <c r="A38" s="272"/>
      <c r="B38" s="271"/>
    </row>
    <row r="39" spans="1:2" ht="18">
      <c r="A39" s="272"/>
      <c r="B39" s="271"/>
    </row>
    <row r="40" spans="1:2" ht="18">
      <c r="A40" s="272"/>
      <c r="B40" s="271"/>
    </row>
    <row r="41" spans="1:2" ht="18">
      <c r="A41" s="272"/>
      <c r="B41" s="271"/>
    </row>
    <row r="42" spans="1:2" ht="18">
      <c r="A42" s="272"/>
      <c r="B42" s="271"/>
    </row>
    <row r="43" spans="1:2" ht="18">
      <c r="A43" s="272"/>
      <c r="B43" s="271"/>
    </row>
    <row r="44" spans="1:2" ht="18">
      <c r="A44" s="272"/>
      <c r="B44" s="271"/>
    </row>
    <row r="45" spans="1:2" ht="18">
      <c r="A45" s="272"/>
      <c r="B45" s="271"/>
    </row>
    <row r="46" spans="1:2" ht="18">
      <c r="A46" s="272"/>
      <c r="B46" s="271"/>
    </row>
    <row r="47" spans="1:2" ht="18">
      <c r="A47" s="272"/>
      <c r="B47" s="271"/>
    </row>
    <row r="48" spans="1:2" ht="18">
      <c r="A48" s="272"/>
      <c r="B48" s="271"/>
    </row>
    <row r="49" spans="1:2" ht="18">
      <c r="A49" s="272"/>
      <c r="B49" s="271"/>
    </row>
    <row r="50" spans="1:2" ht="18">
      <c r="A50" s="272"/>
      <c r="B50" s="271"/>
    </row>
    <row r="51" spans="1:2" ht="18">
      <c r="A51" s="272"/>
      <c r="B51" s="271"/>
    </row>
    <row r="52" spans="1:2" ht="18">
      <c r="A52" s="272"/>
      <c r="B52" s="271"/>
    </row>
    <row r="53" spans="1:2" ht="18">
      <c r="A53" s="272"/>
      <c r="B53" s="271"/>
    </row>
    <row r="54" spans="1:2" ht="18">
      <c r="A54" s="272"/>
      <c r="B54" s="271"/>
    </row>
    <row r="55" spans="1:2" ht="18">
      <c r="A55" s="272"/>
      <c r="B55" s="271"/>
    </row>
    <row r="56" spans="1:2" ht="18">
      <c r="A56" s="272"/>
      <c r="B56" s="271"/>
    </row>
    <row r="57" spans="1:2" ht="18">
      <c r="A57" s="272"/>
      <c r="B57" s="271"/>
    </row>
    <row r="58" spans="1:2" ht="18">
      <c r="A58" s="272"/>
      <c r="B58" s="271"/>
    </row>
    <row r="59" spans="1:2" ht="18">
      <c r="A59" s="272"/>
      <c r="B59" s="271"/>
    </row>
    <row r="60" spans="1:2" ht="18">
      <c r="A60" s="272"/>
      <c r="B60" s="271"/>
    </row>
    <row r="61" spans="1:2" ht="18">
      <c r="A61" s="272"/>
      <c r="B61" s="271"/>
    </row>
    <row r="62" spans="1:2" ht="18">
      <c r="A62" s="272"/>
      <c r="B62" s="271"/>
    </row>
    <row r="63" spans="1:2" ht="18">
      <c r="A63" s="272"/>
      <c r="B63" s="271"/>
    </row>
    <row r="64" spans="1:2" ht="18">
      <c r="A64" s="272"/>
      <c r="B64" s="271"/>
    </row>
    <row r="65" spans="1:2" ht="18">
      <c r="A65" s="272"/>
      <c r="B65" s="271"/>
    </row>
    <row r="66" spans="1:2" ht="18">
      <c r="A66" s="272"/>
      <c r="B66" s="271"/>
    </row>
    <row r="67" spans="1:2" ht="18">
      <c r="A67" s="272"/>
      <c r="B67" s="271"/>
    </row>
    <row r="68" spans="1:2" ht="18">
      <c r="A68" s="272"/>
      <c r="B68" s="271"/>
    </row>
    <row r="69" spans="1:2" ht="18">
      <c r="A69" s="272"/>
      <c r="B69" s="271"/>
    </row>
    <row r="70" spans="1:2" ht="18">
      <c r="A70" s="272"/>
      <c r="B70" s="271"/>
    </row>
    <row r="71" spans="1:2" ht="18">
      <c r="A71" s="272"/>
      <c r="B71" s="271"/>
    </row>
    <row r="72" spans="1:2" ht="18">
      <c r="A72" s="272"/>
      <c r="B72" s="271"/>
    </row>
    <row r="73" spans="1:2" ht="18">
      <c r="A73" s="272"/>
      <c r="B73" s="271"/>
    </row>
    <row r="74" spans="1:2" ht="18">
      <c r="A74" s="272"/>
      <c r="B74" s="271"/>
    </row>
    <row r="75" spans="1:2" ht="18">
      <c r="A75" s="272"/>
      <c r="B75" s="271"/>
    </row>
    <row r="76" spans="1:2" ht="18">
      <c r="A76" s="272"/>
      <c r="B76" s="271"/>
    </row>
    <row r="77" spans="1:2" ht="18">
      <c r="A77" s="272"/>
      <c r="B77" s="271"/>
    </row>
    <row r="78" spans="1:2" ht="18">
      <c r="A78" s="272"/>
      <c r="B78" s="271"/>
    </row>
    <row r="79" spans="1:2" ht="18">
      <c r="A79" s="272"/>
      <c r="B79" s="271"/>
    </row>
    <row r="80" spans="1:2" ht="18">
      <c r="A80" s="272"/>
      <c r="B80" s="271"/>
    </row>
    <row r="81" spans="1:2" ht="18">
      <c r="A81" s="272"/>
      <c r="B81" s="271"/>
    </row>
    <row r="82" spans="1:2" ht="18">
      <c r="A82" s="272"/>
      <c r="B82" s="271"/>
    </row>
    <row r="83" spans="1:2" ht="18">
      <c r="A83" s="272"/>
      <c r="B83" s="271"/>
    </row>
    <row r="84" spans="1:2" ht="18">
      <c r="A84" s="272"/>
      <c r="B84" s="271"/>
    </row>
    <row r="85" spans="1:2" ht="18">
      <c r="A85" s="272"/>
      <c r="B85" s="271"/>
    </row>
    <row r="86" spans="1:2" ht="18">
      <c r="A86" s="272"/>
      <c r="B86" s="271"/>
    </row>
    <row r="87" spans="1:2" ht="18">
      <c r="A87" s="272"/>
      <c r="B87" s="271"/>
    </row>
    <row r="88" spans="1:2" ht="18">
      <c r="A88" s="272"/>
      <c r="B88" s="271"/>
    </row>
    <row r="89" spans="1:2" ht="18">
      <c r="A89" s="272"/>
      <c r="B89" s="271"/>
    </row>
    <row r="90" spans="1:2" ht="18">
      <c r="A90" s="272"/>
      <c r="B90" s="271"/>
    </row>
    <row r="91" spans="1:2" ht="18">
      <c r="A91" s="272"/>
      <c r="B91" s="271"/>
    </row>
    <row r="92" spans="1:2" ht="18">
      <c r="A92" s="272"/>
      <c r="B92" s="271"/>
    </row>
    <row r="93" spans="1:2" ht="18">
      <c r="A93" s="272"/>
      <c r="B93" s="271"/>
    </row>
    <row r="94" spans="1:2" ht="18">
      <c r="A94" s="272"/>
      <c r="B94" s="271"/>
    </row>
    <row r="95" spans="1:2" ht="18">
      <c r="A95" s="272"/>
      <c r="B95" s="271"/>
    </row>
    <row r="96" spans="1:2" ht="18">
      <c r="A96" s="272"/>
      <c r="B96" s="271"/>
    </row>
    <row r="97" spans="1:2" ht="18">
      <c r="A97" s="272"/>
      <c r="B97" s="271"/>
    </row>
    <row r="98" spans="1:2" ht="18">
      <c r="A98" s="272"/>
      <c r="B98" s="271"/>
    </row>
    <row r="99" spans="1:2" ht="18">
      <c r="A99" s="272"/>
      <c r="B99" s="271"/>
    </row>
    <row r="100" spans="1:2" ht="18">
      <c r="A100" s="272"/>
      <c r="B100" s="271"/>
    </row>
    <row r="101" spans="1:2" ht="18">
      <c r="A101" s="272"/>
      <c r="B101" s="271"/>
    </row>
    <row r="102" spans="1:2" ht="18">
      <c r="A102" s="272"/>
      <c r="B102" s="271"/>
    </row>
    <row r="103" spans="1:2" ht="18">
      <c r="A103" s="272"/>
      <c r="B103" s="271"/>
    </row>
    <row r="104" spans="1:2" ht="18">
      <c r="A104" s="272"/>
      <c r="B104" s="271"/>
    </row>
    <row r="105" spans="1:2" ht="18">
      <c r="A105" s="272"/>
      <c r="B105" s="271"/>
    </row>
    <row r="106" spans="1:2" ht="18">
      <c r="A106" s="272"/>
      <c r="B106" s="271"/>
    </row>
    <row r="107" spans="1:2" ht="18">
      <c r="A107" s="272"/>
      <c r="B107" s="271"/>
    </row>
    <row r="108" spans="1:2" ht="18">
      <c r="A108" s="272"/>
      <c r="B108" s="271"/>
    </row>
    <row r="109" spans="1:2" ht="18">
      <c r="A109" s="272"/>
      <c r="B109" s="271"/>
    </row>
    <row r="110" spans="1:2" ht="18">
      <c r="A110" s="272"/>
      <c r="B110" s="271"/>
    </row>
    <row r="111" spans="1:2" ht="18">
      <c r="A111" s="272"/>
      <c r="B111" s="271"/>
    </row>
    <row r="112" spans="1:2" ht="18">
      <c r="A112" s="272"/>
      <c r="B112" s="271"/>
    </row>
    <row r="113" spans="1:2" ht="18">
      <c r="A113" s="272"/>
      <c r="B113" s="271"/>
    </row>
    <row r="114" spans="1:2" ht="18">
      <c r="A114" s="272"/>
      <c r="B114" s="271"/>
    </row>
    <row r="115" spans="1:2" ht="18">
      <c r="A115" s="272"/>
      <c r="B115" s="271"/>
    </row>
    <row r="116" spans="1:2" ht="18">
      <c r="A116" s="272"/>
      <c r="B116" s="271"/>
    </row>
    <row r="117" spans="1:2" ht="18">
      <c r="A117" s="272"/>
      <c r="B117" s="271"/>
    </row>
    <row r="118" spans="1:2" ht="18">
      <c r="A118" s="272"/>
      <c r="B118" s="271"/>
    </row>
    <row r="119" spans="1:2" ht="18">
      <c r="A119" s="272"/>
      <c r="B119" s="271"/>
    </row>
    <row r="120" spans="1:2" ht="18">
      <c r="A120" s="272"/>
      <c r="B120" s="271"/>
    </row>
    <row r="121" spans="1:2" ht="18">
      <c r="A121" s="272"/>
      <c r="B121" s="271"/>
    </row>
    <row r="122" spans="1:2" ht="18">
      <c r="A122" s="272"/>
      <c r="B122" s="271"/>
    </row>
    <row r="123" spans="1:2" ht="18">
      <c r="A123" s="272"/>
      <c r="B123" s="271"/>
    </row>
    <row r="124" spans="1:2" ht="18">
      <c r="A124" s="272"/>
      <c r="B124" s="271"/>
    </row>
    <row r="125" spans="1:2" ht="18">
      <c r="A125" s="272"/>
      <c r="B125" s="271"/>
    </row>
    <row r="126" spans="1:2" ht="18">
      <c r="A126" s="272"/>
      <c r="B126" s="271"/>
    </row>
    <row r="127" spans="1:2" ht="18">
      <c r="A127" s="272"/>
      <c r="B127" s="271"/>
    </row>
    <row r="128" spans="1:2" ht="18">
      <c r="A128" s="272"/>
      <c r="B128" s="271"/>
    </row>
    <row r="129" spans="1:2" ht="18">
      <c r="A129" s="272"/>
      <c r="B129" s="271"/>
    </row>
    <row r="130" spans="1:2" ht="18">
      <c r="A130" s="272"/>
      <c r="B130" s="271"/>
    </row>
    <row r="131" spans="1:2" ht="18">
      <c r="A131" s="272"/>
      <c r="B131" s="271"/>
    </row>
    <row r="132" spans="1:2" ht="18">
      <c r="A132" s="272"/>
      <c r="B132" s="271"/>
    </row>
    <row r="133" spans="1:2" ht="18">
      <c r="A133" s="272"/>
      <c r="B133" s="271"/>
    </row>
    <row r="134" spans="1:2" ht="18">
      <c r="A134" s="272"/>
      <c r="B134" s="271"/>
    </row>
    <row r="135" spans="1:2" ht="18">
      <c r="A135" s="272"/>
      <c r="B135" s="271"/>
    </row>
    <row r="136" spans="1:2" ht="18">
      <c r="A136" s="272"/>
      <c r="B136" s="271"/>
    </row>
    <row r="137" spans="1:2" ht="18">
      <c r="A137" s="272"/>
      <c r="B137" s="271"/>
    </row>
    <row r="138" spans="1:2" ht="18">
      <c r="A138" s="272"/>
      <c r="B138" s="271"/>
    </row>
    <row r="139" spans="1:2" ht="18">
      <c r="A139" s="272"/>
      <c r="B139" s="271"/>
    </row>
    <row r="140" spans="1:2" ht="18">
      <c r="A140" s="272"/>
      <c r="B140" s="271"/>
    </row>
    <row r="141" spans="1:2" ht="18">
      <c r="A141" s="272"/>
      <c r="B141" s="271"/>
    </row>
    <row r="142" spans="1:2" ht="18">
      <c r="A142" s="272"/>
      <c r="B142" s="271"/>
    </row>
    <row r="143" spans="1:2" ht="18">
      <c r="A143" s="272"/>
      <c r="B143" s="271"/>
    </row>
    <row r="144" spans="1:2" ht="18">
      <c r="A144" s="272"/>
      <c r="B144" s="271"/>
    </row>
    <row r="145" spans="1:2" ht="18">
      <c r="A145" s="272"/>
      <c r="B145" s="271"/>
    </row>
    <row r="146" spans="1:2" ht="18">
      <c r="A146" s="272"/>
      <c r="B146" s="271"/>
    </row>
    <row r="147" spans="1:2" ht="18">
      <c r="A147" s="272"/>
      <c r="B147" s="271"/>
    </row>
    <row r="148" spans="1:2" ht="18">
      <c r="A148" s="272"/>
      <c r="B148" s="271"/>
    </row>
    <row r="149" spans="1:2" ht="18">
      <c r="A149" s="272"/>
      <c r="B149" s="271"/>
    </row>
    <row r="150" spans="1:2" ht="18">
      <c r="A150" s="272"/>
      <c r="B150" s="271"/>
    </row>
    <row r="151" spans="1:2" ht="18">
      <c r="A151" s="272"/>
      <c r="B151" s="271"/>
    </row>
    <row r="152" spans="1:2" ht="18">
      <c r="A152" s="272"/>
      <c r="B152" s="271"/>
    </row>
    <row r="153" spans="1:2" ht="18">
      <c r="A153" s="272"/>
      <c r="B153" s="271"/>
    </row>
    <row r="154" spans="1:2" ht="18">
      <c r="A154" s="272"/>
      <c r="B154" s="271"/>
    </row>
    <row r="155" spans="1:2" ht="18">
      <c r="A155" s="272"/>
      <c r="B155" s="271"/>
    </row>
    <row r="156" spans="1:2" ht="18">
      <c r="A156" s="272"/>
      <c r="B156" s="271"/>
    </row>
    <row r="157" spans="1:2" ht="18">
      <c r="A157" s="272"/>
      <c r="B157" s="271"/>
    </row>
    <row r="158" spans="1:2" ht="18">
      <c r="A158" s="272"/>
      <c r="B158" s="271"/>
    </row>
    <row r="159" spans="1:2" ht="18">
      <c r="A159" s="272"/>
      <c r="B159" s="271"/>
    </row>
    <row r="160" spans="1:2" ht="18">
      <c r="A160" s="272"/>
      <c r="B160" s="271"/>
    </row>
    <row r="161" spans="1:2" ht="18">
      <c r="A161" s="272"/>
      <c r="B161" s="271"/>
    </row>
    <row r="162" spans="1:2" ht="18">
      <c r="A162" s="272"/>
      <c r="B162" s="271"/>
    </row>
    <row r="163" spans="1:2" ht="18">
      <c r="A163" s="272"/>
      <c r="B163" s="271"/>
    </row>
    <row r="164" spans="1:2" ht="18">
      <c r="A164" s="272"/>
      <c r="B164" s="271"/>
    </row>
    <row r="165" spans="1:2" ht="18">
      <c r="A165" s="272"/>
      <c r="B165" s="271"/>
    </row>
    <row r="166" spans="1:2" ht="18">
      <c r="A166" s="272"/>
      <c r="B166" s="271"/>
    </row>
    <row r="167" spans="1:2" ht="18">
      <c r="A167" s="272"/>
      <c r="B167" s="271"/>
    </row>
    <row r="168" spans="1:2" ht="18">
      <c r="A168" s="272"/>
      <c r="B168" s="271"/>
    </row>
    <row r="169" spans="1:2" ht="18">
      <c r="A169" s="272"/>
      <c r="B169" s="271"/>
    </row>
    <row r="170" spans="1:2" ht="18">
      <c r="A170" s="272"/>
      <c r="B170" s="271"/>
    </row>
    <row r="171" spans="1:2" ht="18">
      <c r="A171" s="272"/>
      <c r="B171" s="271"/>
    </row>
    <row r="172" spans="1:2" ht="18">
      <c r="A172" s="272"/>
      <c r="B172" s="271"/>
    </row>
    <row r="173" spans="1:2" ht="18">
      <c r="A173" s="272"/>
      <c r="B173" s="271"/>
    </row>
    <row r="174" spans="1:2" ht="18">
      <c r="A174" s="272"/>
      <c r="B174" s="271"/>
    </row>
    <row r="175" spans="1:2" ht="18">
      <c r="A175" s="272"/>
      <c r="B175" s="271"/>
    </row>
    <row r="176" spans="1:2" ht="18">
      <c r="A176" s="272"/>
      <c r="B176" s="271"/>
    </row>
    <row r="177" spans="1:2" ht="18">
      <c r="A177" s="272"/>
      <c r="B177" s="271"/>
    </row>
    <row r="178" spans="1:2" ht="18">
      <c r="A178" s="272"/>
      <c r="B178" s="271"/>
    </row>
    <row r="179" spans="1:2" ht="18">
      <c r="A179" s="272"/>
      <c r="B179" s="271"/>
    </row>
    <row r="180" spans="1:2" ht="18">
      <c r="A180" s="272"/>
      <c r="B180" s="271"/>
    </row>
    <row r="181" spans="1:2" ht="18">
      <c r="A181" s="272"/>
      <c r="B181" s="271"/>
    </row>
    <row r="182" spans="1:2" ht="18">
      <c r="A182" s="272"/>
      <c r="B182" s="271"/>
    </row>
    <row r="183" spans="1:2" ht="18">
      <c r="A183" s="272"/>
      <c r="B183" s="271"/>
    </row>
    <row r="184" spans="1:2" ht="18">
      <c r="A184" s="272"/>
      <c r="B184" s="271"/>
    </row>
    <row r="185" spans="1:2" ht="18">
      <c r="A185" s="272"/>
      <c r="B185" s="271"/>
    </row>
    <row r="186" spans="1:2" ht="18">
      <c r="A186" s="272"/>
      <c r="B186" s="271"/>
    </row>
    <row r="187" spans="1:2" ht="18">
      <c r="A187" s="272"/>
      <c r="B187" s="271"/>
    </row>
    <row r="188" spans="1:2" ht="18">
      <c r="A188" s="272"/>
      <c r="B188" s="271"/>
    </row>
    <row r="189" spans="1:2" ht="18">
      <c r="A189" s="272"/>
      <c r="B189" s="271"/>
    </row>
    <row r="190" spans="1:2" ht="18">
      <c r="A190" s="272"/>
      <c r="B190" s="271"/>
    </row>
    <row r="191" spans="1:2" ht="18">
      <c r="A191" s="272"/>
      <c r="B191" s="271"/>
    </row>
    <row r="192" spans="1:2" ht="18">
      <c r="A192" s="272"/>
      <c r="B192" s="271"/>
    </row>
    <row r="193" spans="1:2" ht="18">
      <c r="A193" s="272"/>
      <c r="B193" s="271"/>
    </row>
    <row r="194" spans="1:2" ht="18">
      <c r="A194" s="272"/>
      <c r="B194" s="271"/>
    </row>
    <row r="195" spans="1:2" ht="18">
      <c r="A195" s="272"/>
      <c r="B195" s="271"/>
    </row>
    <row r="196" spans="1:2" ht="18">
      <c r="A196" s="272"/>
      <c r="B196" s="271"/>
    </row>
    <row r="197" spans="1:2" ht="18">
      <c r="A197" s="272"/>
      <c r="B197" s="271"/>
    </row>
    <row r="198" spans="1:2" ht="18">
      <c r="A198" s="272"/>
      <c r="B198" s="271"/>
    </row>
    <row r="199" spans="1:2" ht="18">
      <c r="A199" s="272"/>
      <c r="B199" s="271"/>
    </row>
    <row r="200" spans="1:2" ht="18">
      <c r="A200" s="272"/>
      <c r="B200" s="271"/>
    </row>
    <row r="201" spans="1:2" ht="18">
      <c r="A201" s="272"/>
      <c r="B201" s="271"/>
    </row>
    <row r="202" spans="1:2" ht="18">
      <c r="A202" s="272"/>
      <c r="B202" s="271"/>
    </row>
    <row r="203" spans="1:2" ht="18">
      <c r="A203" s="272"/>
      <c r="B203" s="271"/>
    </row>
    <row r="204" spans="1:2" ht="18">
      <c r="A204" s="272"/>
      <c r="B204" s="271"/>
    </row>
    <row r="205" spans="1:2" ht="18">
      <c r="A205" s="272"/>
      <c r="B205" s="271"/>
    </row>
    <row r="206" spans="1:2" ht="18">
      <c r="A206" s="272"/>
      <c r="B206" s="271"/>
    </row>
    <row r="207" spans="1:2" ht="18">
      <c r="A207" s="272"/>
      <c r="B207" s="271"/>
    </row>
    <row r="208" spans="1:2" ht="18">
      <c r="A208" s="272"/>
      <c r="B208" s="271"/>
    </row>
    <row r="209" spans="1:2" ht="18">
      <c r="A209" s="272"/>
      <c r="B209" s="271"/>
    </row>
    <row r="210" spans="1:2" ht="18">
      <c r="A210" s="272"/>
      <c r="B210" s="271"/>
    </row>
    <row r="211" spans="1:2" ht="18">
      <c r="A211" s="272"/>
      <c r="B211" s="271"/>
    </row>
    <row r="212" spans="1:2" ht="18">
      <c r="A212" s="272"/>
      <c r="B212" s="271"/>
    </row>
    <row r="213" spans="1:2" ht="18">
      <c r="A213" s="272"/>
      <c r="B213" s="271"/>
    </row>
    <row r="214" spans="1:2" ht="18">
      <c r="A214" s="272"/>
      <c r="B214" s="271"/>
    </row>
    <row r="215" spans="1:2" ht="18">
      <c r="A215" s="272"/>
      <c r="B215" s="271"/>
    </row>
    <row r="216" spans="1:2" ht="18">
      <c r="A216" s="272"/>
      <c r="B216" s="271"/>
    </row>
    <row r="217" spans="1:2" ht="18">
      <c r="A217" s="272"/>
      <c r="B217" s="271"/>
    </row>
    <row r="218" spans="1:2" ht="18">
      <c r="A218" s="272"/>
      <c r="B218" s="271"/>
    </row>
    <row r="219" spans="1:2" ht="18">
      <c r="A219" s="272"/>
      <c r="B219" s="271"/>
    </row>
    <row r="220" spans="1:2" ht="18">
      <c r="A220" s="272"/>
      <c r="B220" s="271"/>
    </row>
    <row r="221" spans="1:2" ht="18">
      <c r="A221" s="272"/>
      <c r="B221" s="271"/>
    </row>
    <row r="222" spans="1:2" ht="18">
      <c r="A222" s="272"/>
      <c r="B222" s="271"/>
    </row>
    <row r="223" spans="1:2" ht="18">
      <c r="A223" s="272"/>
      <c r="B223" s="271"/>
    </row>
    <row r="224" spans="1:2" ht="18">
      <c r="A224" s="272"/>
      <c r="B224" s="271"/>
    </row>
    <row r="225" spans="1:2" ht="18">
      <c r="A225" s="272"/>
      <c r="B225" s="271"/>
    </row>
    <row r="226" spans="1:2" ht="18">
      <c r="A226" s="272"/>
      <c r="B226" s="271"/>
    </row>
    <row r="227" spans="1:2" ht="18">
      <c r="A227" s="272"/>
      <c r="B227" s="271"/>
    </row>
    <row r="228" spans="1:2" ht="18">
      <c r="A228" s="272"/>
      <c r="B228" s="271"/>
    </row>
    <row r="229" spans="1:2" ht="18">
      <c r="A229" s="272"/>
      <c r="B229" s="271"/>
    </row>
    <row r="230" spans="1:2" ht="18">
      <c r="A230" s="272"/>
      <c r="B230" s="271"/>
    </row>
    <row r="231" spans="1:2" ht="18">
      <c r="A231" s="272"/>
      <c r="B231" s="271"/>
    </row>
    <row r="232" spans="1:2" ht="18">
      <c r="A232" s="272"/>
      <c r="B232" s="271"/>
    </row>
    <row r="233" spans="1:2" ht="18">
      <c r="A233" s="272"/>
      <c r="B233" s="271"/>
    </row>
    <row r="234" spans="1:2" ht="18">
      <c r="A234" s="272"/>
      <c r="B234" s="271"/>
    </row>
    <row r="235" spans="1:2" ht="18">
      <c r="A235" s="272"/>
      <c r="B235" s="271"/>
    </row>
    <row r="236" spans="1:2" ht="18">
      <c r="A236" s="272"/>
      <c r="B236" s="271"/>
    </row>
    <row r="237" spans="1:2" ht="18">
      <c r="A237" s="272"/>
      <c r="B237" s="271"/>
    </row>
    <row r="238" spans="1:2" ht="18">
      <c r="A238" s="272"/>
      <c r="B238" s="271"/>
    </row>
    <row r="239" spans="1:2" ht="18">
      <c r="A239" s="272"/>
      <c r="B239" s="271"/>
    </row>
    <row r="240" spans="1:2" ht="18">
      <c r="A240" s="272"/>
      <c r="B240" s="271"/>
    </row>
    <row r="241" spans="1:2" ht="18">
      <c r="A241" s="272"/>
      <c r="B241" s="271"/>
    </row>
    <row r="242" spans="1:2" ht="18">
      <c r="A242" s="272"/>
      <c r="B242" s="271"/>
    </row>
    <row r="243" spans="1:2" ht="18">
      <c r="A243" s="272"/>
      <c r="B243" s="271"/>
    </row>
    <row r="244" spans="1:2" ht="18">
      <c r="A244" s="272"/>
      <c r="B244" s="271"/>
    </row>
    <row r="245" spans="1:2" ht="18">
      <c r="A245" s="272"/>
      <c r="B245" s="271"/>
    </row>
    <row r="246" spans="1:2" ht="18">
      <c r="A246" s="272"/>
      <c r="B246" s="271"/>
    </row>
    <row r="247" spans="1:2" ht="18">
      <c r="A247" s="272"/>
      <c r="B247" s="271"/>
    </row>
    <row r="248" spans="1:2" ht="18">
      <c r="A248" s="272"/>
      <c r="B248" s="271"/>
    </row>
    <row r="249" spans="1:2" ht="18">
      <c r="A249" s="272"/>
      <c r="B249" s="271"/>
    </row>
    <row r="250" spans="1:2" ht="18">
      <c r="A250" s="272"/>
      <c r="B250" s="271"/>
    </row>
    <row r="251" spans="1:2" ht="18">
      <c r="A251" s="272"/>
      <c r="B251" s="271"/>
    </row>
    <row r="252" spans="1:2" ht="18">
      <c r="A252" s="272"/>
      <c r="B252" s="271"/>
    </row>
    <row r="253" spans="1:2" ht="18">
      <c r="A253" s="272"/>
      <c r="B253" s="271"/>
    </row>
    <row r="254" spans="1:2" ht="18">
      <c r="A254" s="272"/>
      <c r="B254" s="271"/>
    </row>
    <row r="255" spans="1:2" ht="18">
      <c r="A255" s="272"/>
      <c r="B255" s="271"/>
    </row>
    <row r="256" spans="1:2" ht="18">
      <c r="A256" s="272"/>
      <c r="B256" s="271"/>
    </row>
    <row r="257" spans="1:2" ht="18">
      <c r="A257" s="272"/>
      <c r="B257" s="271"/>
    </row>
    <row r="258" spans="1:2" ht="18">
      <c r="A258" s="272"/>
      <c r="B258" s="271"/>
    </row>
    <row r="259" spans="1:2" ht="18">
      <c r="A259" s="272"/>
      <c r="B259" s="271"/>
    </row>
    <row r="260" spans="1:2" ht="18">
      <c r="A260" s="272"/>
      <c r="B260" s="271"/>
    </row>
    <row r="261" spans="1:2" ht="18">
      <c r="A261" s="272"/>
      <c r="B261" s="271"/>
    </row>
    <row r="262" spans="1:2" ht="18">
      <c r="A262" s="272"/>
      <c r="B262" s="271"/>
    </row>
    <row r="263" spans="1:2" ht="18">
      <c r="A263" s="272"/>
      <c r="B263" s="271"/>
    </row>
    <row r="264" spans="1:2" ht="18">
      <c r="A264" s="272"/>
      <c r="B264" s="271"/>
    </row>
    <row r="265" spans="1:2" ht="18">
      <c r="A265" s="272"/>
      <c r="B265" s="271"/>
    </row>
    <row r="266" spans="1:2" ht="18">
      <c r="A266" s="272"/>
      <c r="B266" s="271"/>
    </row>
    <row r="267" spans="1:2" ht="18">
      <c r="A267" s="272"/>
      <c r="B267" s="271"/>
    </row>
    <row r="268" spans="1:2" ht="18">
      <c r="A268" s="272"/>
      <c r="B268" s="271"/>
    </row>
    <row r="269" spans="1:2" ht="18">
      <c r="A269" s="272"/>
      <c r="B269" s="271"/>
    </row>
    <row r="270" spans="1:2" ht="18">
      <c r="A270" s="272"/>
      <c r="B270" s="271"/>
    </row>
    <row r="271" spans="1:2" ht="18">
      <c r="A271" s="272"/>
      <c r="B271" s="271"/>
    </row>
    <row r="272" spans="1:2" ht="18">
      <c r="A272" s="272"/>
      <c r="B272" s="271"/>
    </row>
    <row r="273" spans="1:2" ht="18">
      <c r="A273" s="272"/>
      <c r="B273" s="271"/>
    </row>
    <row r="274" spans="1:2" ht="18">
      <c r="A274" s="272"/>
      <c r="B274" s="271"/>
    </row>
    <row r="275" spans="1:2" ht="18">
      <c r="A275" s="272"/>
      <c r="B275" s="271"/>
    </row>
    <row r="276" spans="1:2" ht="18">
      <c r="A276" s="272"/>
      <c r="B276" s="271"/>
    </row>
    <row r="277" spans="1:2" ht="18">
      <c r="A277" s="272"/>
      <c r="B277" s="271"/>
    </row>
    <row r="278" spans="1:2" ht="18">
      <c r="A278" s="272"/>
      <c r="B278" s="271"/>
    </row>
    <row r="279" spans="1:2" ht="18">
      <c r="A279" s="272"/>
      <c r="B279" s="271"/>
    </row>
    <row r="280" spans="1:2" ht="18">
      <c r="A280" s="272"/>
      <c r="B280" s="271"/>
    </row>
    <row r="281" spans="1:2" ht="18">
      <c r="A281" s="272"/>
      <c r="B281" s="271"/>
    </row>
    <row r="282" spans="1:2" ht="18">
      <c r="A282" s="272"/>
      <c r="B282" s="271"/>
    </row>
    <row r="283" spans="1:2" ht="18">
      <c r="A283" s="272"/>
      <c r="B283" s="271"/>
    </row>
    <row r="284" spans="1:2" ht="18">
      <c r="A284" s="272"/>
      <c r="B284" s="271"/>
    </row>
    <row r="285" spans="1:2" ht="18">
      <c r="A285" s="272"/>
      <c r="B285" s="271"/>
    </row>
    <row r="286" spans="1:2" ht="18">
      <c r="A286" s="272"/>
      <c r="B286" s="271"/>
    </row>
    <row r="287" spans="1:2" ht="18">
      <c r="A287" s="272"/>
      <c r="B287" s="271"/>
    </row>
    <row r="288" spans="1:2" ht="18">
      <c r="A288" s="272"/>
      <c r="B288" s="271"/>
    </row>
    <row r="289" spans="1:2" ht="18">
      <c r="A289" s="272"/>
      <c r="B289" s="271"/>
    </row>
    <row r="290" spans="1:2" ht="18">
      <c r="A290" s="272"/>
      <c r="B290" s="271"/>
    </row>
    <row r="291" spans="1:2" ht="18">
      <c r="A291" s="272"/>
      <c r="B291" s="271"/>
    </row>
    <row r="292" spans="1:2" ht="18">
      <c r="A292" s="272"/>
      <c r="B292" s="271"/>
    </row>
    <row r="293" spans="1:2" ht="18">
      <c r="A293" s="272"/>
      <c r="B293" s="271"/>
    </row>
    <row r="294" spans="1:2" ht="18">
      <c r="A294" s="272"/>
      <c r="B294" s="271"/>
    </row>
    <row r="295" spans="1:2" ht="18">
      <c r="A295" s="272"/>
      <c r="B295" s="271"/>
    </row>
    <row r="296" spans="1:2" ht="18">
      <c r="A296" s="272"/>
      <c r="B296" s="271"/>
    </row>
    <row r="297" spans="1:2" ht="18">
      <c r="A297" s="272"/>
      <c r="B297" s="271"/>
    </row>
    <row r="298" spans="1:2" ht="18">
      <c r="A298" s="272"/>
      <c r="B298" s="271"/>
    </row>
    <row r="299" spans="1:2" ht="18">
      <c r="A299" s="272"/>
      <c r="B299" s="271"/>
    </row>
    <row r="300" spans="1:2" ht="18">
      <c r="A300" s="272"/>
      <c r="B300" s="271"/>
    </row>
    <row r="301" spans="1:2" ht="18">
      <c r="A301" s="272"/>
      <c r="B301" s="271"/>
    </row>
    <row r="302" spans="1:2" ht="18">
      <c r="A302" s="272"/>
      <c r="B302" s="271"/>
    </row>
    <row r="303" spans="1:2" ht="18">
      <c r="A303" s="272"/>
      <c r="B303" s="271"/>
    </row>
    <row r="304" spans="1:2" ht="18">
      <c r="A304" s="272"/>
      <c r="B304" s="271"/>
    </row>
    <row r="305" spans="1:2" ht="18">
      <c r="A305" s="272"/>
      <c r="B305" s="271"/>
    </row>
    <row r="306" spans="1:2" ht="18">
      <c r="A306" s="272"/>
      <c r="B306" s="271"/>
    </row>
    <row r="307" spans="1:2" ht="18">
      <c r="A307" s="272"/>
      <c r="B307" s="271"/>
    </row>
    <row r="308" spans="1:2" ht="18">
      <c r="A308" s="272"/>
      <c r="B308" s="271"/>
    </row>
    <row r="309" spans="1:2" ht="18">
      <c r="A309" s="272"/>
      <c r="B309" s="271"/>
    </row>
    <row r="310" spans="1:2" ht="18">
      <c r="A310" s="272"/>
      <c r="B310" s="271"/>
    </row>
    <row r="311" spans="1:2" ht="18">
      <c r="A311" s="272"/>
      <c r="B311" s="271"/>
    </row>
    <row r="312" spans="1:2" ht="18">
      <c r="A312" s="272"/>
      <c r="B312" s="271"/>
    </row>
    <row r="313" spans="1:2" ht="18">
      <c r="A313" s="272"/>
      <c r="B313" s="271"/>
    </row>
    <row r="314" spans="1:2" ht="18">
      <c r="A314" s="272"/>
      <c r="B314" s="271"/>
    </row>
    <row r="315" spans="1:2" ht="18">
      <c r="A315" s="272"/>
      <c r="B315" s="271"/>
    </row>
    <row r="316" spans="1:2" ht="18">
      <c r="A316" s="272"/>
      <c r="B316" s="271"/>
    </row>
    <row r="317" spans="1:2" ht="18">
      <c r="A317" s="272"/>
      <c r="B317" s="271"/>
    </row>
    <row r="318" spans="1:2" ht="18">
      <c r="A318" s="272"/>
      <c r="B318" s="271"/>
    </row>
    <row r="319" spans="1:2" ht="18">
      <c r="A319" s="272"/>
      <c r="B319" s="271"/>
    </row>
    <row r="320" spans="1:2" ht="18">
      <c r="A320" s="272"/>
      <c r="B320" s="271"/>
    </row>
    <row r="321" spans="1:2" ht="18">
      <c r="A321" s="272"/>
      <c r="B321" s="271"/>
    </row>
    <row r="322" spans="1:2" ht="18">
      <c r="A322" s="272"/>
      <c r="B322" s="271"/>
    </row>
    <row r="323" spans="1:2" ht="18">
      <c r="A323" s="272"/>
      <c r="B323" s="271"/>
    </row>
    <row r="324" spans="1:2" ht="18">
      <c r="A324" s="272"/>
      <c r="B324" s="271"/>
    </row>
    <row r="325" spans="1:2" ht="18">
      <c r="A325" s="272"/>
      <c r="B325" s="271"/>
    </row>
    <row r="326" spans="1:2" ht="18">
      <c r="A326" s="272"/>
      <c r="B326" s="271"/>
    </row>
    <row r="327" spans="1:2" ht="18">
      <c r="A327" s="272"/>
      <c r="B327" s="271"/>
    </row>
    <row r="328" spans="1:2" ht="18">
      <c r="A328" s="272"/>
      <c r="B328" s="271"/>
    </row>
    <row r="329" spans="1:2" ht="18">
      <c r="A329" s="272"/>
      <c r="B329" s="271"/>
    </row>
    <row r="330" spans="1:2" ht="18">
      <c r="A330" s="272"/>
      <c r="B330" s="271"/>
    </row>
    <row r="331" spans="1:2" ht="18">
      <c r="A331" s="272"/>
      <c r="B331" s="271"/>
    </row>
    <row r="332" spans="1:2" ht="18">
      <c r="A332" s="272"/>
      <c r="B332" s="271"/>
    </row>
    <row r="333" spans="1:2" ht="18">
      <c r="A333" s="272"/>
      <c r="B333" s="271"/>
    </row>
    <row r="334" spans="1:2" ht="18">
      <c r="A334" s="272"/>
      <c r="B334" s="271"/>
    </row>
    <row r="335" spans="1:2" ht="18">
      <c r="A335" s="272"/>
      <c r="B335" s="271"/>
    </row>
    <row r="336" spans="1:2" ht="18">
      <c r="A336" s="272"/>
      <c r="B336" s="271"/>
    </row>
    <row r="337" spans="1:2" ht="18">
      <c r="A337" s="272"/>
      <c r="B337" s="271"/>
    </row>
    <row r="338" spans="1:2" ht="18">
      <c r="A338" s="272"/>
      <c r="B338" s="271"/>
    </row>
    <row r="339" spans="1:2" ht="18">
      <c r="A339" s="272"/>
      <c r="B339" s="271"/>
    </row>
    <row r="340" spans="1:2" ht="18">
      <c r="A340" s="272"/>
      <c r="B340" s="271"/>
    </row>
    <row r="341" spans="1:2" ht="18">
      <c r="A341" s="272"/>
      <c r="B341" s="271"/>
    </row>
    <row r="342" spans="1:2" ht="18">
      <c r="A342" s="272"/>
      <c r="B342" s="271"/>
    </row>
    <row r="343" spans="1:2" ht="18">
      <c r="A343" s="272"/>
      <c r="B343" s="271"/>
    </row>
    <row r="344" spans="1:2" ht="18">
      <c r="A344" s="272"/>
      <c r="B344" s="271"/>
    </row>
    <row r="345" spans="1:2" ht="18">
      <c r="A345" s="272"/>
      <c r="B345" s="271"/>
    </row>
    <row r="346" spans="1:2" ht="18">
      <c r="A346" s="272"/>
      <c r="B346" s="271"/>
    </row>
    <row r="347" spans="1:2" ht="18">
      <c r="A347" s="272"/>
      <c r="B347" s="271"/>
    </row>
    <row r="348" spans="1:2" ht="18">
      <c r="A348" s="272"/>
      <c r="B348" s="271"/>
    </row>
    <row r="349" spans="1:2" ht="18">
      <c r="A349" s="272"/>
      <c r="B349" s="271"/>
    </row>
    <row r="350" spans="1:2" ht="18">
      <c r="A350" s="272"/>
      <c r="B350" s="271"/>
    </row>
    <row r="351" spans="1:2" ht="18">
      <c r="A351" s="272"/>
      <c r="B351" s="271"/>
    </row>
    <row r="352" spans="1:2" ht="18">
      <c r="A352" s="272"/>
      <c r="B352" s="271"/>
    </row>
    <row r="353" spans="1:2" ht="18">
      <c r="A353" s="272"/>
      <c r="B353" s="271"/>
    </row>
    <row r="354" spans="1:2" ht="18">
      <c r="A354" s="272"/>
      <c r="B354" s="271"/>
    </row>
    <row r="355" spans="1:2" ht="18">
      <c r="A355" s="272"/>
      <c r="B355" s="271"/>
    </row>
    <row r="356" spans="1:2" ht="18">
      <c r="A356" s="272"/>
      <c r="B356" s="271"/>
    </row>
    <row r="357" spans="1:2" ht="18">
      <c r="A357" s="272"/>
      <c r="B357" s="271"/>
    </row>
    <row r="358" spans="1:2" ht="18">
      <c r="A358" s="272"/>
      <c r="B358" s="271"/>
    </row>
    <row r="359" spans="1:2" ht="18">
      <c r="A359" s="272"/>
      <c r="B359" s="271"/>
    </row>
    <row r="360" spans="1:2" ht="18">
      <c r="A360" s="272"/>
      <c r="B360" s="271"/>
    </row>
    <row r="361" spans="1:2" ht="18">
      <c r="A361" s="272"/>
      <c r="B361" s="271"/>
    </row>
    <row r="362" spans="1:2" ht="18">
      <c r="A362" s="272"/>
      <c r="B362" s="271"/>
    </row>
    <row r="363" spans="1:2" ht="18">
      <c r="A363" s="272"/>
      <c r="B363" s="271"/>
    </row>
    <row r="364" spans="1:2" ht="18">
      <c r="A364" s="272"/>
      <c r="B364" s="271"/>
    </row>
    <row r="365" spans="1:2" ht="18">
      <c r="A365" s="272"/>
      <c r="B365" s="271"/>
    </row>
    <row r="366" spans="1:2" ht="18">
      <c r="A366" s="272"/>
      <c r="B366" s="271"/>
    </row>
    <row r="367" spans="1:2" ht="18">
      <c r="A367" s="272"/>
      <c r="B367" s="271"/>
    </row>
    <row r="368" spans="1:2" ht="18">
      <c r="A368" s="272"/>
      <c r="B368" s="271"/>
    </row>
    <row r="369" spans="1:2" ht="18">
      <c r="A369" s="272"/>
      <c r="B369" s="271"/>
    </row>
    <row r="370" spans="1:2" ht="18">
      <c r="A370" s="272"/>
      <c r="B370" s="271"/>
    </row>
    <row r="371" spans="1:2" ht="18">
      <c r="A371" s="272"/>
      <c r="B371" s="271"/>
    </row>
    <row r="372" spans="1:2" ht="18">
      <c r="A372" s="272"/>
      <c r="B372" s="271"/>
    </row>
    <row r="373" spans="1:2" ht="18">
      <c r="A373" s="272"/>
      <c r="B373" s="271"/>
    </row>
    <row r="374" spans="1:2" ht="18">
      <c r="A374" s="272"/>
      <c r="B374" s="271"/>
    </row>
    <row r="375" spans="1:2" ht="18">
      <c r="A375" s="272"/>
      <c r="B375" s="271"/>
    </row>
    <row r="376" spans="1:2" ht="18">
      <c r="A376" s="272"/>
      <c r="B376" s="271"/>
    </row>
    <row r="377" spans="1:2" ht="18">
      <c r="A377" s="272"/>
      <c r="B377" s="271"/>
    </row>
    <row r="378" spans="1:2" ht="18">
      <c r="A378" s="272"/>
      <c r="B378" s="271"/>
    </row>
    <row r="379" spans="1:2" ht="18">
      <c r="A379" s="272"/>
      <c r="B379" s="271"/>
    </row>
    <row r="380" spans="1:2" ht="18">
      <c r="A380" s="272"/>
      <c r="B380" s="271"/>
    </row>
    <row r="381" spans="1:2" ht="18">
      <c r="A381" s="272"/>
      <c r="B381" s="271"/>
    </row>
    <row r="382" spans="1:2" ht="18">
      <c r="A382" s="272"/>
      <c r="B382" s="271"/>
    </row>
    <row r="383" spans="1:2" ht="18">
      <c r="A383" s="272"/>
      <c r="B383" s="271"/>
    </row>
    <row r="384" spans="1:2" ht="18">
      <c r="A384" s="272"/>
      <c r="B384" s="271"/>
    </row>
    <row r="385" spans="1:2" ht="18">
      <c r="A385" s="272"/>
      <c r="B385" s="271"/>
    </row>
    <row r="386" spans="1:2" ht="18">
      <c r="A386" s="272"/>
      <c r="B386" s="271"/>
    </row>
    <row r="387" spans="1:2" ht="18">
      <c r="A387" s="272"/>
      <c r="B387" s="271"/>
    </row>
    <row r="388" spans="1:2" ht="18">
      <c r="A388" s="272"/>
      <c r="B388" s="271"/>
    </row>
    <row r="389" spans="1:2" ht="18">
      <c r="A389" s="272"/>
      <c r="B389" s="271"/>
    </row>
    <row r="390" spans="1:2" ht="18">
      <c r="A390" s="272"/>
      <c r="B390" s="271"/>
    </row>
    <row r="391" spans="1:2" ht="18">
      <c r="A391" s="272"/>
      <c r="B391" s="271"/>
    </row>
    <row r="392" spans="1:2" ht="18">
      <c r="A392" s="272"/>
      <c r="B392" s="271"/>
    </row>
    <row r="393" spans="1:2" ht="18">
      <c r="A393" s="272"/>
      <c r="B393" s="271"/>
    </row>
    <row r="394" spans="1:2" ht="18">
      <c r="A394" s="272"/>
      <c r="B394" s="271"/>
    </row>
    <row r="395" spans="1:2" ht="18">
      <c r="A395" s="272"/>
      <c r="B395" s="271"/>
    </row>
    <row r="396" spans="1:2" ht="18">
      <c r="A396" s="272"/>
      <c r="B396" s="271"/>
    </row>
    <row r="397" spans="1:2" ht="18">
      <c r="A397" s="272"/>
      <c r="B397" s="271"/>
    </row>
    <row r="398" spans="1:2" ht="18">
      <c r="A398" s="272"/>
      <c r="B398" s="271"/>
    </row>
    <row r="399" spans="1:2" ht="18">
      <c r="A399" s="272"/>
      <c r="B399" s="271"/>
    </row>
    <row r="400" spans="1:2" ht="18">
      <c r="A400" s="272"/>
      <c r="B400" s="271"/>
    </row>
    <row r="401" spans="1:2" ht="18">
      <c r="A401" s="272"/>
      <c r="B401" s="271"/>
    </row>
    <row r="402" spans="1:2" ht="18">
      <c r="A402" s="272"/>
      <c r="B402" s="271"/>
    </row>
    <row r="403" spans="1:2" ht="18">
      <c r="A403" s="272"/>
      <c r="B403" s="271"/>
    </row>
    <row r="404" spans="1:2" ht="18">
      <c r="A404" s="272"/>
      <c r="B404" s="271"/>
    </row>
    <row r="405" spans="1:2" ht="18">
      <c r="A405" s="272"/>
      <c r="B405" s="271"/>
    </row>
    <row r="406" spans="1:2" ht="18">
      <c r="A406" s="272"/>
      <c r="B406" s="271"/>
    </row>
    <row r="407" spans="1:2" ht="18">
      <c r="A407" s="272"/>
      <c r="B407" s="271"/>
    </row>
    <row r="408" spans="1:2" ht="18">
      <c r="A408" s="272"/>
      <c r="B408" s="271"/>
    </row>
    <row r="409" spans="1:2" ht="18">
      <c r="A409" s="272"/>
      <c r="B409" s="271"/>
    </row>
    <row r="410" spans="1:2" ht="18">
      <c r="A410" s="272"/>
      <c r="B410" s="271"/>
    </row>
    <row r="411" spans="1:2" ht="18">
      <c r="A411" s="272"/>
      <c r="B411" s="271"/>
    </row>
    <row r="412" spans="1:2" ht="18">
      <c r="A412" s="272"/>
      <c r="B412" s="271"/>
    </row>
    <row r="413" spans="1:2" ht="18">
      <c r="A413" s="272"/>
      <c r="B413" s="271"/>
    </row>
    <row r="414" spans="1:2" ht="18">
      <c r="A414" s="272"/>
      <c r="B414" s="271"/>
    </row>
    <row r="415" spans="1:2" ht="18">
      <c r="A415" s="272"/>
      <c r="B415" s="271"/>
    </row>
    <row r="416" spans="1:2" ht="18">
      <c r="A416" s="272"/>
      <c r="B416" s="271"/>
    </row>
    <row r="417" spans="1:2" ht="18">
      <c r="A417" s="272"/>
      <c r="B417" s="271"/>
    </row>
    <row r="418" spans="1:2" ht="18">
      <c r="A418" s="272"/>
      <c r="B418" s="271"/>
    </row>
    <row r="419" spans="1:2" ht="18">
      <c r="A419" s="272"/>
      <c r="B419" s="271"/>
    </row>
    <row r="420" spans="1:2" ht="18">
      <c r="A420" s="272"/>
      <c r="B420" s="271"/>
    </row>
    <row r="421" spans="1:2" ht="18">
      <c r="A421" s="272"/>
      <c r="B421" s="271"/>
    </row>
    <row r="422" spans="1:2" ht="18">
      <c r="A422" s="272"/>
      <c r="B422" s="271"/>
    </row>
    <row r="423" spans="1:2" ht="18">
      <c r="A423" s="272"/>
      <c r="B423" s="271"/>
    </row>
    <row r="424" spans="1:2" ht="18">
      <c r="A424" s="272"/>
      <c r="B424" s="271"/>
    </row>
    <row r="425" spans="1:2" ht="18">
      <c r="A425" s="272"/>
      <c r="B425" s="271"/>
    </row>
    <row r="426" spans="1:2" ht="18">
      <c r="A426" s="272"/>
      <c r="B426" s="271"/>
    </row>
    <row r="427" spans="1:2" ht="18">
      <c r="A427" s="272"/>
      <c r="B427" s="271"/>
    </row>
    <row r="428" spans="1:2" ht="18">
      <c r="A428" s="272"/>
      <c r="B428" s="271"/>
    </row>
    <row r="429" spans="1:2" ht="18">
      <c r="A429" s="272"/>
      <c r="B429" s="271"/>
    </row>
    <row r="430" spans="1:2" ht="18">
      <c r="A430" s="272"/>
      <c r="B430" s="271"/>
    </row>
    <row r="431" spans="1:2" ht="18">
      <c r="A431" s="272"/>
      <c r="B431" s="271"/>
    </row>
    <row r="432" spans="1:2" ht="18">
      <c r="A432" s="272"/>
      <c r="B432" s="271"/>
    </row>
    <row r="433" spans="1:2" ht="18">
      <c r="A433" s="272"/>
      <c r="B433" s="271"/>
    </row>
    <row r="434" spans="1:2" ht="18">
      <c r="A434" s="272"/>
      <c r="B434" s="271"/>
    </row>
    <row r="435" spans="1:2" ht="18">
      <c r="A435" s="272"/>
      <c r="B435" s="271"/>
    </row>
    <row r="436" spans="1:2" ht="18">
      <c r="A436" s="272"/>
      <c r="B436" s="271"/>
    </row>
    <row r="437" spans="1:2" ht="18">
      <c r="A437" s="272"/>
      <c r="B437" s="271"/>
    </row>
    <row r="438" spans="1:2" ht="18">
      <c r="A438" s="272"/>
      <c r="B438" s="271"/>
    </row>
    <row r="439" spans="1:2" ht="18">
      <c r="A439" s="272"/>
      <c r="B439" s="271"/>
    </row>
    <row r="440" spans="1:2" ht="18">
      <c r="A440" s="272"/>
      <c r="B440" s="271"/>
    </row>
    <row r="441" spans="1:2" ht="18">
      <c r="A441" s="272"/>
      <c r="B441" s="271"/>
    </row>
    <row r="442" spans="1:2" ht="18">
      <c r="A442" s="272"/>
      <c r="B442" s="271"/>
    </row>
    <row r="443" spans="1:2" ht="18">
      <c r="A443" s="272"/>
      <c r="B443" s="271"/>
    </row>
    <row r="444" spans="1:2" ht="18">
      <c r="A444" s="272"/>
      <c r="B444" s="271"/>
    </row>
    <row r="445" spans="1:2" ht="18">
      <c r="A445" s="272"/>
      <c r="B445" s="271"/>
    </row>
    <row r="446" spans="1:2" ht="18">
      <c r="A446" s="272"/>
      <c r="B446" s="271"/>
    </row>
    <row r="447" spans="1:2" ht="18">
      <c r="A447" s="272"/>
      <c r="B447" s="271"/>
    </row>
    <row r="448" spans="1:2" ht="18">
      <c r="A448" s="272"/>
      <c r="B448" s="271"/>
    </row>
    <row r="449" spans="1:2" ht="18">
      <c r="A449" s="272"/>
      <c r="B449" s="271"/>
    </row>
    <row r="450" spans="1:2" ht="18">
      <c r="A450" s="272"/>
      <c r="B450" s="271"/>
    </row>
    <row r="451" spans="1:2" ht="18">
      <c r="A451" s="272"/>
      <c r="B451" s="271"/>
    </row>
    <row r="452" spans="1:2" ht="18">
      <c r="A452" s="272"/>
      <c r="B452" s="271"/>
    </row>
    <row r="453" spans="1:2" ht="18">
      <c r="A453" s="272"/>
      <c r="B453" s="271"/>
    </row>
    <row r="454" spans="1:2" ht="18">
      <c r="A454" s="272"/>
      <c r="B454" s="271"/>
    </row>
    <row r="455" spans="1:2" ht="18">
      <c r="A455" s="272"/>
      <c r="B455" s="271"/>
    </row>
    <row r="456" spans="1:2" ht="18">
      <c r="A456" s="272"/>
      <c r="B456" s="271"/>
    </row>
    <row r="457" spans="1:2" ht="18">
      <c r="A457" s="272"/>
      <c r="B457" s="271"/>
    </row>
    <row r="458" spans="1:2" ht="18">
      <c r="A458" s="272"/>
      <c r="B458" s="271"/>
    </row>
    <row r="459" spans="1:2" ht="18">
      <c r="A459" s="272"/>
      <c r="B459" s="271"/>
    </row>
    <row r="460" spans="1:2" ht="18">
      <c r="A460" s="272"/>
      <c r="B460" s="271"/>
    </row>
    <row r="461" spans="1:2" ht="18">
      <c r="A461" s="272"/>
      <c r="B461" s="271"/>
    </row>
    <row r="462" spans="1:2" ht="18">
      <c r="A462" s="272"/>
      <c r="B462" s="271"/>
    </row>
    <row r="463" spans="1:2" ht="18">
      <c r="A463" s="272"/>
      <c r="B463" s="271"/>
    </row>
    <row r="464" spans="1:2" ht="18">
      <c r="A464" s="272"/>
      <c r="B464" s="271"/>
    </row>
    <row r="465" spans="1:2" ht="18">
      <c r="A465" s="272"/>
      <c r="B465" s="271"/>
    </row>
    <row r="466" spans="1:2" ht="18">
      <c r="A466" s="272"/>
      <c r="B466" s="271"/>
    </row>
    <row r="467" spans="1:2" ht="18">
      <c r="A467" s="272"/>
      <c r="B467" s="271"/>
    </row>
    <row r="468" spans="1:2" ht="18">
      <c r="A468" s="272"/>
      <c r="B468" s="271"/>
    </row>
    <row r="469" spans="1:2" ht="18">
      <c r="A469" s="272"/>
      <c r="B469" s="271"/>
    </row>
    <row r="470" spans="1:2" ht="18">
      <c r="A470" s="272"/>
      <c r="B470" s="271"/>
    </row>
    <row r="471" spans="1:2" ht="18">
      <c r="A471" s="272"/>
      <c r="B471" s="271"/>
    </row>
    <row r="472" spans="1:2" ht="18">
      <c r="A472" s="272"/>
      <c r="B472" s="271"/>
    </row>
    <row r="473" spans="1:2" ht="18">
      <c r="A473" s="272"/>
      <c r="B473" s="271"/>
    </row>
    <row r="474" spans="1:2" ht="18">
      <c r="A474" s="272"/>
      <c r="B474" s="271"/>
    </row>
    <row r="475" spans="1:2" ht="18">
      <c r="A475" s="272"/>
      <c r="B475" s="271"/>
    </row>
    <row r="476" spans="1:2" ht="18">
      <c r="A476" s="272"/>
      <c r="B476" s="271"/>
    </row>
    <row r="477" spans="1:2" ht="18">
      <c r="A477" s="272"/>
      <c r="B477" s="271"/>
    </row>
    <row r="478" spans="1:2" ht="18">
      <c r="A478" s="272"/>
      <c r="B478" s="271"/>
    </row>
    <row r="479" spans="1:2" ht="18">
      <c r="A479" s="272"/>
      <c r="B479" s="271"/>
    </row>
    <row r="480" spans="1:2" ht="18">
      <c r="A480" s="272"/>
      <c r="B480" s="271"/>
    </row>
    <row r="481" spans="1:2" ht="18">
      <c r="A481" s="272"/>
      <c r="B481" s="271"/>
    </row>
    <row r="482" spans="1:2" ht="18">
      <c r="A482" s="272"/>
      <c r="B482" s="271"/>
    </row>
    <row r="483" spans="1:2" ht="18">
      <c r="A483" s="272"/>
      <c r="B483" s="271"/>
    </row>
    <row r="484" spans="1:2" ht="18">
      <c r="A484" s="272"/>
      <c r="B484" s="271"/>
    </row>
    <row r="485" spans="1:2" ht="18">
      <c r="A485" s="272"/>
      <c r="B485" s="271"/>
    </row>
    <row r="486" spans="1:2" ht="18">
      <c r="A486" s="272"/>
      <c r="B486" s="271"/>
    </row>
    <row r="487" spans="1:2" ht="18">
      <c r="A487" s="272"/>
      <c r="B487" s="271"/>
    </row>
    <row r="488" spans="1:2" ht="18">
      <c r="A488" s="272"/>
      <c r="B488" s="271"/>
    </row>
    <row r="489" spans="1:2" ht="18">
      <c r="A489" s="272"/>
      <c r="B489" s="271"/>
    </row>
    <row r="490" spans="1:2" ht="18">
      <c r="A490" s="272"/>
      <c r="B490" s="271"/>
    </row>
    <row r="491" spans="1:2" ht="18">
      <c r="A491" s="272"/>
      <c r="B491" s="271"/>
    </row>
    <row r="492" spans="1:2" ht="18">
      <c r="A492" s="272"/>
      <c r="B492" s="271"/>
    </row>
    <row r="493" spans="1:2" ht="18">
      <c r="A493" s="272"/>
      <c r="B493" s="271"/>
    </row>
    <row r="494" spans="1:2" ht="18">
      <c r="A494" s="272"/>
      <c r="B494" s="271"/>
    </row>
    <row r="495" spans="1:2" ht="18">
      <c r="A495" s="272"/>
      <c r="B495" s="271"/>
    </row>
    <row r="496" spans="1:2" ht="18">
      <c r="A496" s="272"/>
      <c r="B496" s="271"/>
    </row>
    <row r="497" spans="1:2" ht="18">
      <c r="A497" s="272"/>
      <c r="B497" s="271"/>
    </row>
    <row r="498" spans="1:2" ht="18">
      <c r="A498" s="272"/>
      <c r="B498" s="271"/>
    </row>
    <row r="499" spans="1:2" ht="18">
      <c r="A499" s="272"/>
      <c r="B499" s="271"/>
    </row>
    <row r="500" spans="1:2" ht="18">
      <c r="A500" s="272"/>
      <c r="B500" s="271"/>
    </row>
    <row r="501" spans="1:2" ht="18">
      <c r="A501" s="272"/>
      <c r="B501" s="271"/>
    </row>
    <row r="502" spans="1:2" ht="18">
      <c r="A502" s="272"/>
      <c r="B502" s="271"/>
    </row>
    <row r="503" spans="1:2" ht="18">
      <c r="A503" s="272"/>
      <c r="B503" s="271"/>
    </row>
    <row r="504" spans="1:2" ht="18">
      <c r="A504" s="272"/>
      <c r="B504" s="271"/>
    </row>
    <row r="505" spans="1:2" ht="18">
      <c r="A505" s="272"/>
      <c r="B505" s="271"/>
    </row>
    <row r="506" spans="1:2" ht="18">
      <c r="A506" s="272"/>
      <c r="B506" s="271"/>
    </row>
    <row r="507" spans="1:2" ht="18">
      <c r="A507" s="272"/>
      <c r="B507" s="271"/>
    </row>
    <row r="508" spans="1:2" ht="18">
      <c r="A508" s="272"/>
      <c r="B508" s="271"/>
    </row>
    <row r="509" spans="1:2" ht="18">
      <c r="A509" s="272"/>
      <c r="B509" s="271"/>
    </row>
    <row r="510" spans="1:2" ht="18">
      <c r="A510" s="272"/>
      <c r="B510" s="271"/>
    </row>
    <row r="511" spans="1:2" ht="18">
      <c r="A511" s="272"/>
      <c r="B511" s="271"/>
    </row>
    <row r="512" spans="1:2" ht="18">
      <c r="A512" s="272"/>
      <c r="B512" s="271"/>
    </row>
    <row r="513" spans="1:2" ht="18">
      <c r="A513" s="272"/>
      <c r="B513" s="271"/>
    </row>
    <row r="514" spans="1:2" ht="18">
      <c r="A514" s="272"/>
      <c r="B514" s="271"/>
    </row>
    <row r="515" spans="1:2" ht="18">
      <c r="A515" s="272"/>
      <c r="B515" s="271"/>
    </row>
    <row r="516" spans="1:2" ht="18">
      <c r="A516" s="272"/>
      <c r="B516" s="271"/>
    </row>
    <row r="517" spans="1:2" ht="18">
      <c r="A517" s="272"/>
      <c r="B517" s="271"/>
    </row>
    <row r="518" spans="1:2" ht="18">
      <c r="A518" s="272"/>
      <c r="B518" s="271"/>
    </row>
    <row r="519" spans="1:2" ht="18">
      <c r="A519" s="272"/>
      <c r="B519" s="271"/>
    </row>
    <row r="520" spans="1:2" ht="18">
      <c r="A520" s="272"/>
      <c r="B520" s="271"/>
    </row>
    <row r="521" spans="1:2" ht="18">
      <c r="A521" s="272"/>
      <c r="B521" s="271"/>
    </row>
    <row r="522" spans="1:2" ht="18">
      <c r="A522" s="272"/>
      <c r="B522" s="271"/>
    </row>
    <row r="523" spans="1:2" ht="18">
      <c r="A523" s="272"/>
      <c r="B523" s="271"/>
    </row>
    <row r="524" spans="1:2" ht="18">
      <c r="A524" s="272"/>
      <c r="B524" s="271"/>
    </row>
    <row r="525" spans="1:2" ht="18">
      <c r="A525" s="272"/>
      <c r="B525" s="271"/>
    </row>
    <row r="526" spans="1:2" ht="18">
      <c r="A526" s="272"/>
      <c r="B526" s="271"/>
    </row>
    <row r="527" spans="1:2" ht="18">
      <c r="A527" s="272"/>
      <c r="B527" s="271"/>
    </row>
    <row r="528" spans="1:2" ht="18">
      <c r="A528" s="272"/>
      <c r="B528" s="271"/>
    </row>
    <row r="529" spans="1:2" ht="18">
      <c r="A529" s="272"/>
      <c r="B529" s="271"/>
    </row>
    <row r="530" spans="1:2" ht="18">
      <c r="A530" s="272"/>
      <c r="B530" s="271"/>
    </row>
    <row r="531" spans="1:2" ht="18">
      <c r="A531" s="272"/>
      <c r="B531" s="271"/>
    </row>
    <row r="532" spans="1:2" ht="18">
      <c r="A532" s="272"/>
      <c r="B532" s="271"/>
    </row>
    <row r="533" spans="1:2" ht="18">
      <c r="A533" s="272"/>
      <c r="B533" s="271"/>
    </row>
    <row r="534" spans="1:2" ht="18">
      <c r="A534" s="272"/>
      <c r="B534" s="271"/>
    </row>
    <row r="535" spans="1:2" ht="18">
      <c r="A535" s="272"/>
      <c r="B535" s="271"/>
    </row>
    <row r="536" spans="1:2" ht="18">
      <c r="A536" s="272"/>
      <c r="B536" s="271"/>
    </row>
    <row r="537" spans="1:2" ht="18">
      <c r="A537" s="272"/>
      <c r="B537" s="271"/>
    </row>
    <row r="538" spans="1:2" ht="18">
      <c r="A538" s="272"/>
      <c r="B538" s="271"/>
    </row>
    <row r="539" spans="1:2" ht="18">
      <c r="A539" s="272"/>
      <c r="B539" s="271"/>
    </row>
    <row r="540" spans="1:2" ht="18">
      <c r="A540" s="272"/>
      <c r="B540" s="271"/>
    </row>
    <row r="541" spans="1:2" ht="18">
      <c r="A541" s="272"/>
      <c r="B541" s="271"/>
    </row>
    <row r="542" spans="1:2" ht="18">
      <c r="A542" s="272"/>
      <c r="B542" s="271"/>
    </row>
    <row r="543" spans="1:2" ht="18">
      <c r="A543" s="272"/>
      <c r="B543" s="271"/>
    </row>
    <row r="544" spans="1:2" ht="18">
      <c r="A544" s="272"/>
      <c r="B544" s="271"/>
    </row>
    <row r="545" spans="1:2" ht="18">
      <c r="A545" s="272"/>
      <c r="B545" s="271"/>
    </row>
    <row r="546" spans="1:2" ht="18">
      <c r="A546" s="272"/>
      <c r="B546" s="271"/>
    </row>
    <row r="547" spans="1:2" ht="18">
      <c r="A547" s="272"/>
      <c r="B547" s="271"/>
    </row>
    <row r="548" spans="1:2" ht="18">
      <c r="A548" s="272"/>
      <c r="B548" s="271"/>
    </row>
    <row r="549" spans="1:2" ht="18">
      <c r="A549" s="272"/>
      <c r="B549" s="271"/>
    </row>
    <row r="550" spans="1:2" ht="18">
      <c r="A550" s="272"/>
      <c r="B550" s="271"/>
    </row>
    <row r="551" spans="1:2" ht="18">
      <c r="A551" s="272"/>
      <c r="B551" s="271"/>
    </row>
    <row r="552" spans="1:2" ht="18">
      <c r="A552" s="272"/>
      <c r="B552" s="271"/>
    </row>
    <row r="553" spans="1:2" ht="18">
      <c r="A553" s="272"/>
      <c r="B553" s="271"/>
    </row>
    <row r="554" spans="1:2" ht="18">
      <c r="A554" s="272"/>
      <c r="B554" s="271"/>
    </row>
    <row r="555" spans="1:2" ht="18">
      <c r="A555" s="272"/>
      <c r="B555" s="271"/>
    </row>
    <row r="556" spans="1:2" ht="18">
      <c r="A556" s="272"/>
      <c r="B556" s="271"/>
    </row>
    <row r="557" spans="1:2" ht="18">
      <c r="A557" s="272"/>
      <c r="B557" s="271"/>
    </row>
    <row r="558" spans="1:2" ht="18">
      <c r="A558" s="272"/>
      <c r="B558" s="271"/>
    </row>
    <row r="559" spans="1:2" ht="18">
      <c r="A559" s="272"/>
      <c r="B559" s="271"/>
    </row>
    <row r="560" spans="1:2" ht="18">
      <c r="A560" s="272"/>
      <c r="B560" s="271"/>
    </row>
    <row r="561" spans="1:2" ht="18">
      <c r="A561" s="272"/>
      <c r="B561" s="271"/>
    </row>
    <row r="562" spans="1:2" ht="18">
      <c r="A562" s="272"/>
      <c r="B562" s="271"/>
    </row>
    <row r="563" spans="1:2" ht="18">
      <c r="A563" s="272"/>
      <c r="B563" s="271"/>
    </row>
    <row r="564" spans="1:2" ht="18">
      <c r="A564" s="272"/>
      <c r="B564" s="271"/>
    </row>
    <row r="565" spans="1:2" ht="18">
      <c r="A565" s="272"/>
      <c r="B565" s="271"/>
    </row>
    <row r="566" spans="1:2" ht="18">
      <c r="A566" s="272"/>
      <c r="B566" s="271"/>
    </row>
    <row r="567" spans="1:2" ht="18">
      <c r="A567" s="272"/>
      <c r="B567" s="271"/>
    </row>
    <row r="568" spans="1:2" ht="18">
      <c r="A568" s="272"/>
      <c r="B568" s="271"/>
    </row>
    <row r="569" spans="1:2" ht="18">
      <c r="A569" s="272"/>
      <c r="B569" s="271"/>
    </row>
    <row r="570" spans="1:2" ht="18">
      <c r="A570" s="272"/>
      <c r="B570" s="271"/>
    </row>
    <row r="571" spans="1:2" ht="18">
      <c r="A571" s="272"/>
      <c r="B571" s="271"/>
    </row>
    <row r="572" spans="1:2" ht="18">
      <c r="A572" s="272"/>
      <c r="B572" s="271"/>
    </row>
    <row r="573" spans="1:2" ht="18">
      <c r="A573" s="272"/>
      <c r="B573" s="271"/>
    </row>
    <row r="574" spans="1:2" ht="18">
      <c r="A574" s="272"/>
      <c r="B574" s="271"/>
    </row>
    <row r="575" spans="1:2" ht="18">
      <c r="A575" s="272"/>
      <c r="B575" s="271"/>
    </row>
    <row r="576" spans="1:2" ht="18">
      <c r="A576" s="272"/>
      <c r="B576" s="271"/>
    </row>
    <row r="577" spans="1:2" ht="18">
      <c r="A577" s="272"/>
      <c r="B577" s="271"/>
    </row>
    <row r="578" spans="1:2" ht="18">
      <c r="A578" s="272"/>
      <c r="B578" s="271"/>
    </row>
    <row r="579" spans="1:2" ht="18">
      <c r="A579" s="272"/>
      <c r="B579" s="271"/>
    </row>
    <row r="580" spans="1:2" ht="18">
      <c r="A580" s="272"/>
      <c r="B580" s="271"/>
    </row>
    <row r="581" spans="1:2" ht="18">
      <c r="A581" s="272"/>
      <c r="B581" s="271"/>
    </row>
    <row r="582" spans="1:2" ht="18">
      <c r="A582" s="272"/>
      <c r="B582" s="271"/>
    </row>
    <row r="583" spans="1:2" ht="18">
      <c r="A583" s="272"/>
      <c r="B583" s="271"/>
    </row>
    <row r="584" spans="1:2" ht="18">
      <c r="A584" s="272"/>
      <c r="B584" s="271"/>
    </row>
    <row r="585" spans="1:2" ht="18">
      <c r="A585" s="272"/>
      <c r="B585" s="271"/>
    </row>
    <row r="586" spans="1:2" ht="18">
      <c r="A586" s="272"/>
      <c r="B586" s="271"/>
    </row>
    <row r="587" spans="1:2" ht="18">
      <c r="A587" s="272"/>
      <c r="B587" s="271"/>
    </row>
    <row r="588" spans="1:2" ht="18">
      <c r="A588" s="272"/>
      <c r="B588" s="271"/>
    </row>
    <row r="589" spans="1:2" ht="18">
      <c r="A589" s="272"/>
      <c r="B589" s="271"/>
    </row>
    <row r="590" spans="1:2" ht="18">
      <c r="A590" s="272"/>
      <c r="B590" s="271"/>
    </row>
    <row r="591" spans="1:2" ht="18">
      <c r="A591" s="272"/>
      <c r="B591" s="271"/>
    </row>
    <row r="592" spans="1:2" ht="18">
      <c r="A592" s="272"/>
      <c r="B592" s="271"/>
    </row>
    <row r="593" spans="1:2" ht="18">
      <c r="A593" s="272"/>
      <c r="B593" s="271"/>
    </row>
    <row r="594" spans="1:2" ht="18">
      <c r="A594" s="272"/>
      <c r="B594" s="271"/>
    </row>
    <row r="595" spans="1:2" ht="18">
      <c r="A595" s="272"/>
      <c r="B595" s="271"/>
    </row>
    <row r="596" spans="1:2" ht="18">
      <c r="A596" s="272"/>
      <c r="B596" s="271"/>
    </row>
    <row r="597" spans="1:2" ht="18">
      <c r="A597" s="272"/>
      <c r="B597" s="271"/>
    </row>
    <row r="598" spans="1:2" ht="18">
      <c r="A598" s="272"/>
      <c r="B598" s="271"/>
    </row>
    <row r="599" spans="1:2" ht="18">
      <c r="A599" s="272"/>
      <c r="B599" s="271"/>
    </row>
    <row r="600" spans="1:2" ht="18">
      <c r="A600" s="272"/>
      <c r="B600" s="271"/>
    </row>
    <row r="601" spans="1:2" ht="18">
      <c r="A601" s="272"/>
      <c r="B601" s="271"/>
    </row>
    <row r="602" spans="1:2" ht="18">
      <c r="A602" s="272"/>
      <c r="B602" s="271"/>
    </row>
    <row r="603" spans="1:2" ht="18">
      <c r="A603" s="272"/>
      <c r="B603" s="271"/>
    </row>
    <row r="604" spans="1:2" ht="18">
      <c r="A604" s="272"/>
      <c r="B604" s="271"/>
    </row>
    <row r="605" spans="1:2" ht="18">
      <c r="A605" s="272"/>
      <c r="B605" s="271"/>
    </row>
    <row r="606" spans="1:2" ht="18">
      <c r="A606" s="272"/>
      <c r="B606" s="271"/>
    </row>
    <row r="607" spans="1:2" ht="18">
      <c r="A607" s="272"/>
      <c r="B607" s="271"/>
    </row>
    <row r="608" spans="1:2" ht="18">
      <c r="A608" s="272"/>
      <c r="B608" s="271"/>
    </row>
    <row r="609" spans="1:2" ht="18">
      <c r="A609" s="272"/>
      <c r="B609" s="271"/>
    </row>
    <row r="610" spans="1:2" ht="18">
      <c r="A610" s="272"/>
      <c r="B610" s="271"/>
    </row>
    <row r="611" spans="1:2" ht="18">
      <c r="A611" s="272"/>
      <c r="B611" s="271"/>
    </row>
    <row r="612" spans="1:2" ht="18">
      <c r="A612" s="272"/>
      <c r="B612" s="271"/>
    </row>
    <row r="613" spans="1:2" ht="18">
      <c r="A613" s="272"/>
      <c r="B613" s="271"/>
    </row>
    <row r="614" spans="1:2" ht="18">
      <c r="A614" s="272"/>
      <c r="B614" s="271"/>
    </row>
    <row r="615" spans="1:2" ht="18">
      <c r="A615" s="272"/>
      <c r="B615" s="271"/>
    </row>
    <row r="616" spans="1:2" ht="18">
      <c r="A616" s="272"/>
      <c r="B616" s="271"/>
    </row>
    <row r="617" spans="1:2" ht="18">
      <c r="A617" s="272"/>
      <c r="B617" s="271"/>
    </row>
    <row r="618" spans="1:2" ht="18">
      <c r="A618" s="272"/>
      <c r="B618" s="271"/>
    </row>
    <row r="619" spans="1:2" ht="18">
      <c r="A619" s="272"/>
      <c r="B619" s="271"/>
    </row>
    <row r="620" spans="1:2" ht="18">
      <c r="A620" s="272"/>
      <c r="B620" s="271"/>
    </row>
    <row r="621" spans="1:2" ht="18">
      <c r="A621" s="272"/>
      <c r="B621" s="271"/>
    </row>
    <row r="622" spans="1:2" ht="18">
      <c r="A622" s="272"/>
      <c r="B622" s="271"/>
    </row>
    <row r="623" spans="1:2" ht="18">
      <c r="A623" s="272"/>
      <c r="B623" s="271"/>
    </row>
    <row r="624" spans="1:2" ht="18">
      <c r="A624" s="272"/>
      <c r="B624" s="271"/>
    </row>
    <row r="625" spans="1:2" ht="18">
      <c r="A625" s="272"/>
      <c r="B625" s="271"/>
    </row>
    <row r="626" spans="1:2" ht="18">
      <c r="A626" s="272"/>
      <c r="B626" s="271"/>
    </row>
    <row r="627" spans="1:2" ht="18">
      <c r="A627" s="272"/>
      <c r="B627" s="271"/>
    </row>
    <row r="628" spans="1:2" ht="18">
      <c r="A628" s="272"/>
      <c r="B628" s="271"/>
    </row>
    <row r="629" spans="1:2" ht="18">
      <c r="A629" s="272"/>
      <c r="B629" s="271"/>
    </row>
    <row r="630" spans="1:2" ht="18">
      <c r="A630" s="272"/>
      <c r="B630" s="271"/>
    </row>
    <row r="631" spans="1:2" ht="18">
      <c r="A631" s="272"/>
      <c r="B631" s="271"/>
    </row>
    <row r="632" spans="1:2" ht="18">
      <c r="A632" s="272"/>
      <c r="B632" s="271"/>
    </row>
    <row r="633" spans="1:2" ht="18">
      <c r="A633" s="272"/>
      <c r="B633" s="271"/>
    </row>
    <row r="634" spans="1:2" ht="18">
      <c r="A634" s="272"/>
      <c r="B634" s="271"/>
    </row>
    <row r="635" spans="1:2" ht="18">
      <c r="A635" s="272"/>
      <c r="B635" s="271"/>
    </row>
    <row r="636" spans="1:2" ht="18">
      <c r="A636" s="272"/>
      <c r="B636" s="271"/>
    </row>
    <row r="637" spans="1:2" ht="18">
      <c r="A637" s="272"/>
      <c r="B637" s="271"/>
    </row>
    <row r="638" spans="1:2" ht="18">
      <c r="A638" s="272"/>
      <c r="B638" s="271"/>
    </row>
    <row r="639" spans="1:2" ht="18">
      <c r="A639" s="272"/>
      <c r="B639" s="271"/>
    </row>
    <row r="640" spans="1:2" ht="18">
      <c r="A640" s="272"/>
      <c r="B640" s="271"/>
    </row>
    <row r="641" spans="1:2" ht="18">
      <c r="A641" s="272"/>
      <c r="B641" s="271"/>
    </row>
    <row r="642" spans="1:2" ht="18">
      <c r="A642" s="272"/>
      <c r="B642" s="271"/>
    </row>
    <row r="643" spans="1:2" ht="18">
      <c r="A643" s="272"/>
      <c r="B643" s="271"/>
    </row>
    <row r="644" spans="1:2" ht="18">
      <c r="A644" s="272"/>
      <c r="B644" s="271"/>
    </row>
    <row r="645" spans="1:2" ht="18">
      <c r="A645" s="272"/>
      <c r="B645" s="271"/>
    </row>
    <row r="646" spans="1:2" ht="18">
      <c r="A646" s="272"/>
      <c r="B646" s="271"/>
    </row>
    <row r="647" spans="1:2" ht="18">
      <c r="A647" s="272"/>
      <c r="B647" s="271"/>
    </row>
    <row r="648" spans="1:2" ht="18">
      <c r="A648" s="272"/>
      <c r="B648" s="271"/>
    </row>
    <row r="649" spans="1:2" ht="18">
      <c r="A649" s="272"/>
      <c r="B649" s="271"/>
    </row>
    <row r="650" spans="1:2" ht="18">
      <c r="A650" s="272"/>
      <c r="B650" s="271"/>
    </row>
    <row r="651" spans="1:2" ht="18">
      <c r="A651" s="272"/>
      <c r="B651" s="271"/>
    </row>
    <row r="652" spans="1:2" ht="18">
      <c r="A652" s="272"/>
      <c r="B652" s="271"/>
    </row>
    <row r="653" spans="1:2" ht="18">
      <c r="A653" s="272"/>
      <c r="B653" s="271"/>
    </row>
    <row r="654" spans="1:2" ht="18">
      <c r="A654" s="272"/>
      <c r="B654" s="271"/>
    </row>
    <row r="655" spans="1:2" ht="18">
      <c r="A655" s="272"/>
      <c r="B655" s="271"/>
    </row>
    <row r="656" spans="1:2" ht="18">
      <c r="A656" s="272"/>
      <c r="B656" s="271"/>
    </row>
    <row r="657" spans="1:2" ht="18">
      <c r="A657" s="272"/>
      <c r="B657" s="271"/>
    </row>
    <row r="658" spans="1:2" ht="18">
      <c r="A658" s="272"/>
      <c r="B658" s="271"/>
    </row>
    <row r="659" spans="1:2" ht="18">
      <c r="A659" s="272"/>
      <c r="B659" s="271"/>
    </row>
    <row r="660" spans="1:2" ht="18">
      <c r="A660" s="272"/>
      <c r="B660" s="271"/>
    </row>
    <row r="661" spans="1:2" ht="18">
      <c r="A661" s="272"/>
      <c r="B661" s="271"/>
    </row>
    <row r="662" spans="1:2" ht="18">
      <c r="A662" s="272"/>
      <c r="B662" s="271"/>
    </row>
    <row r="663" spans="1:2" ht="18">
      <c r="A663" s="272"/>
      <c r="B663" s="271"/>
    </row>
    <row r="664" spans="1:2" ht="18">
      <c r="A664" s="272"/>
      <c r="B664" s="271"/>
    </row>
    <row r="665" spans="1:2" ht="18">
      <c r="A665" s="272"/>
      <c r="B665" s="271"/>
    </row>
    <row r="666" spans="1:2" ht="18">
      <c r="A666" s="272"/>
      <c r="B666" s="271"/>
    </row>
    <row r="667" spans="1:2" ht="18">
      <c r="A667" s="272"/>
      <c r="B667" s="271"/>
    </row>
    <row r="668" spans="1:2" ht="18">
      <c r="A668" s="272"/>
      <c r="B668" s="271"/>
    </row>
    <row r="669" spans="1:2" ht="18">
      <c r="A669" s="272"/>
      <c r="B669" s="271"/>
    </row>
    <row r="670" spans="1:2" ht="18">
      <c r="A670" s="272"/>
      <c r="B670" s="271"/>
    </row>
    <row r="671" spans="1:2" ht="18">
      <c r="A671" s="272"/>
      <c r="B671" s="271"/>
    </row>
    <row r="672" spans="1:2" ht="18">
      <c r="A672" s="272"/>
      <c r="B672" s="271"/>
    </row>
    <row r="673" spans="1:2" ht="18">
      <c r="A673" s="272"/>
      <c r="B673" s="271"/>
    </row>
    <row r="674" spans="1:2" ht="18">
      <c r="A674" s="272"/>
      <c r="B674" s="271"/>
    </row>
    <row r="675" spans="1:2" ht="18">
      <c r="A675" s="272"/>
      <c r="B675" s="271"/>
    </row>
    <row r="676" spans="1:2" ht="18">
      <c r="A676" s="272"/>
      <c r="B676" s="271"/>
    </row>
    <row r="677" spans="1:2" ht="18">
      <c r="A677" s="272"/>
      <c r="B677" s="271"/>
    </row>
    <row r="678" spans="1:2" ht="18">
      <c r="A678" s="272"/>
      <c r="B678" s="271"/>
    </row>
    <row r="679" spans="1:2" ht="18">
      <c r="A679" s="272"/>
      <c r="B679" s="271"/>
    </row>
    <row r="680" spans="1:2" ht="18">
      <c r="A680" s="272"/>
      <c r="B680" s="271"/>
    </row>
    <row r="681" spans="1:2" ht="18">
      <c r="A681" s="272"/>
      <c r="B681" s="271"/>
    </row>
    <row r="682" spans="1:2" ht="18">
      <c r="A682" s="272"/>
      <c r="B682" s="271"/>
    </row>
    <row r="683" spans="1:2" ht="18">
      <c r="A683" s="272"/>
      <c r="B683" s="271"/>
    </row>
    <row r="684" spans="1:2" ht="18">
      <c r="A684" s="272"/>
      <c r="B684" s="271"/>
    </row>
    <row r="685" spans="1:2" ht="18">
      <c r="A685" s="272"/>
      <c r="B685" s="271"/>
    </row>
    <row r="686" spans="1:2" ht="18">
      <c r="A686" s="272"/>
      <c r="B686" s="271"/>
    </row>
    <row r="687" spans="1:2" ht="18">
      <c r="A687" s="272"/>
      <c r="B687" s="271"/>
    </row>
    <row r="688" spans="1:2" ht="18">
      <c r="A688" s="272"/>
      <c r="B688" s="271"/>
    </row>
    <row r="689" spans="1:2" ht="18">
      <c r="A689" s="272"/>
      <c r="B689" s="271"/>
    </row>
    <row r="690" spans="1:2" ht="18">
      <c r="A690" s="272"/>
      <c r="B690" s="271"/>
    </row>
    <row r="691" spans="1:2" ht="18">
      <c r="A691" s="272"/>
      <c r="B691" s="271"/>
    </row>
    <row r="692" spans="1:2" ht="18">
      <c r="A692" s="272"/>
      <c r="B692" s="271"/>
    </row>
    <row r="693" spans="1:2" ht="18">
      <c r="A693" s="272"/>
      <c r="B693" s="271"/>
    </row>
    <row r="694" spans="1:2" ht="18">
      <c r="A694" s="272"/>
      <c r="B694" s="271"/>
    </row>
    <row r="695" spans="1:2" ht="18">
      <c r="A695" s="272"/>
      <c r="B695" s="271"/>
    </row>
    <row r="696" spans="1:2" ht="18">
      <c r="A696" s="272"/>
      <c r="B696" s="271"/>
    </row>
    <row r="697" spans="1:2" ht="18">
      <c r="A697" s="272"/>
      <c r="B697" s="271"/>
    </row>
    <row r="698" spans="1:2" ht="18">
      <c r="A698" s="272"/>
      <c r="B698" s="271"/>
    </row>
    <row r="699" spans="1:2" ht="18">
      <c r="A699" s="272"/>
      <c r="B699" s="271"/>
    </row>
    <row r="700" spans="1:2" ht="18">
      <c r="A700" s="272"/>
      <c r="B700" s="271"/>
    </row>
    <row r="701" spans="1:2" ht="18">
      <c r="A701" s="272"/>
      <c r="B701" s="271"/>
    </row>
    <row r="702" spans="1:2" ht="18">
      <c r="A702" s="272"/>
      <c r="B702" s="271"/>
    </row>
    <row r="703" spans="1:2" ht="18">
      <c r="A703" s="272"/>
      <c r="B703" s="271"/>
    </row>
    <row r="704" spans="1:2" ht="18">
      <c r="A704" s="272"/>
      <c r="B704" s="271"/>
    </row>
    <row r="705" spans="1:2" ht="18">
      <c r="A705" s="272"/>
      <c r="B705" s="271"/>
    </row>
    <row r="706" spans="1:2" ht="18">
      <c r="A706" s="272"/>
      <c r="B706" s="271"/>
    </row>
    <row r="707" spans="1:2" ht="18">
      <c r="A707" s="272"/>
      <c r="B707" s="271"/>
    </row>
    <row r="708" spans="1:2" ht="18">
      <c r="A708" s="272"/>
      <c r="B708" s="271"/>
    </row>
    <row r="709" spans="1:2" ht="18">
      <c r="A709" s="272"/>
      <c r="B709" s="271"/>
    </row>
    <row r="710" spans="1:2" ht="18">
      <c r="A710" s="272"/>
      <c r="B710" s="271"/>
    </row>
    <row r="711" spans="1:2" ht="18">
      <c r="A711" s="272"/>
      <c r="B711" s="271"/>
    </row>
    <row r="712" spans="1:2" ht="18">
      <c r="A712" s="272"/>
      <c r="B712" s="271"/>
    </row>
    <row r="713" spans="1:2" ht="18">
      <c r="A713" s="272"/>
      <c r="B713" s="271"/>
    </row>
    <row r="714" spans="1:2" ht="18">
      <c r="A714" s="272"/>
      <c r="B714" s="271"/>
    </row>
    <row r="715" spans="1:2" ht="18">
      <c r="A715" s="272"/>
      <c r="B715" s="271"/>
    </row>
    <row r="716" spans="1:2" ht="18">
      <c r="A716" s="272"/>
      <c r="B716" s="271"/>
    </row>
    <row r="717" spans="1:2" ht="18">
      <c r="A717" s="272"/>
      <c r="B717" s="271"/>
    </row>
    <row r="718" spans="1:2" ht="18">
      <c r="A718" s="272"/>
      <c r="B718" s="271"/>
    </row>
    <row r="719" spans="1:2" ht="18">
      <c r="A719" s="272"/>
      <c r="B719" s="271"/>
    </row>
    <row r="720" spans="1:2" ht="18">
      <c r="A720" s="272"/>
      <c r="B720" s="271"/>
    </row>
    <row r="721" spans="1:2" ht="18">
      <c r="A721" s="272"/>
      <c r="B721" s="271"/>
    </row>
    <row r="722" spans="1:2" ht="18">
      <c r="A722" s="272"/>
      <c r="B722" s="271"/>
    </row>
    <row r="723" spans="1:2" ht="18">
      <c r="A723" s="272"/>
      <c r="B723" s="271"/>
    </row>
    <row r="724" spans="1:2" ht="18">
      <c r="A724" s="272"/>
      <c r="B724" s="271"/>
    </row>
    <row r="725" spans="1:2" ht="18">
      <c r="A725" s="272"/>
      <c r="B725" s="271"/>
    </row>
    <row r="726" spans="1:2" ht="18">
      <c r="A726" s="272"/>
      <c r="B726" s="271"/>
    </row>
    <row r="727" spans="1:2" ht="18">
      <c r="A727" s="272"/>
      <c r="B727" s="271"/>
    </row>
    <row r="728" spans="1:2" ht="18">
      <c r="A728" s="272"/>
      <c r="B728" s="271"/>
    </row>
    <row r="729" spans="1:2" ht="18">
      <c r="A729" s="272"/>
      <c r="B729" s="271"/>
    </row>
    <row r="730" spans="1:2" ht="18">
      <c r="A730" s="272"/>
      <c r="B730" s="271"/>
    </row>
    <row r="731" spans="1:2" ht="18">
      <c r="A731" s="272"/>
      <c r="B731" s="271"/>
    </row>
    <row r="732" spans="1:2" ht="18">
      <c r="A732" s="272"/>
      <c r="B732" s="271"/>
    </row>
    <row r="733" spans="1:2" ht="18">
      <c r="A733" s="272"/>
      <c r="B733" s="271"/>
    </row>
    <row r="734" spans="1:2" ht="18">
      <c r="A734" s="272"/>
      <c r="B734" s="271"/>
    </row>
    <row r="735" spans="1:2" ht="18">
      <c r="A735" s="272"/>
      <c r="B735" s="271"/>
    </row>
    <row r="736" spans="1:2" ht="18">
      <c r="A736" s="272"/>
      <c r="B736" s="271"/>
    </row>
    <row r="737" spans="1:2" ht="18">
      <c r="A737" s="272"/>
      <c r="B737" s="271"/>
    </row>
    <row r="738" spans="1:2" ht="18">
      <c r="A738" s="272"/>
      <c r="B738" s="271"/>
    </row>
    <row r="739" spans="1:2" ht="18">
      <c r="A739" s="272"/>
      <c r="B739" s="271"/>
    </row>
    <row r="740" spans="1:2" ht="18">
      <c r="A740" s="272"/>
      <c r="B740" s="271"/>
    </row>
    <row r="741" spans="1:2" ht="18">
      <c r="A741" s="272"/>
      <c r="B741" s="271"/>
    </row>
    <row r="742" spans="1:2" ht="18">
      <c r="A742" s="272"/>
      <c r="B742" s="271"/>
    </row>
    <row r="743" spans="1:2" ht="18">
      <c r="A743" s="272"/>
      <c r="B743" s="271"/>
    </row>
    <row r="744" spans="1:2" ht="18">
      <c r="A744" s="272"/>
      <c r="B744" s="271"/>
    </row>
    <row r="745" spans="1:2" ht="18">
      <c r="A745" s="272"/>
      <c r="B745" s="271"/>
    </row>
    <row r="746" spans="1:2" ht="18">
      <c r="A746" s="272"/>
      <c r="B746" s="271"/>
    </row>
    <row r="747" spans="1:2" ht="18">
      <c r="A747" s="272"/>
      <c r="B747" s="271"/>
    </row>
    <row r="748" spans="1:2" ht="18">
      <c r="A748" s="272"/>
      <c r="B748" s="271"/>
    </row>
    <row r="749" spans="1:2" ht="18">
      <c r="A749" s="272"/>
      <c r="B749" s="271"/>
    </row>
    <row r="750" spans="1:2" ht="18">
      <c r="A750" s="272"/>
      <c r="B750" s="271"/>
    </row>
    <row r="751" spans="1:2" ht="18">
      <c r="A751" s="272"/>
      <c r="B751" s="271"/>
    </row>
    <row r="752" spans="1:2" ht="18">
      <c r="A752" s="272"/>
      <c r="B752" s="271"/>
    </row>
    <row r="753" spans="1:2" ht="18">
      <c r="A753" s="272"/>
      <c r="B753" s="271"/>
    </row>
    <row r="754" spans="1:2" ht="18">
      <c r="A754" s="272"/>
      <c r="B754" s="271"/>
    </row>
    <row r="755" spans="1:2" ht="18">
      <c r="A755" s="272"/>
      <c r="B755" s="271"/>
    </row>
    <row r="756" spans="1:2" ht="18">
      <c r="A756" s="272"/>
      <c r="B756" s="271"/>
    </row>
    <row r="757" spans="1:2" ht="18">
      <c r="A757" s="272"/>
      <c r="B757" s="271"/>
    </row>
    <row r="758" spans="1:2" ht="18">
      <c r="A758" s="272"/>
      <c r="B758" s="271"/>
    </row>
    <row r="759" spans="1:2" ht="18">
      <c r="A759" s="272"/>
      <c r="B759" s="271"/>
    </row>
    <row r="760" spans="1:2" ht="18">
      <c r="A760" s="272"/>
      <c r="B760" s="271"/>
    </row>
    <row r="761" spans="1:2" ht="18">
      <c r="A761" s="272"/>
      <c r="B761" s="271"/>
    </row>
    <row r="762" spans="1:2" ht="18">
      <c r="A762" s="272"/>
      <c r="B762" s="271"/>
    </row>
    <row r="763" spans="1:2" ht="18">
      <c r="A763" s="272"/>
      <c r="B763" s="271"/>
    </row>
    <row r="764" spans="1:2" ht="18">
      <c r="A764" s="272"/>
      <c r="B764" s="271"/>
    </row>
    <row r="765" spans="1:2" ht="18">
      <c r="A765" s="272"/>
      <c r="B765" s="271"/>
    </row>
    <row r="766" spans="1:2" ht="18">
      <c r="A766" s="272"/>
      <c r="B766" s="271"/>
    </row>
    <row r="767" spans="1:2" ht="18">
      <c r="A767" s="272"/>
      <c r="B767" s="271"/>
    </row>
    <row r="768" spans="1:2" ht="18">
      <c r="A768" s="272"/>
      <c r="B768" s="271"/>
    </row>
    <row r="769" spans="1:2" ht="18">
      <c r="A769" s="272"/>
      <c r="B769" s="271"/>
    </row>
    <row r="770" spans="1:2" ht="18">
      <c r="A770" s="272"/>
      <c r="B770" s="271"/>
    </row>
    <row r="771" spans="1:2" ht="18">
      <c r="A771" s="272"/>
      <c r="B771" s="271"/>
    </row>
    <row r="772" spans="1:2" ht="18">
      <c r="A772" s="272"/>
      <c r="B772" s="271"/>
    </row>
    <row r="773" spans="1:2" ht="18">
      <c r="A773" s="272"/>
      <c r="B773" s="271"/>
    </row>
    <row r="774" spans="1:2" ht="18">
      <c r="A774" s="272"/>
      <c r="B774" s="271"/>
    </row>
    <row r="775" spans="1:2" ht="18">
      <c r="A775" s="272"/>
      <c r="B775" s="271"/>
    </row>
    <row r="776" spans="1:2" ht="18">
      <c r="A776" s="272"/>
      <c r="B776" s="271"/>
    </row>
    <row r="777" spans="1:2" ht="18">
      <c r="A777" s="272"/>
      <c r="B777" s="271"/>
    </row>
    <row r="778" spans="1:2" ht="18">
      <c r="A778" s="272"/>
      <c r="B778" s="271"/>
    </row>
    <row r="779" spans="1:2" ht="18">
      <c r="A779" s="272"/>
      <c r="B779" s="271"/>
    </row>
    <row r="780" spans="1:2" ht="18">
      <c r="A780" s="272"/>
      <c r="B780" s="271"/>
    </row>
    <row r="781" spans="1:2" ht="18">
      <c r="A781" s="272"/>
      <c r="B781" s="271"/>
    </row>
    <row r="782" spans="1:2" ht="18">
      <c r="A782" s="272"/>
      <c r="B782" s="271"/>
    </row>
    <row r="783" spans="1:2" ht="18">
      <c r="A783" s="272"/>
      <c r="B783" s="271"/>
    </row>
    <row r="784" spans="1:2" ht="18">
      <c r="A784" s="272"/>
      <c r="B784" s="271"/>
    </row>
    <row r="785" spans="1:2" ht="18">
      <c r="A785" s="272"/>
      <c r="B785" s="271"/>
    </row>
    <row r="786" spans="1:2" ht="18">
      <c r="A786" s="272"/>
      <c r="B786" s="271"/>
    </row>
    <row r="787" spans="1:2" ht="18">
      <c r="A787" s="272"/>
      <c r="B787" s="271"/>
    </row>
    <row r="788" spans="1:2" ht="18">
      <c r="A788" s="272"/>
      <c r="B788" s="271"/>
    </row>
    <row r="789" spans="1:2" ht="18">
      <c r="A789" s="272"/>
      <c r="B789" s="271"/>
    </row>
    <row r="790" spans="1:2" ht="18">
      <c r="A790" s="272"/>
      <c r="B790" s="271"/>
    </row>
    <row r="791" spans="1:2" ht="18">
      <c r="A791" s="272"/>
      <c r="B791" s="271"/>
    </row>
    <row r="792" spans="1:2" ht="18">
      <c r="A792" s="272"/>
      <c r="B792" s="271"/>
    </row>
    <row r="793" spans="1:2" ht="18">
      <c r="A793" s="272"/>
      <c r="B793" s="271"/>
    </row>
    <row r="794" spans="1:2" ht="18">
      <c r="A794" s="272"/>
      <c r="B794" s="271"/>
    </row>
    <row r="795" spans="1:2" ht="18">
      <c r="A795" s="272"/>
      <c r="B795" s="271"/>
    </row>
    <row r="796" spans="1:2" ht="18">
      <c r="A796" s="272"/>
      <c r="B796" s="271"/>
    </row>
    <row r="797" spans="1:2" ht="18">
      <c r="A797" s="272"/>
      <c r="B797" s="271"/>
    </row>
    <row r="798" spans="1:2" ht="18">
      <c r="A798" s="272"/>
      <c r="B798" s="271"/>
    </row>
    <row r="799" spans="1:2" ht="18">
      <c r="A799" s="272"/>
      <c r="B799" s="271"/>
    </row>
    <row r="800" spans="1:2" ht="18">
      <c r="A800" s="272"/>
      <c r="B800" s="271"/>
    </row>
    <row r="801" spans="1:2" ht="18">
      <c r="A801" s="272"/>
      <c r="B801" s="271"/>
    </row>
    <row r="802" spans="1:2" ht="18">
      <c r="A802" s="272"/>
      <c r="B802" s="271"/>
    </row>
    <row r="803" spans="1:2" ht="18">
      <c r="A803" s="272"/>
      <c r="B803" s="271"/>
    </row>
    <row r="804" spans="1:2" ht="18">
      <c r="A804" s="272"/>
      <c r="B804" s="271"/>
    </row>
    <row r="805" spans="1:2" ht="18">
      <c r="A805" s="272"/>
      <c r="B805" s="271"/>
    </row>
    <row r="806" spans="1:2" ht="18">
      <c r="A806" s="272"/>
      <c r="B806" s="271"/>
    </row>
    <row r="807" spans="1:2" ht="18">
      <c r="A807" s="272"/>
      <c r="B807" s="271"/>
    </row>
    <row r="808" spans="1:2" ht="18">
      <c r="A808" s="272"/>
      <c r="B808" s="271"/>
    </row>
    <row r="809" spans="1:2" ht="18">
      <c r="A809" s="272"/>
      <c r="B809" s="271"/>
    </row>
    <row r="810" spans="1:2" ht="18">
      <c r="A810" s="272"/>
      <c r="B810" s="271"/>
    </row>
    <row r="811" spans="1:2" ht="18">
      <c r="A811" s="272"/>
      <c r="B811" s="271"/>
    </row>
    <row r="812" spans="1:2" ht="18">
      <c r="A812" s="272"/>
      <c r="B812" s="271"/>
    </row>
    <row r="813" spans="1:2" ht="18">
      <c r="A813" s="272"/>
      <c r="B813" s="271"/>
    </row>
    <row r="814" spans="1:2" ht="18">
      <c r="A814" s="272"/>
      <c r="B814" s="271"/>
    </row>
    <row r="815" spans="1:2" ht="18">
      <c r="A815" s="272"/>
      <c r="B815" s="271"/>
    </row>
    <row r="816" spans="1:2" ht="18">
      <c r="A816" s="272"/>
      <c r="B816" s="271"/>
    </row>
    <row r="817" spans="1:2" ht="18">
      <c r="A817" s="272"/>
      <c r="B817" s="271"/>
    </row>
    <row r="818" spans="1:2" ht="18">
      <c r="A818" s="272"/>
      <c r="B818" s="271"/>
    </row>
    <row r="819" spans="1:2" ht="18">
      <c r="A819" s="272"/>
      <c r="B819" s="271"/>
    </row>
    <row r="820" spans="1:2" ht="18">
      <c r="A820" s="272"/>
      <c r="B820" s="271"/>
    </row>
    <row r="821" spans="1:2" ht="18">
      <c r="A821" s="272"/>
      <c r="B821" s="271"/>
    </row>
    <row r="822" spans="1:2" ht="18">
      <c r="A822" s="272"/>
      <c r="B822" s="271"/>
    </row>
    <row r="823" spans="1:2" ht="18">
      <c r="A823" s="272"/>
      <c r="B823" s="271"/>
    </row>
    <row r="824" spans="1:2" ht="18">
      <c r="A824" s="272"/>
      <c r="B824" s="271"/>
    </row>
    <row r="825" spans="1:2" ht="18">
      <c r="A825" s="272"/>
      <c r="B825" s="271"/>
    </row>
    <row r="826" spans="1:2" ht="18">
      <c r="A826" s="272"/>
      <c r="B826" s="271"/>
    </row>
    <row r="827" spans="1:2" ht="18">
      <c r="A827" s="272"/>
      <c r="B827" s="271"/>
    </row>
    <row r="828" spans="1:2" ht="18">
      <c r="A828" s="272"/>
      <c r="B828" s="271"/>
    </row>
    <row r="829" spans="1:2" ht="18">
      <c r="A829" s="272"/>
      <c r="B829" s="271"/>
    </row>
    <row r="830" spans="1:2" ht="18">
      <c r="A830" s="272"/>
      <c r="B830" s="271"/>
    </row>
    <row r="831" spans="1:2" ht="18">
      <c r="A831" s="272"/>
      <c r="B831" s="271"/>
    </row>
    <row r="832" spans="1:2" ht="18">
      <c r="A832" s="272"/>
      <c r="B832" s="271"/>
    </row>
    <row r="833" spans="1:2" ht="18">
      <c r="A833" s="272"/>
      <c r="B833" s="271"/>
    </row>
    <row r="834" spans="1:2" ht="18">
      <c r="A834" s="272"/>
      <c r="B834" s="271"/>
    </row>
    <row r="835" spans="1:2" ht="18">
      <c r="A835" s="272"/>
      <c r="B835" s="271"/>
    </row>
    <row r="836" spans="1:2" ht="18">
      <c r="A836" s="272"/>
      <c r="B836" s="271"/>
    </row>
    <row r="837" spans="1:2" ht="18">
      <c r="A837" s="272"/>
      <c r="B837" s="271"/>
    </row>
    <row r="838" spans="1:2" ht="18">
      <c r="A838" s="272"/>
      <c r="B838" s="271"/>
    </row>
    <row r="839" spans="1:2" ht="18">
      <c r="A839" s="272"/>
      <c r="B839" s="271"/>
    </row>
    <row r="840" spans="1:2" ht="18">
      <c r="A840" s="272"/>
      <c r="B840" s="271"/>
    </row>
    <row r="841" spans="1:2" ht="18">
      <c r="A841" s="272"/>
      <c r="B841" s="271"/>
    </row>
    <row r="842" spans="1:2" ht="18">
      <c r="A842" s="272"/>
      <c r="B842" s="271"/>
    </row>
    <row r="843" spans="1:2" ht="18">
      <c r="A843" s="272"/>
      <c r="B843" s="271"/>
    </row>
    <row r="844" spans="1:2" ht="18">
      <c r="A844" s="272"/>
      <c r="B844" s="271"/>
    </row>
    <row r="845" spans="1:2" ht="18">
      <c r="A845" s="272"/>
      <c r="B845" s="271"/>
    </row>
    <row r="846" spans="1:2" ht="18">
      <c r="A846" s="272"/>
      <c r="B846" s="271"/>
    </row>
    <row r="847" spans="1:2" ht="18">
      <c r="A847" s="272"/>
      <c r="B847" s="271"/>
    </row>
    <row r="848" spans="1:2" ht="18">
      <c r="A848" s="272"/>
      <c r="B848" s="271"/>
    </row>
    <row r="849" spans="1:2" ht="18">
      <c r="A849" s="272"/>
      <c r="B849" s="271"/>
    </row>
    <row r="850" spans="1:2" ht="18">
      <c r="A850" s="272"/>
      <c r="B850" s="271"/>
    </row>
    <row r="851" spans="1:2" ht="18">
      <c r="A851" s="272"/>
      <c r="B851" s="271"/>
    </row>
    <row r="852" spans="1:2" ht="18">
      <c r="A852" s="272"/>
      <c r="B852" s="271"/>
    </row>
    <row r="853" spans="1:2" ht="18">
      <c r="A853" s="272"/>
      <c r="B853" s="271"/>
    </row>
    <row r="854" spans="1:2" ht="18">
      <c r="A854" s="272"/>
      <c r="B854" s="271"/>
    </row>
    <row r="855" spans="1:2" ht="18">
      <c r="A855" s="272"/>
      <c r="B855" s="271"/>
    </row>
    <row r="856" spans="1:2" ht="18">
      <c r="A856" s="272"/>
      <c r="B856" s="271"/>
    </row>
    <row r="857" spans="1:2" ht="18">
      <c r="A857" s="272"/>
      <c r="B857" s="271"/>
    </row>
    <row r="858" spans="1:2" ht="18">
      <c r="A858" s="272"/>
      <c r="B858" s="271"/>
    </row>
    <row r="859" spans="1:2" ht="18">
      <c r="A859" s="272"/>
      <c r="B859" s="271"/>
    </row>
    <row r="860" spans="1:2" ht="18">
      <c r="A860" s="272"/>
      <c r="B860" s="271"/>
    </row>
    <row r="861" spans="1:2" ht="18">
      <c r="A861" s="272"/>
      <c r="B861" s="271"/>
    </row>
    <row r="862" spans="1:2" ht="18">
      <c r="A862" s="272"/>
      <c r="B862" s="271"/>
    </row>
    <row r="863" spans="1:2" ht="18">
      <c r="A863" s="272"/>
      <c r="B863" s="271"/>
    </row>
    <row r="864" spans="1:2" ht="18">
      <c r="A864" s="272"/>
      <c r="B864" s="271"/>
    </row>
    <row r="865" spans="1:2" ht="18">
      <c r="A865" s="272"/>
      <c r="B865" s="271"/>
    </row>
    <row r="866" spans="1:2" ht="18">
      <c r="A866" s="272"/>
      <c r="B866" s="271"/>
    </row>
    <row r="867" spans="1:2" ht="18">
      <c r="A867" s="272"/>
      <c r="B867" s="271"/>
    </row>
    <row r="868" spans="1:2" ht="18">
      <c r="A868" s="272"/>
      <c r="B868" s="271"/>
    </row>
    <row r="869" spans="1:2" ht="18">
      <c r="A869" s="272"/>
      <c r="B869" s="271"/>
    </row>
    <row r="870" spans="1:2" ht="18">
      <c r="A870" s="272"/>
      <c r="B870" s="271"/>
    </row>
    <row r="871" spans="1:2" ht="18">
      <c r="A871" s="272"/>
      <c r="B871" s="271"/>
    </row>
    <row r="872" spans="1:2" ht="18">
      <c r="A872" s="272"/>
      <c r="B872" s="271"/>
    </row>
    <row r="873" spans="1:2" ht="18">
      <c r="A873" s="272"/>
      <c r="B873" s="271"/>
    </row>
    <row r="874" spans="1:2" ht="18">
      <c r="A874" s="272"/>
      <c r="B874" s="271"/>
    </row>
    <row r="875" spans="1:2" ht="18">
      <c r="A875" s="272"/>
      <c r="B875" s="271"/>
    </row>
    <row r="876" spans="1:2" ht="18">
      <c r="A876" s="272"/>
      <c r="B876" s="271"/>
    </row>
    <row r="877" spans="1:2" ht="18">
      <c r="A877" s="272"/>
      <c r="B877" s="271"/>
    </row>
    <row r="878" spans="1:2" ht="18">
      <c r="A878" s="272"/>
      <c r="B878" s="271"/>
    </row>
    <row r="879" spans="1:2" ht="18">
      <c r="A879" s="272"/>
      <c r="B879" s="271"/>
    </row>
    <row r="880" spans="1:2" ht="18">
      <c r="A880" s="272"/>
      <c r="B880" s="271"/>
    </row>
    <row r="881" spans="1:2" ht="18">
      <c r="A881" s="272"/>
      <c r="B881" s="271"/>
    </row>
    <row r="882" spans="1:2" ht="18">
      <c r="A882" s="272"/>
      <c r="B882" s="271"/>
    </row>
    <row r="883" spans="1:2" ht="18">
      <c r="A883" s="272"/>
      <c r="B883" s="271"/>
    </row>
    <row r="884" spans="1:2" ht="18">
      <c r="A884" s="272"/>
      <c r="B884" s="271"/>
    </row>
    <row r="885" spans="1:2" ht="18">
      <c r="A885" s="272"/>
      <c r="B885" s="271"/>
    </row>
    <row r="886" spans="1:2" ht="18">
      <c r="A886" s="272"/>
      <c r="B886" s="271"/>
    </row>
    <row r="887" spans="1:2" ht="18">
      <c r="A887" s="272"/>
      <c r="B887" s="271"/>
    </row>
    <row r="888" spans="1:2" ht="18">
      <c r="A888" s="272"/>
      <c r="B888" s="271"/>
    </row>
    <row r="889" spans="1:2" ht="18">
      <c r="A889" s="272"/>
      <c r="B889" s="271"/>
    </row>
    <row r="890" spans="1:2" ht="18">
      <c r="A890" s="272"/>
      <c r="B890" s="271"/>
    </row>
    <row r="891" spans="1:2" ht="18">
      <c r="A891" s="272"/>
      <c r="B891" s="271"/>
    </row>
    <row r="892" spans="1:2" ht="18">
      <c r="A892" s="272"/>
      <c r="B892" s="271"/>
    </row>
    <row r="893" spans="1:2" ht="18">
      <c r="A893" s="272"/>
      <c r="B893" s="271"/>
    </row>
    <row r="894" spans="1:2" ht="18">
      <c r="A894" s="272"/>
      <c r="B894" s="271"/>
    </row>
    <row r="895" spans="1:2" ht="18">
      <c r="A895" s="272"/>
      <c r="B895" s="271"/>
    </row>
    <row r="896" spans="1:2" ht="18">
      <c r="A896" s="272"/>
      <c r="B896" s="271"/>
    </row>
    <row r="897" spans="1:2" ht="18">
      <c r="A897" s="272"/>
      <c r="B897" s="271"/>
    </row>
    <row r="898" spans="1:2" ht="18">
      <c r="A898" s="272"/>
      <c r="B898" s="271"/>
    </row>
    <row r="899" spans="1:2" ht="18">
      <c r="A899" s="272"/>
      <c r="B899" s="271"/>
    </row>
    <row r="900" spans="1:2" ht="18">
      <c r="A900" s="272"/>
      <c r="B900" s="271"/>
    </row>
    <row r="901" spans="1:2" ht="18">
      <c r="A901" s="272"/>
      <c r="B901" s="271"/>
    </row>
    <row r="902" spans="1:2" ht="18">
      <c r="A902" s="272"/>
      <c r="B902" s="271"/>
    </row>
    <row r="903" spans="1:2" ht="18">
      <c r="A903" s="272"/>
      <c r="B903" s="271"/>
    </row>
    <row r="904" spans="1:2" ht="18">
      <c r="A904" s="272"/>
      <c r="B904" s="271"/>
    </row>
    <row r="905" spans="1:2" ht="18">
      <c r="A905" s="272"/>
      <c r="B905" s="271"/>
    </row>
    <row r="906" spans="1:2" ht="18">
      <c r="A906" s="272"/>
      <c r="B906" s="271"/>
    </row>
    <row r="907" spans="1:2" ht="18">
      <c r="A907" s="272"/>
      <c r="B907" s="271"/>
    </row>
    <row r="908" spans="1:2" ht="18">
      <c r="A908" s="272"/>
      <c r="B908" s="271"/>
    </row>
    <row r="909" spans="1:2" ht="18">
      <c r="A909" s="272"/>
      <c r="B909" s="271"/>
    </row>
    <row r="910" spans="1:2" ht="18">
      <c r="A910" s="272"/>
      <c r="B910" s="271"/>
    </row>
    <row r="911" spans="1:2" ht="18">
      <c r="A911" s="272"/>
      <c r="B911" s="271"/>
    </row>
    <row r="912" spans="1:2" ht="18">
      <c r="A912" s="272"/>
      <c r="B912" s="271"/>
    </row>
    <row r="913" spans="1:2" ht="18">
      <c r="A913" s="272"/>
      <c r="B913" s="271"/>
    </row>
    <row r="914" spans="1:2" ht="18">
      <c r="A914" s="272"/>
      <c r="B914" s="271"/>
    </row>
    <row r="915" spans="1:2" ht="18">
      <c r="A915" s="272"/>
      <c r="B915" s="271"/>
    </row>
    <row r="916" spans="1:2" ht="18">
      <c r="A916" s="272"/>
      <c r="B916" s="271"/>
    </row>
    <row r="917" spans="1:2" ht="18">
      <c r="A917" s="272"/>
      <c r="B917" s="271"/>
    </row>
    <row r="918" spans="1:2" ht="18">
      <c r="A918" s="272"/>
      <c r="B918" s="271"/>
    </row>
    <row r="919" spans="1:2" ht="18">
      <c r="A919" s="272"/>
      <c r="B919" s="271"/>
    </row>
    <row r="920" spans="1:2" ht="18">
      <c r="A920" s="272"/>
      <c r="B920" s="271"/>
    </row>
    <row r="921" spans="1:2" ht="18">
      <c r="A921" s="272"/>
      <c r="B921" s="271"/>
    </row>
    <row r="922" spans="1:2" ht="18">
      <c r="A922" s="272"/>
      <c r="B922" s="271"/>
    </row>
    <row r="923" spans="1:2" ht="18">
      <c r="A923" s="272"/>
      <c r="B923" s="271"/>
    </row>
    <row r="924" spans="1:2" ht="18">
      <c r="A924" s="272"/>
      <c r="B924" s="271"/>
    </row>
    <row r="925" spans="1:2" ht="18">
      <c r="A925" s="272"/>
      <c r="B925" s="271"/>
    </row>
    <row r="926" spans="1:2" ht="18">
      <c r="A926" s="272"/>
      <c r="B926" s="271"/>
    </row>
    <row r="927" spans="1:2" ht="18">
      <c r="A927" s="272"/>
      <c r="B927" s="271"/>
    </row>
    <row r="928" spans="1:2" ht="18">
      <c r="A928" s="272"/>
      <c r="B928" s="271"/>
    </row>
    <row r="929" spans="1:2" ht="18">
      <c r="A929" s="272"/>
      <c r="B929" s="271"/>
    </row>
    <row r="930" spans="1:2" ht="18">
      <c r="A930" s="272"/>
      <c r="B930" s="271"/>
    </row>
    <row r="931" spans="1:2" ht="18">
      <c r="A931" s="272"/>
      <c r="B931" s="271"/>
    </row>
    <row r="932" spans="1:2" ht="18">
      <c r="A932" s="272"/>
      <c r="B932" s="271"/>
    </row>
    <row r="933" spans="1:2" ht="18">
      <c r="A933" s="272"/>
      <c r="B933" s="271"/>
    </row>
    <row r="934" spans="1:2" ht="18">
      <c r="A934" s="272"/>
      <c r="B934" s="271"/>
    </row>
    <row r="935" spans="1:2" ht="18">
      <c r="A935" s="272"/>
      <c r="B935" s="271"/>
    </row>
    <row r="936" spans="1:2" ht="18">
      <c r="A936" s="272"/>
      <c r="B936" s="271"/>
    </row>
    <row r="937" spans="1:2" ht="18">
      <c r="A937" s="272"/>
      <c r="B937" s="271"/>
    </row>
    <row r="938" spans="1:2" ht="18">
      <c r="A938" s="272"/>
      <c r="B938" s="271"/>
    </row>
    <row r="939" spans="1:2" ht="18">
      <c r="A939" s="272"/>
      <c r="B939" s="271"/>
    </row>
    <row r="940" spans="1:2" ht="18">
      <c r="A940" s="272"/>
      <c r="B940" s="271"/>
    </row>
    <row r="941" spans="1:2" ht="18">
      <c r="A941" s="272"/>
      <c r="B941" s="271"/>
    </row>
    <row r="942" spans="1:2" ht="18">
      <c r="A942" s="272"/>
      <c r="B942" s="271"/>
    </row>
    <row r="943" spans="1:2" ht="18">
      <c r="A943" s="272"/>
      <c r="B943" s="271"/>
    </row>
    <row r="944" spans="1:2" ht="18">
      <c r="A944" s="272"/>
      <c r="B944" s="271"/>
    </row>
    <row r="945" spans="1:2" ht="18">
      <c r="A945" s="272"/>
      <c r="B945" s="271"/>
    </row>
    <row r="946" spans="1:2" ht="18">
      <c r="A946" s="272"/>
      <c r="B946" s="271"/>
    </row>
    <row r="947" spans="1:2" ht="18">
      <c r="A947" s="272"/>
      <c r="B947" s="271"/>
    </row>
    <row r="948" spans="1:2" ht="18">
      <c r="A948" s="272"/>
      <c r="B948" s="271"/>
    </row>
    <row r="949" spans="1:2" ht="18">
      <c r="A949" s="272"/>
      <c r="B949" s="271"/>
    </row>
    <row r="950" spans="1:2" ht="18">
      <c r="A950" s="272"/>
      <c r="B950" s="271"/>
    </row>
    <row r="951" spans="1:2" ht="18">
      <c r="A951" s="272"/>
      <c r="B951" s="271"/>
    </row>
    <row r="952" spans="1:2" ht="18">
      <c r="A952" s="272"/>
      <c r="B952" s="271"/>
    </row>
    <row r="953" spans="1:2" ht="18">
      <c r="A953" s="272"/>
      <c r="B953" s="271"/>
    </row>
    <row r="954" spans="1:2" ht="18">
      <c r="A954" s="272"/>
      <c r="B954" s="271"/>
    </row>
    <row r="955" spans="1:2" ht="18">
      <c r="A955" s="272"/>
      <c r="B955" s="271"/>
    </row>
    <row r="956" spans="1:2" ht="18">
      <c r="A956" s="272"/>
      <c r="B956" s="271"/>
    </row>
    <row r="957" spans="1:2" ht="18">
      <c r="A957" s="272"/>
      <c r="B957" s="271"/>
    </row>
    <row r="958" spans="1:2" ht="18">
      <c r="A958" s="272"/>
      <c r="B958" s="271"/>
    </row>
    <row r="959" spans="1:2" ht="18">
      <c r="A959" s="272"/>
      <c r="B959" s="271"/>
    </row>
    <row r="960" spans="1:2" ht="18">
      <c r="A960" s="272"/>
      <c r="B960" s="271"/>
    </row>
    <row r="961" spans="1:2" ht="18">
      <c r="A961" s="272"/>
      <c r="B961" s="271"/>
    </row>
    <row r="962" spans="1:2" ht="18">
      <c r="A962" s="272"/>
      <c r="B962" s="271"/>
    </row>
    <row r="963" spans="1:2" ht="18">
      <c r="A963" s="272"/>
      <c r="B963" s="271"/>
    </row>
    <row r="964" spans="1:2" ht="18">
      <c r="A964" s="272"/>
      <c r="B964" s="271"/>
    </row>
    <row r="965" spans="1:2" ht="18">
      <c r="A965" s="272"/>
      <c r="B965" s="271"/>
    </row>
    <row r="966" spans="1:2" ht="18">
      <c r="A966" s="272"/>
      <c r="B966" s="271"/>
    </row>
    <row r="967" spans="1:2" ht="18">
      <c r="A967" s="272"/>
      <c r="B967" s="271"/>
    </row>
    <row r="968" spans="1:2" ht="18">
      <c r="A968" s="272"/>
      <c r="B968" s="271"/>
    </row>
    <row r="969" spans="1:2" ht="18">
      <c r="A969" s="272"/>
      <c r="B969" s="271"/>
    </row>
    <row r="970" spans="1:2" ht="18">
      <c r="A970" s="272"/>
      <c r="B970" s="271"/>
    </row>
    <row r="971" spans="1:2" ht="18">
      <c r="A971" s="272"/>
      <c r="B971" s="271"/>
    </row>
    <row r="972" spans="1:2" ht="18">
      <c r="A972" s="272"/>
      <c r="B972" s="271"/>
    </row>
    <row r="973" spans="1:2" ht="18">
      <c r="A973" s="272"/>
      <c r="B973" s="271"/>
    </row>
    <row r="974" spans="1:2" ht="18">
      <c r="A974" s="272"/>
      <c r="B974" s="271"/>
    </row>
    <row r="975" spans="1:2" ht="18">
      <c r="A975" s="272"/>
      <c r="B975" s="271"/>
    </row>
    <row r="976" spans="1:2" ht="18">
      <c r="A976" s="272"/>
      <c r="B976" s="271"/>
    </row>
    <row r="977" spans="1:2" ht="18">
      <c r="A977" s="272"/>
      <c r="B977" s="271"/>
    </row>
    <row r="978" spans="1:2" ht="18">
      <c r="A978" s="272"/>
      <c r="B978" s="271"/>
    </row>
    <row r="979" spans="1:2" ht="18">
      <c r="A979" s="272"/>
      <c r="B979" s="271"/>
    </row>
    <row r="980" spans="1:2" ht="18">
      <c r="A980" s="272"/>
      <c r="B980" s="271"/>
    </row>
    <row r="981" spans="1:2" ht="18">
      <c r="A981" s="272"/>
      <c r="B981" s="271"/>
    </row>
    <row r="982" spans="1:2" ht="18">
      <c r="A982" s="272"/>
      <c r="B982" s="271"/>
    </row>
    <row r="983" spans="1:2" ht="18">
      <c r="A983" s="272"/>
      <c r="B983" s="271"/>
    </row>
    <row r="984" spans="1:2" ht="18">
      <c r="A984" s="272"/>
      <c r="B984" s="271"/>
    </row>
    <row r="985" spans="1:2" ht="18">
      <c r="A985" s="272"/>
      <c r="B985" s="271"/>
    </row>
    <row r="986" spans="1:2" ht="18">
      <c r="A986" s="272"/>
      <c r="B986" s="271"/>
    </row>
    <row r="987" spans="1:2" ht="18">
      <c r="A987" s="272"/>
      <c r="B987" s="271"/>
    </row>
    <row r="988" spans="1:2" ht="18">
      <c r="A988" s="272"/>
      <c r="B988" s="271"/>
    </row>
    <row r="989" spans="1:2" ht="18">
      <c r="A989" s="272"/>
      <c r="B989" s="271"/>
    </row>
    <row r="990" spans="1:2" ht="18">
      <c r="A990" s="272"/>
      <c r="B990" s="271"/>
    </row>
    <row r="991" spans="1:2" ht="18">
      <c r="A991" s="272"/>
      <c r="B991" s="271"/>
    </row>
    <row r="992" spans="1:2" ht="18">
      <c r="A992" s="272"/>
      <c r="B992" s="271"/>
    </row>
    <row r="993" spans="1:2" ht="18">
      <c r="A993" s="272"/>
      <c r="B993" s="27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1000"/>
  <sheetViews>
    <sheetView workbookViewId="0"/>
  </sheetViews>
  <sheetFormatPr baseColWidth="10" defaultColWidth="14.44140625" defaultRowHeight="15" customHeight="1"/>
  <cols>
    <col min="1" max="1" width="48.44140625" customWidth="1"/>
    <col min="2" max="2" width="21.5546875" customWidth="1"/>
  </cols>
  <sheetData>
    <row r="1" spans="1:2">
      <c r="A1" s="273" t="s">
        <v>2049</v>
      </c>
      <c r="B1" s="273" t="s">
        <v>2050</v>
      </c>
    </row>
    <row r="2" spans="1:2">
      <c r="A2" s="274" t="s">
        <v>2000</v>
      </c>
      <c r="B2" s="275">
        <v>45779.55533268518</v>
      </c>
    </row>
    <row r="3" spans="1:2">
      <c r="A3" s="274" t="s">
        <v>2020</v>
      </c>
      <c r="B3" s="275">
        <v>45779.557230081016</v>
      </c>
    </row>
    <row r="4" spans="1:2">
      <c r="A4" s="274" t="s">
        <v>2022</v>
      </c>
      <c r="B4" s="275">
        <v>45779.557463136574</v>
      </c>
    </row>
    <row r="5" spans="1:2">
      <c r="A5" s="274" t="s">
        <v>2051</v>
      </c>
      <c r="B5" s="275">
        <v>45779.565404513887</v>
      </c>
    </row>
    <row r="6" spans="1:2">
      <c r="A6" s="274" t="s">
        <v>2024</v>
      </c>
      <c r="B6" s="275">
        <v>45779.59906768518</v>
      </c>
    </row>
    <row r="7" spans="1:2">
      <c r="A7" s="274" t="s">
        <v>2000</v>
      </c>
      <c r="B7" s="275">
        <v>45780.411204374999</v>
      </c>
    </row>
    <row r="8" spans="1:2">
      <c r="A8" s="274" t="s">
        <v>2000</v>
      </c>
      <c r="B8" s="275">
        <v>45780.433250173606</v>
      </c>
    </row>
    <row r="9" spans="1:2">
      <c r="A9" s="274" t="s">
        <v>2000</v>
      </c>
      <c r="B9" s="275">
        <v>45780.444683715279</v>
      </c>
    </row>
    <row r="10" spans="1:2">
      <c r="A10" s="274" t="s">
        <v>2000</v>
      </c>
      <c r="B10" s="275">
        <v>45780.453056365739</v>
      </c>
    </row>
    <row r="11" spans="1:2">
      <c r="A11" s="274" t="s">
        <v>2000</v>
      </c>
      <c r="B11" s="275">
        <v>45780.55289903935</v>
      </c>
    </row>
    <row r="12" spans="1:2">
      <c r="A12" s="274" t="s">
        <v>2000</v>
      </c>
      <c r="B12" s="275">
        <v>45780.57947243056</v>
      </c>
    </row>
    <row r="13" spans="1:2">
      <c r="A13" s="274" t="s">
        <v>2000</v>
      </c>
      <c r="B13" s="275">
        <v>45780.620941944449</v>
      </c>
    </row>
    <row r="14" spans="1:2">
      <c r="A14" s="274" t="s">
        <v>2000</v>
      </c>
      <c r="B14" s="275">
        <v>45780.622571250002</v>
      </c>
    </row>
    <row r="15" spans="1:2">
      <c r="A15" s="274" t="s">
        <v>2000</v>
      </c>
      <c r="B15" s="275">
        <v>45780.650848321762</v>
      </c>
    </row>
    <row r="16" spans="1:2">
      <c r="A16" s="274" t="s">
        <v>2000</v>
      </c>
      <c r="B16" s="275">
        <v>45780.664432106481</v>
      </c>
    </row>
    <row r="17" spans="1:2">
      <c r="A17" s="274" t="s">
        <v>2000</v>
      </c>
      <c r="B17" s="275">
        <v>45780.671537708331</v>
      </c>
    </row>
    <row r="18" spans="1:2">
      <c r="A18" s="274" t="s">
        <v>2000</v>
      </c>
      <c r="B18" s="275">
        <v>45780.940061319445</v>
      </c>
    </row>
    <row r="19" spans="1:2">
      <c r="A19" s="274" t="s">
        <v>2000</v>
      </c>
      <c r="B19" s="275">
        <v>45781.916604247686</v>
      </c>
    </row>
    <row r="20" spans="1:2">
      <c r="A20" s="274" t="s">
        <v>2000</v>
      </c>
      <c r="B20" s="275">
        <v>45781.926393298607</v>
      </c>
    </row>
    <row r="21" spans="1:2">
      <c r="A21" s="274" t="s">
        <v>2000</v>
      </c>
      <c r="B21" s="275">
        <v>45781.964822395836</v>
      </c>
    </row>
    <row r="22" spans="1:2">
      <c r="A22" s="274" t="s">
        <v>2000</v>
      </c>
      <c r="B22" s="275">
        <v>45781.973055173614</v>
      </c>
    </row>
    <row r="23" spans="1:2">
      <c r="A23" s="274" t="s">
        <v>2000</v>
      </c>
      <c r="B23" s="275">
        <v>45781.978748819442</v>
      </c>
    </row>
    <row r="24" spans="1:2">
      <c r="A24" s="274" t="s">
        <v>2000</v>
      </c>
      <c r="B24" s="275">
        <v>45782.314494745369</v>
      </c>
    </row>
    <row r="25" spans="1:2">
      <c r="A25" s="274" t="s">
        <v>2000</v>
      </c>
      <c r="B25" s="275">
        <v>45782.441592766205</v>
      </c>
    </row>
    <row r="26" spans="1:2">
      <c r="A26" s="274" t="s">
        <v>2010</v>
      </c>
      <c r="B26" s="275">
        <v>45782.510978657403</v>
      </c>
    </row>
    <row r="27" spans="1:2">
      <c r="A27" s="274" t="s">
        <v>2000</v>
      </c>
      <c r="B27" s="275">
        <v>45782.611291122681</v>
      </c>
    </row>
    <row r="28" spans="1:2">
      <c r="A28" s="274" t="s">
        <v>2010</v>
      </c>
      <c r="B28" s="275">
        <v>45782.665598958338</v>
      </c>
    </row>
    <row r="29" spans="1:2">
      <c r="A29" s="274" t="s">
        <v>2010</v>
      </c>
      <c r="B29" s="275">
        <v>45782.6656046875</v>
      </c>
    </row>
    <row r="30" spans="1:2">
      <c r="A30" s="274" t="s">
        <v>2000</v>
      </c>
      <c r="B30" s="275">
        <v>45783.83969523148</v>
      </c>
    </row>
    <row r="31" spans="1:2">
      <c r="A31" s="274" t="s">
        <v>2000</v>
      </c>
      <c r="B31" s="275">
        <v>45783.912498807869</v>
      </c>
    </row>
    <row r="32" spans="1:2">
      <c r="A32" s="274" t="s">
        <v>2000</v>
      </c>
      <c r="B32" s="275">
        <v>45785.937583935185</v>
      </c>
    </row>
    <row r="33" spans="1:2">
      <c r="A33" s="274" t="s">
        <v>2000</v>
      </c>
      <c r="B33" s="275">
        <v>45785.938703125001</v>
      </c>
    </row>
    <row r="34" spans="1:2">
      <c r="A34" s="274" t="s">
        <v>2000</v>
      </c>
      <c r="B34" s="275">
        <v>45785.964195138891</v>
      </c>
    </row>
    <row r="35" spans="1:2">
      <c r="A35" s="274" t="s">
        <v>2000</v>
      </c>
      <c r="B35" s="275">
        <v>45786.247826817125</v>
      </c>
    </row>
    <row r="36" spans="1:2">
      <c r="A36" s="274" t="s">
        <v>2000</v>
      </c>
      <c r="B36" s="275">
        <v>45786.251087731478</v>
      </c>
    </row>
    <row r="37" spans="1:2">
      <c r="A37" s="274" t="s">
        <v>2000</v>
      </c>
      <c r="B37" s="275">
        <v>45787.881544201387</v>
      </c>
    </row>
    <row r="38" spans="1:2">
      <c r="A38" s="274" t="s">
        <v>2000</v>
      </c>
      <c r="B38" s="275">
        <v>45787.883911921293</v>
      </c>
    </row>
    <row r="39" spans="1:2">
      <c r="A39" s="274" t="s">
        <v>2000</v>
      </c>
      <c r="B39" s="275">
        <v>45787.889754548611</v>
      </c>
    </row>
    <row r="40" spans="1:2">
      <c r="A40" s="274" t="s">
        <v>2000</v>
      </c>
      <c r="B40" s="275">
        <v>45787.906567337966</v>
      </c>
    </row>
    <row r="41" spans="1:2">
      <c r="A41" s="274" t="s">
        <v>2000</v>
      </c>
      <c r="B41" s="275">
        <v>45788.917221747688</v>
      </c>
    </row>
    <row r="42" spans="1:2">
      <c r="A42" s="274" t="s">
        <v>2000</v>
      </c>
      <c r="B42" s="275">
        <v>45788.94294739583</v>
      </c>
    </row>
    <row r="43" spans="1:2">
      <c r="A43" s="274" t="s">
        <v>2000</v>
      </c>
      <c r="B43" s="275">
        <v>45789.44785971065</v>
      </c>
    </row>
    <row r="44" spans="1:2">
      <c r="A44" s="274" t="s">
        <v>2000</v>
      </c>
      <c r="B44" s="275">
        <v>45789.461812465277</v>
      </c>
    </row>
    <row r="45" spans="1:2">
      <c r="A45" s="274" t="s">
        <v>2000</v>
      </c>
      <c r="B45" s="275">
        <v>45789.67205533565</v>
      </c>
    </row>
    <row r="46" spans="1:2">
      <c r="A46" s="274" t="s">
        <v>2000</v>
      </c>
      <c r="B46" s="275">
        <v>45789.683488900468</v>
      </c>
    </row>
    <row r="47" spans="1:2">
      <c r="A47" s="274" t="s">
        <v>2000</v>
      </c>
      <c r="B47" s="275">
        <v>45789.694366111115</v>
      </c>
    </row>
    <row r="48" spans="1:2">
      <c r="A48" s="274" t="s">
        <v>2000</v>
      </c>
      <c r="B48" s="275">
        <v>45789.703275347223</v>
      </c>
    </row>
    <row r="49" spans="1:2">
      <c r="A49" s="274" t="s">
        <v>2000</v>
      </c>
      <c r="B49" s="275">
        <v>45790.867083113422</v>
      </c>
    </row>
    <row r="50" spans="1:2">
      <c r="A50" s="274" t="s">
        <v>2000</v>
      </c>
      <c r="B50" s="275">
        <v>45790.881372523145</v>
      </c>
    </row>
    <row r="51" spans="1:2">
      <c r="A51" s="274" t="s">
        <v>2000</v>
      </c>
      <c r="B51" s="275">
        <v>45790.884696446759</v>
      </c>
    </row>
    <row r="52" spans="1:2">
      <c r="A52" s="274" t="s">
        <v>2042</v>
      </c>
      <c r="B52" s="275">
        <v>45792.610471354172</v>
      </c>
    </row>
    <row r="53" spans="1:2">
      <c r="A53" s="274" t="s">
        <v>2000</v>
      </c>
      <c r="B53" s="275">
        <v>45794.541786886577</v>
      </c>
    </row>
    <row r="54" spans="1:2">
      <c r="A54" s="274" t="s">
        <v>2000</v>
      </c>
      <c r="B54" s="275">
        <v>45794.543758182874</v>
      </c>
    </row>
    <row r="55" spans="1:2">
      <c r="A55" s="274" t="s">
        <v>2000</v>
      </c>
      <c r="B55" s="275">
        <v>45794.546554548608</v>
      </c>
    </row>
    <row r="56" spans="1:2">
      <c r="A56" s="274" t="s">
        <v>2000</v>
      </c>
      <c r="B56" s="275">
        <v>45796.644209918981</v>
      </c>
    </row>
    <row r="57" spans="1:2">
      <c r="A57" s="274" t="s">
        <v>2000</v>
      </c>
      <c r="B57" s="275">
        <v>45796.659987893523</v>
      </c>
    </row>
    <row r="58" spans="1:2">
      <c r="A58" s="274" t="s">
        <v>2000</v>
      </c>
      <c r="B58" s="275">
        <v>45798.746787314813</v>
      </c>
    </row>
    <row r="59" spans="1:2">
      <c r="A59" s="274" t="s">
        <v>2000</v>
      </c>
      <c r="B59" s="275">
        <v>45798.77049599537</v>
      </c>
    </row>
    <row r="60" spans="1:2">
      <c r="A60" s="274" t="s">
        <v>2000</v>
      </c>
      <c r="B60" s="275">
        <v>45799.420255428238</v>
      </c>
    </row>
    <row r="61" spans="1:2">
      <c r="A61" s="274" t="s">
        <v>2000</v>
      </c>
      <c r="B61" s="275">
        <v>45799.683931226857</v>
      </c>
    </row>
    <row r="62" spans="1:2">
      <c r="A62" s="274" t="s">
        <v>2000</v>
      </c>
      <c r="B62" s="275">
        <v>45799.823781874999</v>
      </c>
    </row>
    <row r="63" spans="1:2">
      <c r="A63" s="274" t="s">
        <v>2000</v>
      </c>
      <c r="B63" s="275">
        <v>45800.444815277777</v>
      </c>
    </row>
    <row r="64" spans="1:2">
      <c r="A64" s="274" t="s">
        <v>2000</v>
      </c>
      <c r="B64" s="275">
        <v>45800.474430254631</v>
      </c>
    </row>
    <row r="65" spans="1:2">
      <c r="A65" s="274" t="s">
        <v>2000</v>
      </c>
      <c r="B65" s="275">
        <v>45800.519619421291</v>
      </c>
    </row>
    <row r="66" spans="1:2">
      <c r="A66" s="274" t="s">
        <v>2000</v>
      </c>
      <c r="B66" s="275">
        <v>45803.404824456018</v>
      </c>
    </row>
    <row r="67" spans="1:2">
      <c r="A67" s="274" t="s">
        <v>2052</v>
      </c>
      <c r="B67" s="275">
        <v>45803.575748888892</v>
      </c>
    </row>
    <row r="68" spans="1:2">
      <c r="A68" s="274" t="s">
        <v>2052</v>
      </c>
      <c r="B68" s="275">
        <v>45803.581368981482</v>
      </c>
    </row>
    <row r="69" spans="1:2">
      <c r="A69" s="274" t="s">
        <v>2052</v>
      </c>
      <c r="B69" s="275">
        <v>45803.58489471065</v>
      </c>
    </row>
    <row r="70" spans="1:2">
      <c r="A70" s="274" t="s">
        <v>2000</v>
      </c>
      <c r="B70" s="275">
        <v>45803.593658171296</v>
      </c>
    </row>
    <row r="71" spans="1:2">
      <c r="A71" s="274" t="s">
        <v>2052</v>
      </c>
      <c r="B71" s="275">
        <v>45804.34642076389</v>
      </c>
    </row>
    <row r="72" spans="1:2">
      <c r="A72" s="274" t="s">
        <v>2000</v>
      </c>
      <c r="B72" s="275">
        <v>45805.383487233797</v>
      </c>
    </row>
    <row r="73" spans="1:2">
      <c r="A73" s="274" t="s">
        <v>2042</v>
      </c>
      <c r="B73" s="275">
        <v>45810.968815891203</v>
      </c>
    </row>
    <row r="74" spans="1:2">
      <c r="A74" s="274" t="s">
        <v>2000</v>
      </c>
      <c r="B74" s="275">
        <v>45817.626099687499</v>
      </c>
    </row>
    <row r="75" spans="1:2">
      <c r="A75" s="274" t="s">
        <v>2000</v>
      </c>
      <c r="B75" s="275">
        <v>45817.629871666664</v>
      </c>
    </row>
    <row r="76" spans="1:2">
      <c r="A76" s="274" t="s">
        <v>2000</v>
      </c>
      <c r="B76" s="275">
        <v>45817.632292870374</v>
      </c>
    </row>
    <row r="77" spans="1:2">
      <c r="A77" s="274" t="s">
        <v>2048</v>
      </c>
      <c r="B77" s="275">
        <v>45817.649059768519</v>
      </c>
    </row>
    <row r="78" spans="1:2">
      <c r="A78" s="274" t="s">
        <v>2000</v>
      </c>
      <c r="B78" s="275">
        <v>45825.573257835647</v>
      </c>
    </row>
    <row r="79" spans="1:2">
      <c r="A79" s="274" t="s">
        <v>2002</v>
      </c>
      <c r="B79" s="275">
        <v>45826.45130262732</v>
      </c>
    </row>
    <row r="80" spans="1:2">
      <c r="A80" s="274" t="s">
        <v>2002</v>
      </c>
      <c r="B80" s="275">
        <v>45826.505607974541</v>
      </c>
    </row>
    <row r="81" spans="1:2">
      <c r="A81" s="274" t="s">
        <v>2002</v>
      </c>
      <c r="B81" s="275">
        <v>45827.520026759259</v>
      </c>
    </row>
    <row r="82" spans="1:2">
      <c r="A82" s="274" t="s">
        <v>2000</v>
      </c>
      <c r="B82" s="275">
        <v>45827.83144440972</v>
      </c>
    </row>
    <row r="83" spans="1:2">
      <c r="A83" s="274" t="s">
        <v>2000</v>
      </c>
      <c r="B83" s="275">
        <v>45827.834559583338</v>
      </c>
    </row>
    <row r="84" spans="1:2">
      <c r="A84" s="274" t="s">
        <v>2042</v>
      </c>
      <c r="B84" s="275">
        <v>45832.375163391203</v>
      </c>
    </row>
    <row r="85" spans="1:2">
      <c r="A85" s="274" t="s">
        <v>2042</v>
      </c>
      <c r="B85" s="275">
        <v>45832.379989629626</v>
      </c>
    </row>
    <row r="86" spans="1:2">
      <c r="A86" s="274" t="s">
        <v>2018</v>
      </c>
      <c r="B86" s="275">
        <v>45834.638151527775</v>
      </c>
    </row>
    <row r="87" spans="1:2">
      <c r="A87" s="274" t="s">
        <v>2000</v>
      </c>
      <c r="B87" s="275">
        <v>45838.412658657406</v>
      </c>
    </row>
    <row r="88" spans="1:2">
      <c r="A88" s="274" t="s">
        <v>2002</v>
      </c>
      <c r="B88" s="275">
        <v>45838.595353761571</v>
      </c>
    </row>
    <row r="89" spans="1:2">
      <c r="A89" s="274" t="s">
        <v>2000</v>
      </c>
      <c r="B89" s="275">
        <v>45839.545951655091</v>
      </c>
    </row>
    <row r="90" spans="1:2">
      <c r="A90" s="274" t="s">
        <v>2000</v>
      </c>
      <c r="B90" s="275">
        <v>45840.411407314816</v>
      </c>
    </row>
    <row r="91" spans="1:2">
      <c r="A91" s="274" t="s">
        <v>2000</v>
      </c>
      <c r="B91" s="275">
        <v>45845.558835555552</v>
      </c>
    </row>
    <row r="92" spans="1:2">
      <c r="A92" s="274" t="s">
        <v>2000</v>
      </c>
      <c r="B92" s="275">
        <v>45845.560252256946</v>
      </c>
    </row>
    <row r="93" spans="1:2">
      <c r="A93" s="274" t="s">
        <v>2000</v>
      </c>
      <c r="B93" s="275">
        <v>45845.567517326388</v>
      </c>
    </row>
    <row r="94" spans="1:2">
      <c r="A94" s="274" t="s">
        <v>2016</v>
      </c>
      <c r="B94" s="275">
        <v>45846.365887939814</v>
      </c>
    </row>
    <row r="95" spans="1:2">
      <c r="A95" s="274" t="s">
        <v>2016</v>
      </c>
      <c r="B95" s="275">
        <v>45846.402333391205</v>
      </c>
    </row>
    <row r="96" spans="1:2">
      <c r="A96" s="274" t="s">
        <v>2016</v>
      </c>
      <c r="B96" s="275">
        <v>45847.309146215281</v>
      </c>
    </row>
    <row r="97" spans="1:2">
      <c r="A97" s="274" t="s">
        <v>2016</v>
      </c>
      <c r="B97" s="275">
        <v>45847.321383252318</v>
      </c>
    </row>
    <row r="98" spans="1:2">
      <c r="A98" s="274" t="s">
        <v>2002</v>
      </c>
      <c r="B98" s="275">
        <v>45847.698139895831</v>
      </c>
    </row>
    <row r="99" spans="1:2">
      <c r="A99" s="274" t="s">
        <v>2016</v>
      </c>
      <c r="B99" s="275">
        <v>45849.346468946758</v>
      </c>
    </row>
    <row r="100" spans="1:2">
      <c r="A100" s="274" t="s">
        <v>2016</v>
      </c>
      <c r="B100" s="275">
        <v>45849.381395277778</v>
      </c>
    </row>
    <row r="101" spans="1:2">
      <c r="A101" s="274" t="s">
        <v>2016</v>
      </c>
      <c r="B101" s="275">
        <v>45849.471831388888</v>
      </c>
    </row>
    <row r="102" spans="1:2">
      <c r="A102" s="274" t="s">
        <v>2016</v>
      </c>
      <c r="B102" s="275">
        <v>45850.675041689814</v>
      </c>
    </row>
    <row r="103" spans="1:2">
      <c r="A103" s="274" t="s">
        <v>2000</v>
      </c>
      <c r="B103" s="275">
        <v>45859.568506203708</v>
      </c>
    </row>
    <row r="104" spans="1:2">
      <c r="A104" s="274" t="s">
        <v>2016</v>
      </c>
      <c r="B104" s="275">
        <v>45860.32743513889</v>
      </c>
    </row>
    <row r="105" spans="1:2">
      <c r="A105" s="274" t="s">
        <v>2016</v>
      </c>
      <c r="B105" s="275">
        <v>45860.354956620373</v>
      </c>
    </row>
    <row r="106" spans="1:2">
      <c r="A106" s="274" t="s">
        <v>2016</v>
      </c>
      <c r="B106" s="275">
        <v>45860.380537268516</v>
      </c>
    </row>
    <row r="107" spans="1:2">
      <c r="A107" s="274" t="s">
        <v>2000</v>
      </c>
      <c r="B107" s="275">
        <v>45861.96338346065</v>
      </c>
    </row>
    <row r="108" spans="1:2">
      <c r="A108" s="274" t="s">
        <v>2000</v>
      </c>
      <c r="B108" s="275">
        <v>45861.965515324075</v>
      </c>
    </row>
    <row r="109" spans="1:2">
      <c r="A109" s="274" t="s">
        <v>2016</v>
      </c>
      <c r="B109" s="275">
        <v>45863.417583680552</v>
      </c>
    </row>
    <row r="110" spans="1:2">
      <c r="A110" s="274" t="s">
        <v>2000</v>
      </c>
      <c r="B110" s="275">
        <v>45863.601633564816</v>
      </c>
    </row>
    <row r="111" spans="1:2">
      <c r="A111" s="274" t="s">
        <v>2016</v>
      </c>
      <c r="B111" s="275">
        <v>45870.506737835647</v>
      </c>
    </row>
    <row r="112" spans="1:2">
      <c r="A112" s="274" t="s">
        <v>2016</v>
      </c>
      <c r="B112" s="275">
        <v>45871.609527719906</v>
      </c>
    </row>
    <row r="113" spans="1:2">
      <c r="A113" s="274" t="s">
        <v>2016</v>
      </c>
      <c r="B113" s="275">
        <v>45873.325170520839</v>
      </c>
    </row>
    <row r="114" spans="1:2">
      <c r="A114" s="274" t="s">
        <v>2000</v>
      </c>
      <c r="B114" s="275">
        <v>45879.644796736116</v>
      </c>
    </row>
    <row r="115" spans="1:2">
      <c r="A115" s="274" t="s">
        <v>2018</v>
      </c>
      <c r="B115" s="275">
        <v>45880.349150810187</v>
      </c>
    </row>
    <row r="116" spans="1:2">
      <c r="A116" s="274" t="s">
        <v>2042</v>
      </c>
      <c r="B116" s="275">
        <v>45880.557151064815</v>
      </c>
    </row>
    <row r="117" spans="1:2">
      <c r="A117" s="274" t="s">
        <v>2042</v>
      </c>
      <c r="B117" s="275">
        <v>45880.567650324076</v>
      </c>
    </row>
    <row r="118" spans="1:2">
      <c r="A118" s="274" t="s">
        <v>2042</v>
      </c>
      <c r="B118" s="275">
        <v>45880.635209537038</v>
      </c>
    </row>
    <row r="119" spans="1:2">
      <c r="A119" s="274" t="s">
        <v>2042</v>
      </c>
      <c r="B119" s="275">
        <v>45881.320466655088</v>
      </c>
    </row>
    <row r="120" spans="1:2">
      <c r="A120" s="274" t="s">
        <v>2016</v>
      </c>
      <c r="B120" s="275">
        <v>45881.615271875002</v>
      </c>
    </row>
    <row r="121" spans="1:2">
      <c r="A121" s="274" t="s">
        <v>2042</v>
      </c>
      <c r="B121" s="275">
        <v>45882.32715986111</v>
      </c>
    </row>
    <row r="122" spans="1:2">
      <c r="A122" s="274" t="s">
        <v>2016</v>
      </c>
      <c r="B122" s="275">
        <v>45887.332094618054</v>
      </c>
    </row>
    <row r="123" spans="1:2">
      <c r="A123" s="274" t="s">
        <v>2000</v>
      </c>
      <c r="B123" s="275">
        <v>45889.365985868055</v>
      </c>
    </row>
    <row r="124" spans="1:2">
      <c r="A124" s="274" t="s">
        <v>2000</v>
      </c>
      <c r="B124" s="275">
        <v>45889.370011666666</v>
      </c>
    </row>
    <row r="125" spans="1:2">
      <c r="A125" s="274" t="s">
        <v>2000</v>
      </c>
      <c r="B125" s="275">
        <v>45889.375255231484</v>
      </c>
    </row>
    <row r="126" spans="1:2">
      <c r="A126" s="274" t="s">
        <v>2000</v>
      </c>
      <c r="B126" s="275">
        <v>45889.376214421296</v>
      </c>
    </row>
    <row r="127" spans="1:2">
      <c r="A127" s="274" t="s">
        <v>2016</v>
      </c>
      <c r="B127" s="275">
        <v>45891.377699212964</v>
      </c>
    </row>
    <row r="128" spans="1:2">
      <c r="A128" s="274" t="s">
        <v>2016</v>
      </c>
      <c r="B128" s="275">
        <v>45894.453604814815</v>
      </c>
    </row>
    <row r="129" spans="1:2">
      <c r="A129" s="274" t="s">
        <v>2002</v>
      </c>
      <c r="B129" s="275">
        <v>45898.354956724535</v>
      </c>
    </row>
    <row r="130" spans="1:2">
      <c r="A130" s="274" t="s">
        <v>2002</v>
      </c>
      <c r="B130" s="275">
        <v>45898.356230833335</v>
      </c>
    </row>
    <row r="131" spans="1:2">
      <c r="A131" s="274" t="s">
        <v>2008</v>
      </c>
      <c r="B131" s="275">
        <v>45909.548644699069</v>
      </c>
    </row>
    <row r="132" spans="1:2">
      <c r="A132" s="274" t="s">
        <v>2000</v>
      </c>
      <c r="B132" s="275">
        <v>45925.468359756946</v>
      </c>
    </row>
    <row r="133" spans="1:2">
      <c r="A133" s="274" t="s">
        <v>2002</v>
      </c>
      <c r="B133" s="275">
        <v>45931.365777314815</v>
      </c>
    </row>
    <row r="134" spans="1:2">
      <c r="A134" s="274" t="s">
        <v>2002</v>
      </c>
      <c r="B134" s="275">
        <v>45933.620775833333</v>
      </c>
    </row>
    <row r="135" spans="1:2">
      <c r="A135" s="274" t="s">
        <v>2002</v>
      </c>
      <c r="B135" s="275">
        <v>45936.567361782407</v>
      </c>
    </row>
    <row r="136" spans="1:2">
      <c r="A136" s="274" t="s">
        <v>2016</v>
      </c>
      <c r="B136" s="275">
        <v>45939.355745821755</v>
      </c>
    </row>
    <row r="137" spans="1:2">
      <c r="A137" s="274" t="s">
        <v>2016</v>
      </c>
      <c r="B137" s="275">
        <v>45943.311184502316</v>
      </c>
    </row>
    <row r="138" spans="1:2">
      <c r="A138" s="274" t="s">
        <v>2053</v>
      </c>
      <c r="B138" s="275">
        <v>45943.476231296299</v>
      </c>
    </row>
    <row r="139" spans="1:2">
      <c r="A139" s="274" t="s">
        <v>2053</v>
      </c>
      <c r="B139" s="275">
        <v>45943.569806782412</v>
      </c>
    </row>
    <row r="140" spans="1:2">
      <c r="A140" s="274" t="s">
        <v>2016</v>
      </c>
      <c r="B140" s="275">
        <v>45945.446669120371</v>
      </c>
    </row>
    <row r="141" spans="1:2">
      <c r="A141" s="274" t="s">
        <v>2006</v>
      </c>
      <c r="B141" s="275">
        <v>45946.6094834838</v>
      </c>
    </row>
    <row r="142" spans="1:2">
      <c r="A142" s="274" t="s">
        <v>2006</v>
      </c>
      <c r="B142" s="275">
        <v>45946.61470554398</v>
      </c>
    </row>
    <row r="143" spans="1:2">
      <c r="A143" s="274" t="s">
        <v>2006</v>
      </c>
      <c r="B143" s="275">
        <v>45946.634174664352</v>
      </c>
    </row>
    <row r="144" spans="1:2">
      <c r="A144" s="274" t="s">
        <v>2006</v>
      </c>
      <c r="B144" s="275">
        <v>45947.366312071761</v>
      </c>
    </row>
    <row r="145" spans="1:2">
      <c r="A145" s="274" t="s">
        <v>2006</v>
      </c>
      <c r="B145" s="275">
        <v>45947.419255428242</v>
      </c>
    </row>
    <row r="146" spans="1:2">
      <c r="A146" s="274" t="s">
        <v>2006</v>
      </c>
      <c r="B146" s="275">
        <v>45947.427097511572</v>
      </c>
    </row>
    <row r="147" spans="1:2">
      <c r="A147" s="274" t="s">
        <v>2006</v>
      </c>
      <c r="B147" s="275">
        <v>45947.428883773144</v>
      </c>
    </row>
    <row r="148" spans="1:2">
      <c r="A148" s="274" t="s">
        <v>2006</v>
      </c>
      <c r="B148" s="275">
        <v>45947.429107986114</v>
      </c>
    </row>
    <row r="149" spans="1:2">
      <c r="A149" s="274" t="s">
        <v>2006</v>
      </c>
      <c r="B149" s="275">
        <v>45947.43143626157</v>
      </c>
    </row>
    <row r="150" spans="1:2">
      <c r="A150" s="274" t="s">
        <v>2006</v>
      </c>
      <c r="B150" s="275">
        <v>45947.431699606481</v>
      </c>
    </row>
    <row r="151" spans="1:2">
      <c r="A151" s="274" t="s">
        <v>2016</v>
      </c>
      <c r="B151" s="275">
        <v>45949.752090972223</v>
      </c>
    </row>
    <row r="152" spans="1:2">
      <c r="A152" s="274" t="s">
        <v>2006</v>
      </c>
      <c r="B152" s="275">
        <v>45950.367631620371</v>
      </c>
    </row>
    <row r="153" spans="1:2">
      <c r="A153" s="274" t="s">
        <v>2042</v>
      </c>
      <c r="B153" s="275">
        <v>45950.764663518523</v>
      </c>
    </row>
    <row r="154" spans="1:2">
      <c r="A154" s="274" t="s">
        <v>2006</v>
      </c>
      <c r="B154" s="275">
        <v>45951.577179340282</v>
      </c>
    </row>
    <row r="155" spans="1:2">
      <c r="A155" s="274" t="s">
        <v>2048</v>
      </c>
      <c r="B155" s="275">
        <v>45952.611786875001</v>
      </c>
    </row>
    <row r="156" spans="1:2">
      <c r="A156" s="274" t="s">
        <v>2052</v>
      </c>
      <c r="B156" s="275">
        <v>45952.626540381942</v>
      </c>
    </row>
    <row r="157" spans="1:2">
      <c r="A157" s="274" t="s">
        <v>2016</v>
      </c>
      <c r="B157" s="275">
        <v>45953.323994351857</v>
      </c>
    </row>
    <row r="158" spans="1:2">
      <c r="A158" s="274" t="s">
        <v>2016</v>
      </c>
      <c r="B158" s="275">
        <v>45954.783257870367</v>
      </c>
    </row>
    <row r="159" spans="1:2">
      <c r="A159" s="274" t="s">
        <v>2000</v>
      </c>
      <c r="B159" s="275">
        <v>45958.374953032406</v>
      </c>
    </row>
    <row r="160" spans="1:2">
      <c r="A160" s="274" t="s">
        <v>2042</v>
      </c>
      <c r="B160" s="275">
        <v>45960.289179074069</v>
      </c>
    </row>
    <row r="161" spans="1:2">
      <c r="A161" s="274" t="s">
        <v>2002</v>
      </c>
      <c r="B161" s="275">
        <v>45960.361503182867</v>
      </c>
    </row>
    <row r="162" spans="1:2">
      <c r="A162" s="274" t="s">
        <v>2016</v>
      </c>
      <c r="B162" s="275">
        <v>45960.387656087958</v>
      </c>
    </row>
    <row r="163" spans="1:2">
      <c r="A163" s="274" t="s">
        <v>2048</v>
      </c>
      <c r="B163" s="275">
        <v>45960.494559467596</v>
      </c>
    </row>
    <row r="164" spans="1:2">
      <c r="A164" s="274" t="s">
        <v>2048</v>
      </c>
      <c r="B164" s="275">
        <v>45960.52790862268</v>
      </c>
    </row>
    <row r="165" spans="1:2">
      <c r="A165" s="274" t="s">
        <v>2048</v>
      </c>
      <c r="B165" s="275">
        <v>45960.681261076388</v>
      </c>
    </row>
    <row r="166" spans="1:2">
      <c r="A166" s="274" t="s">
        <v>2016</v>
      </c>
      <c r="B166" s="275">
        <v>45960.728114652782</v>
      </c>
    </row>
    <row r="167" spans="1:2">
      <c r="A167" s="274" t="s">
        <v>2016</v>
      </c>
      <c r="B167" s="275">
        <v>45961.324509432874</v>
      </c>
    </row>
    <row r="168" spans="1:2">
      <c r="A168" s="274" t="s">
        <v>2002</v>
      </c>
      <c r="B168" s="275">
        <v>45961.567936435182</v>
      </c>
    </row>
    <row r="169" spans="1:2">
      <c r="A169" s="274" t="s">
        <v>2048</v>
      </c>
      <c r="B169" s="275">
        <v>45965.540482951386</v>
      </c>
    </row>
    <row r="170" spans="1:2">
      <c r="A170" s="274" t="s">
        <v>2016</v>
      </c>
      <c r="B170" s="275">
        <v>45965.581397245369</v>
      </c>
    </row>
    <row r="171" spans="1:2">
      <c r="A171" s="274" t="s">
        <v>2004</v>
      </c>
      <c r="B171" s="275">
        <v>45966.610030243057</v>
      </c>
    </row>
    <row r="172" spans="1:2">
      <c r="A172" s="274" t="s">
        <v>2004</v>
      </c>
      <c r="B172" s="275">
        <v>45967.516947488424</v>
      </c>
    </row>
    <row r="173" spans="1:2">
      <c r="A173" s="274" t="s">
        <v>2048</v>
      </c>
      <c r="B173" s="275">
        <v>45968.735919189814</v>
      </c>
    </row>
    <row r="174" spans="1:2">
      <c r="A174" s="274" t="s">
        <v>2016</v>
      </c>
      <c r="B174" s="275">
        <v>45969.459807291671</v>
      </c>
    </row>
    <row r="175" spans="1:2">
      <c r="A175" s="274" t="s">
        <v>2016</v>
      </c>
      <c r="B175" s="275">
        <v>45970.639802696758</v>
      </c>
    </row>
    <row r="176" spans="1:2">
      <c r="A176" s="274" t="s">
        <v>2016</v>
      </c>
      <c r="B176" s="275">
        <v>45970.805319722218</v>
      </c>
    </row>
    <row r="177" spans="1:2">
      <c r="A177" s="274" t="s">
        <v>2002</v>
      </c>
      <c r="B177" s="275">
        <v>45971.506413495372</v>
      </c>
    </row>
    <row r="178" spans="1:2">
      <c r="A178" s="274" t="s">
        <v>2016</v>
      </c>
      <c r="B178" s="275">
        <v>45971.684672824078</v>
      </c>
    </row>
    <row r="179" spans="1:2">
      <c r="A179" s="274" t="s">
        <v>2002</v>
      </c>
      <c r="B179" s="275">
        <v>45973.508896446758</v>
      </c>
    </row>
    <row r="180" spans="1:2">
      <c r="A180" s="274" t="s">
        <v>2002</v>
      </c>
      <c r="B180" s="275">
        <v>45973.508901018518</v>
      </c>
    </row>
    <row r="181" spans="1:2">
      <c r="A181" s="274" t="s">
        <v>2002</v>
      </c>
      <c r="B181" s="275">
        <v>45975.251309282408</v>
      </c>
    </row>
    <row r="182" spans="1:2">
      <c r="A182" s="274" t="s">
        <v>2048</v>
      </c>
      <c r="B182" s="275">
        <v>45981.701574710649</v>
      </c>
    </row>
    <row r="183" spans="1:2">
      <c r="A183" s="274" t="s">
        <v>2048</v>
      </c>
      <c r="B183" s="275">
        <v>45981.716823854164</v>
      </c>
    </row>
    <row r="184" spans="1:2">
      <c r="A184" s="274" t="s">
        <v>2048</v>
      </c>
      <c r="B184" s="275">
        <v>45981.722119733793</v>
      </c>
    </row>
    <row r="185" spans="1:2">
      <c r="A185" s="274" t="s">
        <v>2016</v>
      </c>
      <c r="B185" s="275">
        <v>45985.539062777782</v>
      </c>
    </row>
    <row r="186" spans="1:2">
      <c r="A186" s="274" t="s">
        <v>2048</v>
      </c>
      <c r="B186" s="275">
        <v>45985.680147847219</v>
      </c>
    </row>
    <row r="187" spans="1:2">
      <c r="A187" s="274" t="s">
        <v>2016</v>
      </c>
      <c r="B187" s="275">
        <v>45989.516109421296</v>
      </c>
    </row>
    <row r="188" spans="1:2">
      <c r="A188" s="274" t="s">
        <v>2048</v>
      </c>
      <c r="B188" s="275">
        <v>45995.272135763887</v>
      </c>
    </row>
    <row r="189" spans="1:2">
      <c r="A189" s="274" t="s">
        <v>2002</v>
      </c>
      <c r="B189" s="275">
        <v>45995.65039836806</v>
      </c>
    </row>
    <row r="190" spans="1:2">
      <c r="A190" s="276"/>
      <c r="B190" s="276"/>
    </row>
    <row r="191" spans="1:2">
      <c r="A191" s="276"/>
      <c r="B191" s="276"/>
    </row>
    <row r="192" spans="1:2">
      <c r="A192" s="276"/>
      <c r="B192" s="276"/>
    </row>
    <row r="193" spans="1:2">
      <c r="A193" s="276"/>
      <c r="B193" s="276"/>
    </row>
    <row r="194" spans="1:2">
      <c r="A194" s="276"/>
      <c r="B194" s="276"/>
    </row>
    <row r="195" spans="1:2">
      <c r="A195" s="276"/>
      <c r="B195" s="276"/>
    </row>
    <row r="196" spans="1:2">
      <c r="A196" s="276"/>
      <c r="B196" s="276"/>
    </row>
    <row r="197" spans="1:2">
      <c r="A197" s="276"/>
      <c r="B197" s="276"/>
    </row>
    <row r="198" spans="1:2">
      <c r="A198" s="276"/>
      <c r="B198" s="276"/>
    </row>
    <row r="199" spans="1:2">
      <c r="A199" s="276"/>
      <c r="B199" s="276"/>
    </row>
    <row r="200" spans="1:2">
      <c r="A200" s="276"/>
      <c r="B200" s="276"/>
    </row>
    <row r="201" spans="1:2">
      <c r="A201" s="276"/>
      <c r="B201" s="276"/>
    </row>
    <row r="202" spans="1:2">
      <c r="A202" s="276"/>
      <c r="B202" s="276"/>
    </row>
    <row r="203" spans="1:2">
      <c r="A203" s="276"/>
      <c r="B203" s="276"/>
    </row>
    <row r="204" spans="1:2">
      <c r="A204" s="276"/>
      <c r="B204" s="276"/>
    </row>
    <row r="205" spans="1:2">
      <c r="A205" s="276"/>
      <c r="B205" s="276"/>
    </row>
    <row r="206" spans="1:2">
      <c r="A206" s="276"/>
      <c r="B206" s="276"/>
    </row>
    <row r="207" spans="1:2">
      <c r="A207" s="276"/>
      <c r="B207" s="276"/>
    </row>
    <row r="208" spans="1:2">
      <c r="A208" s="276"/>
      <c r="B208" s="276"/>
    </row>
    <row r="209" spans="1:2">
      <c r="A209" s="276"/>
      <c r="B209" s="276"/>
    </row>
    <row r="210" spans="1:2">
      <c r="A210" s="276"/>
      <c r="B210" s="276"/>
    </row>
    <row r="211" spans="1:2">
      <c r="A211" s="276"/>
      <c r="B211" s="276"/>
    </row>
    <row r="212" spans="1:2">
      <c r="A212" s="276"/>
      <c r="B212" s="276"/>
    </row>
    <row r="213" spans="1:2">
      <c r="A213" s="276"/>
      <c r="B213" s="276"/>
    </row>
    <row r="214" spans="1:2">
      <c r="A214" s="276"/>
      <c r="B214" s="276"/>
    </row>
    <row r="215" spans="1:2">
      <c r="A215" s="276"/>
      <c r="B215" s="276"/>
    </row>
    <row r="216" spans="1:2">
      <c r="A216" s="276"/>
      <c r="B216" s="276"/>
    </row>
    <row r="217" spans="1:2">
      <c r="A217" s="276"/>
      <c r="B217" s="276"/>
    </row>
    <row r="218" spans="1:2">
      <c r="A218" s="276"/>
      <c r="B218" s="276"/>
    </row>
    <row r="219" spans="1:2">
      <c r="A219" s="276"/>
      <c r="B219" s="276"/>
    </row>
    <row r="220" spans="1:2">
      <c r="A220" s="276"/>
      <c r="B220" s="276"/>
    </row>
    <row r="221" spans="1:2">
      <c r="A221" s="276"/>
      <c r="B221" s="276"/>
    </row>
    <row r="222" spans="1:2">
      <c r="A222" s="276"/>
      <c r="B222" s="276"/>
    </row>
    <row r="223" spans="1:2">
      <c r="A223" s="276"/>
      <c r="B223" s="276"/>
    </row>
    <row r="224" spans="1:2">
      <c r="A224" s="276"/>
      <c r="B224" s="276"/>
    </row>
    <row r="225" spans="1:2">
      <c r="A225" s="276"/>
      <c r="B225" s="276"/>
    </row>
    <row r="226" spans="1:2">
      <c r="A226" s="276"/>
      <c r="B226" s="276"/>
    </row>
    <row r="227" spans="1:2">
      <c r="A227" s="276"/>
      <c r="B227" s="276"/>
    </row>
    <row r="228" spans="1:2">
      <c r="A228" s="276"/>
      <c r="B228" s="276"/>
    </row>
    <row r="229" spans="1:2">
      <c r="A229" s="276"/>
      <c r="B229" s="276"/>
    </row>
    <row r="230" spans="1:2">
      <c r="A230" s="276"/>
      <c r="B230" s="276"/>
    </row>
    <row r="231" spans="1:2">
      <c r="A231" s="276"/>
      <c r="B231" s="276"/>
    </row>
    <row r="232" spans="1:2">
      <c r="A232" s="276"/>
      <c r="B232" s="276"/>
    </row>
    <row r="233" spans="1:2">
      <c r="A233" s="276"/>
      <c r="B233" s="276"/>
    </row>
    <row r="234" spans="1:2">
      <c r="A234" s="276"/>
      <c r="B234" s="276"/>
    </row>
    <row r="235" spans="1:2">
      <c r="A235" s="276"/>
      <c r="B235" s="276"/>
    </row>
    <row r="236" spans="1:2">
      <c r="A236" s="276"/>
      <c r="B236" s="276"/>
    </row>
    <row r="237" spans="1:2">
      <c r="A237" s="276"/>
      <c r="B237" s="276"/>
    </row>
    <row r="238" spans="1:2">
      <c r="A238" s="276"/>
      <c r="B238" s="276"/>
    </row>
    <row r="239" spans="1:2">
      <c r="A239" s="276"/>
      <c r="B239" s="276"/>
    </row>
    <row r="240" spans="1:2">
      <c r="A240" s="276"/>
      <c r="B240" s="276"/>
    </row>
    <row r="241" spans="1:2">
      <c r="A241" s="276"/>
      <c r="B241" s="276"/>
    </row>
    <row r="242" spans="1:2">
      <c r="A242" s="276"/>
      <c r="B242" s="276"/>
    </row>
    <row r="243" spans="1:2">
      <c r="A243" s="276"/>
      <c r="B243" s="276"/>
    </row>
    <row r="244" spans="1:2">
      <c r="A244" s="276"/>
      <c r="B244" s="276"/>
    </row>
    <row r="245" spans="1:2">
      <c r="A245" s="276"/>
      <c r="B245" s="276"/>
    </row>
    <row r="246" spans="1:2">
      <c r="A246" s="276"/>
      <c r="B246" s="276"/>
    </row>
    <row r="247" spans="1:2">
      <c r="A247" s="276"/>
      <c r="B247" s="276"/>
    </row>
    <row r="248" spans="1:2">
      <c r="A248" s="276"/>
      <c r="B248" s="276"/>
    </row>
    <row r="249" spans="1:2">
      <c r="A249" s="276"/>
      <c r="B249" s="276"/>
    </row>
    <row r="250" spans="1:2">
      <c r="A250" s="276"/>
      <c r="B250" s="276"/>
    </row>
    <row r="251" spans="1:2">
      <c r="A251" s="276"/>
      <c r="B251" s="276"/>
    </row>
    <row r="252" spans="1:2">
      <c r="A252" s="276"/>
      <c r="B252" s="276"/>
    </row>
    <row r="253" spans="1:2">
      <c r="A253" s="276"/>
      <c r="B253" s="276"/>
    </row>
    <row r="254" spans="1:2">
      <c r="A254" s="276"/>
      <c r="B254" s="276"/>
    </row>
    <row r="255" spans="1:2">
      <c r="A255" s="276"/>
      <c r="B255" s="276"/>
    </row>
    <row r="256" spans="1:2">
      <c r="A256" s="276"/>
      <c r="B256" s="276"/>
    </row>
    <row r="257" spans="1:2">
      <c r="A257" s="276"/>
      <c r="B257" s="276"/>
    </row>
    <row r="258" spans="1:2">
      <c r="A258" s="276"/>
      <c r="B258" s="276"/>
    </row>
    <row r="259" spans="1:2">
      <c r="A259" s="276"/>
      <c r="B259" s="276"/>
    </row>
    <row r="260" spans="1:2">
      <c r="A260" s="276"/>
      <c r="B260" s="276"/>
    </row>
    <row r="261" spans="1:2">
      <c r="A261" s="276"/>
      <c r="B261" s="276"/>
    </row>
    <row r="262" spans="1:2">
      <c r="A262" s="276"/>
      <c r="B262" s="276"/>
    </row>
    <row r="263" spans="1:2">
      <c r="A263" s="276"/>
      <c r="B263" s="276"/>
    </row>
    <row r="264" spans="1:2">
      <c r="A264" s="276"/>
      <c r="B264" s="276"/>
    </row>
    <row r="265" spans="1:2">
      <c r="A265" s="276"/>
      <c r="B265" s="276"/>
    </row>
    <row r="266" spans="1:2">
      <c r="A266" s="276"/>
      <c r="B266" s="276"/>
    </row>
    <row r="267" spans="1:2">
      <c r="A267" s="276"/>
      <c r="B267" s="276"/>
    </row>
    <row r="268" spans="1:2">
      <c r="A268" s="276"/>
      <c r="B268" s="276"/>
    </row>
    <row r="269" spans="1:2">
      <c r="A269" s="276"/>
      <c r="B269" s="276"/>
    </row>
    <row r="270" spans="1:2">
      <c r="A270" s="276"/>
      <c r="B270" s="276"/>
    </row>
    <row r="271" spans="1:2">
      <c r="A271" s="276"/>
      <c r="B271" s="276"/>
    </row>
    <row r="272" spans="1:2">
      <c r="A272" s="276"/>
      <c r="B272" s="276"/>
    </row>
    <row r="273" spans="1:2">
      <c r="A273" s="276"/>
      <c r="B273" s="276"/>
    </row>
    <row r="274" spans="1:2">
      <c r="A274" s="276"/>
      <c r="B274" s="276"/>
    </row>
    <row r="275" spans="1:2">
      <c r="A275" s="276"/>
      <c r="B275" s="276"/>
    </row>
    <row r="276" spans="1:2">
      <c r="A276" s="276"/>
      <c r="B276" s="276"/>
    </row>
    <row r="277" spans="1:2">
      <c r="A277" s="276"/>
      <c r="B277" s="276"/>
    </row>
    <row r="278" spans="1:2">
      <c r="A278" s="276"/>
      <c r="B278" s="276"/>
    </row>
    <row r="279" spans="1:2">
      <c r="A279" s="276"/>
      <c r="B279" s="276"/>
    </row>
    <row r="280" spans="1:2">
      <c r="A280" s="276"/>
      <c r="B280" s="276"/>
    </row>
    <row r="281" spans="1:2">
      <c r="A281" s="276"/>
      <c r="B281" s="276"/>
    </row>
    <row r="282" spans="1:2">
      <c r="A282" s="276"/>
      <c r="B282" s="276"/>
    </row>
    <row r="283" spans="1:2">
      <c r="A283" s="276"/>
      <c r="B283" s="276"/>
    </row>
    <row r="284" spans="1:2">
      <c r="A284" s="276"/>
      <c r="B284" s="276"/>
    </row>
    <row r="285" spans="1:2">
      <c r="A285" s="276"/>
      <c r="B285" s="276"/>
    </row>
    <row r="286" spans="1:2">
      <c r="A286" s="276"/>
      <c r="B286" s="276"/>
    </row>
    <row r="287" spans="1:2">
      <c r="A287" s="276"/>
      <c r="B287" s="276"/>
    </row>
    <row r="288" spans="1:2">
      <c r="A288" s="276"/>
      <c r="B288" s="276"/>
    </row>
    <row r="289" spans="1:2">
      <c r="A289" s="276"/>
      <c r="B289" s="276"/>
    </row>
    <row r="290" spans="1:2">
      <c r="A290" s="276"/>
      <c r="B290" s="276"/>
    </row>
    <row r="291" spans="1:2">
      <c r="A291" s="276"/>
      <c r="B291" s="276"/>
    </row>
    <row r="292" spans="1:2">
      <c r="A292" s="276"/>
      <c r="B292" s="276"/>
    </row>
    <row r="293" spans="1:2">
      <c r="A293" s="276"/>
      <c r="B293" s="276"/>
    </row>
    <row r="294" spans="1:2">
      <c r="A294" s="276"/>
      <c r="B294" s="276"/>
    </row>
    <row r="295" spans="1:2">
      <c r="A295" s="276"/>
      <c r="B295" s="276"/>
    </row>
    <row r="296" spans="1:2">
      <c r="A296" s="276"/>
      <c r="B296" s="276"/>
    </row>
    <row r="297" spans="1:2">
      <c r="A297" s="276"/>
      <c r="B297" s="276"/>
    </row>
    <row r="298" spans="1:2">
      <c r="A298" s="276"/>
      <c r="B298" s="276"/>
    </row>
    <row r="299" spans="1:2">
      <c r="A299" s="276"/>
      <c r="B299" s="276"/>
    </row>
    <row r="300" spans="1:2">
      <c r="A300" s="276"/>
      <c r="B300" s="276"/>
    </row>
    <row r="301" spans="1:2">
      <c r="A301" s="276"/>
      <c r="B301" s="276"/>
    </row>
    <row r="302" spans="1:2">
      <c r="A302" s="276"/>
      <c r="B302" s="276"/>
    </row>
    <row r="303" spans="1:2">
      <c r="A303" s="276"/>
      <c r="B303" s="276"/>
    </row>
    <row r="304" spans="1:2">
      <c r="A304" s="276"/>
      <c r="B304" s="276"/>
    </row>
    <row r="305" spans="1:2">
      <c r="A305" s="276"/>
      <c r="B305" s="276"/>
    </row>
    <row r="306" spans="1:2">
      <c r="A306" s="276"/>
      <c r="B306" s="276"/>
    </row>
    <row r="307" spans="1:2">
      <c r="A307" s="276"/>
      <c r="B307" s="276"/>
    </row>
    <row r="308" spans="1:2">
      <c r="A308" s="276"/>
      <c r="B308" s="276"/>
    </row>
    <row r="309" spans="1:2">
      <c r="A309" s="276"/>
      <c r="B309" s="276"/>
    </row>
    <row r="310" spans="1:2">
      <c r="A310" s="276"/>
      <c r="B310" s="276"/>
    </row>
    <row r="311" spans="1:2">
      <c r="A311" s="276"/>
      <c r="B311" s="276"/>
    </row>
    <row r="312" spans="1:2">
      <c r="A312" s="276"/>
      <c r="B312" s="276"/>
    </row>
    <row r="313" spans="1:2">
      <c r="A313" s="276"/>
      <c r="B313" s="276"/>
    </row>
    <row r="314" spans="1:2">
      <c r="A314" s="276"/>
      <c r="B314" s="276"/>
    </row>
    <row r="315" spans="1:2">
      <c r="A315" s="276"/>
      <c r="B315" s="276"/>
    </row>
    <row r="316" spans="1:2">
      <c r="A316" s="276"/>
      <c r="B316" s="276"/>
    </row>
    <row r="317" spans="1:2">
      <c r="A317" s="276"/>
      <c r="B317" s="276"/>
    </row>
    <row r="318" spans="1:2">
      <c r="A318" s="276"/>
      <c r="B318" s="276"/>
    </row>
    <row r="319" spans="1:2">
      <c r="A319" s="276"/>
      <c r="B319" s="276"/>
    </row>
    <row r="320" spans="1:2">
      <c r="A320" s="276"/>
      <c r="B320" s="276"/>
    </row>
    <row r="321" spans="1:2">
      <c r="A321" s="276"/>
      <c r="B321" s="276"/>
    </row>
    <row r="322" spans="1:2">
      <c r="A322" s="276"/>
      <c r="B322" s="276"/>
    </row>
    <row r="323" spans="1:2">
      <c r="A323" s="276"/>
      <c r="B323" s="276"/>
    </row>
    <row r="324" spans="1:2">
      <c r="A324" s="276"/>
      <c r="B324" s="276"/>
    </row>
    <row r="325" spans="1:2">
      <c r="A325" s="276"/>
      <c r="B325" s="276"/>
    </row>
    <row r="326" spans="1:2">
      <c r="A326" s="276"/>
      <c r="B326" s="276"/>
    </row>
    <row r="327" spans="1:2">
      <c r="A327" s="276"/>
      <c r="B327" s="276"/>
    </row>
    <row r="328" spans="1:2">
      <c r="A328" s="276"/>
      <c r="B328" s="276"/>
    </row>
    <row r="329" spans="1:2">
      <c r="A329" s="276"/>
      <c r="B329" s="276"/>
    </row>
    <row r="330" spans="1:2">
      <c r="A330" s="276"/>
      <c r="B330" s="276"/>
    </row>
    <row r="331" spans="1:2">
      <c r="A331" s="276"/>
      <c r="B331" s="276"/>
    </row>
    <row r="332" spans="1:2">
      <c r="A332" s="276"/>
      <c r="B332" s="276"/>
    </row>
    <row r="333" spans="1:2">
      <c r="A333" s="276"/>
      <c r="B333" s="276"/>
    </row>
    <row r="334" spans="1:2">
      <c r="A334" s="276"/>
      <c r="B334" s="276"/>
    </row>
    <row r="335" spans="1:2">
      <c r="A335" s="276"/>
      <c r="B335" s="276"/>
    </row>
    <row r="336" spans="1:2">
      <c r="A336" s="276"/>
      <c r="B336" s="276"/>
    </row>
    <row r="337" spans="1:2">
      <c r="A337" s="276"/>
      <c r="B337" s="276"/>
    </row>
    <row r="338" spans="1:2">
      <c r="A338" s="276"/>
      <c r="B338" s="276"/>
    </row>
    <row r="339" spans="1:2">
      <c r="A339" s="276"/>
      <c r="B339" s="276"/>
    </row>
    <row r="340" spans="1:2">
      <c r="A340" s="276"/>
      <c r="B340" s="276"/>
    </row>
    <row r="341" spans="1:2">
      <c r="A341" s="276"/>
      <c r="B341" s="276"/>
    </row>
    <row r="342" spans="1:2">
      <c r="A342" s="276"/>
      <c r="B342" s="276"/>
    </row>
    <row r="343" spans="1:2">
      <c r="A343" s="276"/>
      <c r="B343" s="276"/>
    </row>
    <row r="344" spans="1:2">
      <c r="A344" s="276"/>
      <c r="B344" s="276"/>
    </row>
    <row r="345" spans="1:2">
      <c r="A345" s="276"/>
      <c r="B345" s="276"/>
    </row>
    <row r="346" spans="1:2">
      <c r="A346" s="276"/>
      <c r="B346" s="276"/>
    </row>
    <row r="347" spans="1:2">
      <c r="A347" s="276"/>
      <c r="B347" s="276"/>
    </row>
    <row r="348" spans="1:2">
      <c r="A348" s="276"/>
      <c r="B348" s="276"/>
    </row>
    <row r="349" spans="1:2">
      <c r="A349" s="276"/>
      <c r="B349" s="276"/>
    </row>
    <row r="350" spans="1:2">
      <c r="A350" s="276"/>
      <c r="B350" s="276"/>
    </row>
    <row r="351" spans="1:2">
      <c r="A351" s="276"/>
      <c r="B351" s="276"/>
    </row>
    <row r="352" spans="1:2">
      <c r="A352" s="276"/>
      <c r="B352" s="276"/>
    </row>
    <row r="353" spans="1:2">
      <c r="A353" s="276"/>
      <c r="B353" s="276"/>
    </row>
    <row r="354" spans="1:2">
      <c r="A354" s="276"/>
      <c r="B354" s="276"/>
    </row>
    <row r="355" spans="1:2">
      <c r="A355" s="276"/>
      <c r="B355" s="276"/>
    </row>
    <row r="356" spans="1:2">
      <c r="A356" s="276"/>
      <c r="B356" s="276"/>
    </row>
    <row r="357" spans="1:2">
      <c r="A357" s="276"/>
      <c r="B357" s="276"/>
    </row>
    <row r="358" spans="1:2">
      <c r="A358" s="276"/>
      <c r="B358" s="276"/>
    </row>
    <row r="359" spans="1:2">
      <c r="A359" s="276"/>
      <c r="B359" s="276"/>
    </row>
    <row r="360" spans="1:2">
      <c r="A360" s="276"/>
      <c r="B360" s="276"/>
    </row>
    <row r="361" spans="1:2">
      <c r="A361" s="276"/>
      <c r="B361" s="276"/>
    </row>
    <row r="362" spans="1:2">
      <c r="A362" s="276"/>
      <c r="B362" s="276"/>
    </row>
    <row r="363" spans="1:2">
      <c r="A363" s="276"/>
      <c r="B363" s="276"/>
    </row>
    <row r="364" spans="1:2">
      <c r="A364" s="276"/>
      <c r="B364" s="276"/>
    </row>
    <row r="365" spans="1:2">
      <c r="A365" s="276"/>
      <c r="B365" s="276"/>
    </row>
    <row r="366" spans="1:2">
      <c r="A366" s="276"/>
      <c r="B366" s="276"/>
    </row>
    <row r="367" spans="1:2">
      <c r="A367" s="276"/>
      <c r="B367" s="276"/>
    </row>
    <row r="368" spans="1:2">
      <c r="A368" s="276"/>
      <c r="B368" s="276"/>
    </row>
    <row r="369" spans="1:2">
      <c r="A369" s="276"/>
      <c r="B369" s="276"/>
    </row>
    <row r="370" spans="1:2">
      <c r="A370" s="276"/>
      <c r="B370" s="276"/>
    </row>
    <row r="371" spans="1:2">
      <c r="A371" s="276"/>
      <c r="B371" s="276"/>
    </row>
    <row r="372" spans="1:2">
      <c r="A372" s="276"/>
      <c r="B372" s="276"/>
    </row>
    <row r="373" spans="1:2">
      <c r="A373" s="276"/>
      <c r="B373" s="276"/>
    </row>
    <row r="374" spans="1:2">
      <c r="A374" s="276"/>
      <c r="B374" s="276"/>
    </row>
    <row r="375" spans="1:2">
      <c r="A375" s="276"/>
      <c r="B375" s="276"/>
    </row>
    <row r="376" spans="1:2">
      <c r="A376" s="276"/>
      <c r="B376" s="276"/>
    </row>
    <row r="377" spans="1:2">
      <c r="A377" s="276"/>
      <c r="B377" s="276"/>
    </row>
    <row r="378" spans="1:2">
      <c r="A378" s="276"/>
      <c r="B378" s="276"/>
    </row>
    <row r="379" spans="1:2">
      <c r="A379" s="276"/>
      <c r="B379" s="276"/>
    </row>
    <row r="380" spans="1:2">
      <c r="A380" s="276"/>
      <c r="B380" s="276"/>
    </row>
    <row r="381" spans="1:2">
      <c r="A381" s="276"/>
      <c r="B381" s="276"/>
    </row>
    <row r="382" spans="1:2">
      <c r="A382" s="276"/>
      <c r="B382" s="276"/>
    </row>
    <row r="383" spans="1:2">
      <c r="A383" s="276"/>
      <c r="B383" s="276"/>
    </row>
    <row r="384" spans="1:2">
      <c r="A384" s="276"/>
      <c r="B384" s="276"/>
    </row>
    <row r="385" spans="1:2">
      <c r="A385" s="276"/>
      <c r="B385" s="276"/>
    </row>
    <row r="386" spans="1:2">
      <c r="A386" s="276"/>
      <c r="B386" s="276"/>
    </row>
    <row r="387" spans="1:2">
      <c r="A387" s="276"/>
      <c r="B387" s="276"/>
    </row>
    <row r="388" spans="1:2">
      <c r="A388" s="276"/>
      <c r="B388" s="276"/>
    </row>
    <row r="389" spans="1:2">
      <c r="A389" s="276"/>
      <c r="B389" s="276"/>
    </row>
    <row r="390" spans="1:2">
      <c r="A390" s="276"/>
      <c r="B390" s="276"/>
    </row>
    <row r="391" spans="1:2">
      <c r="A391" s="276"/>
      <c r="B391" s="276"/>
    </row>
    <row r="392" spans="1:2">
      <c r="A392" s="276"/>
      <c r="B392" s="276"/>
    </row>
    <row r="393" spans="1:2">
      <c r="A393" s="276"/>
      <c r="B393" s="276"/>
    </row>
    <row r="394" spans="1:2">
      <c r="A394" s="276"/>
      <c r="B394" s="276"/>
    </row>
    <row r="395" spans="1:2">
      <c r="A395" s="276"/>
      <c r="B395" s="276"/>
    </row>
    <row r="396" spans="1:2">
      <c r="A396" s="276"/>
      <c r="B396" s="276"/>
    </row>
    <row r="397" spans="1:2">
      <c r="A397" s="276"/>
      <c r="B397" s="276"/>
    </row>
    <row r="398" spans="1:2">
      <c r="A398" s="276"/>
      <c r="B398" s="276"/>
    </row>
    <row r="399" spans="1:2">
      <c r="A399" s="276"/>
      <c r="B399" s="276"/>
    </row>
    <row r="400" spans="1:2">
      <c r="A400" s="276"/>
      <c r="B400" s="276"/>
    </row>
    <row r="401" spans="1:2">
      <c r="A401" s="276"/>
      <c r="B401" s="276"/>
    </row>
    <row r="402" spans="1:2">
      <c r="A402" s="276"/>
      <c r="B402" s="276"/>
    </row>
    <row r="403" spans="1:2">
      <c r="A403" s="276"/>
      <c r="B403" s="276"/>
    </row>
    <row r="404" spans="1:2">
      <c r="A404" s="276"/>
      <c r="B404" s="276"/>
    </row>
    <row r="405" spans="1:2">
      <c r="A405" s="276"/>
      <c r="B405" s="276"/>
    </row>
    <row r="406" spans="1:2">
      <c r="A406" s="276"/>
      <c r="B406" s="276"/>
    </row>
    <row r="407" spans="1:2">
      <c r="A407" s="276"/>
      <c r="B407" s="276"/>
    </row>
    <row r="408" spans="1:2">
      <c r="A408" s="276"/>
      <c r="B408" s="276"/>
    </row>
    <row r="409" spans="1:2">
      <c r="A409" s="276"/>
      <c r="B409" s="276"/>
    </row>
    <row r="410" spans="1:2">
      <c r="A410" s="276"/>
      <c r="B410" s="276"/>
    </row>
    <row r="411" spans="1:2">
      <c r="A411" s="276"/>
      <c r="B411" s="276"/>
    </row>
    <row r="412" spans="1:2">
      <c r="A412" s="276"/>
      <c r="B412" s="276"/>
    </row>
    <row r="413" spans="1:2">
      <c r="A413" s="276"/>
      <c r="B413" s="276"/>
    </row>
    <row r="414" spans="1:2">
      <c r="A414" s="276"/>
      <c r="B414" s="276"/>
    </row>
    <row r="415" spans="1:2">
      <c r="A415" s="276"/>
      <c r="B415" s="276"/>
    </row>
    <row r="416" spans="1:2">
      <c r="A416" s="276"/>
      <c r="B416" s="276"/>
    </row>
    <row r="417" spans="1:2">
      <c r="A417" s="276"/>
      <c r="B417" s="276"/>
    </row>
    <row r="418" spans="1:2">
      <c r="A418" s="276"/>
      <c r="B418" s="276"/>
    </row>
    <row r="419" spans="1:2">
      <c r="A419" s="276"/>
      <c r="B419" s="276"/>
    </row>
    <row r="420" spans="1:2">
      <c r="A420" s="276"/>
      <c r="B420" s="276"/>
    </row>
    <row r="421" spans="1:2">
      <c r="A421" s="276"/>
      <c r="B421" s="276"/>
    </row>
    <row r="422" spans="1:2">
      <c r="A422" s="276"/>
      <c r="B422" s="276"/>
    </row>
    <row r="423" spans="1:2">
      <c r="A423" s="276"/>
      <c r="B423" s="276"/>
    </row>
    <row r="424" spans="1:2">
      <c r="A424" s="276"/>
      <c r="B424" s="276"/>
    </row>
    <row r="425" spans="1:2">
      <c r="A425" s="276"/>
      <c r="B425" s="276"/>
    </row>
    <row r="426" spans="1:2">
      <c r="A426" s="276"/>
      <c r="B426" s="276"/>
    </row>
    <row r="427" spans="1:2">
      <c r="A427" s="276"/>
      <c r="B427" s="276"/>
    </row>
    <row r="428" spans="1:2">
      <c r="A428" s="276"/>
      <c r="B428" s="276"/>
    </row>
    <row r="429" spans="1:2">
      <c r="A429" s="276"/>
      <c r="B429" s="276"/>
    </row>
    <row r="430" spans="1:2">
      <c r="A430" s="276"/>
      <c r="B430" s="276"/>
    </row>
    <row r="431" spans="1:2">
      <c r="A431" s="276"/>
      <c r="B431" s="276"/>
    </row>
    <row r="432" spans="1:2">
      <c r="A432" s="276"/>
      <c r="B432" s="276"/>
    </row>
    <row r="433" spans="1:2">
      <c r="A433" s="276"/>
      <c r="B433" s="276"/>
    </row>
    <row r="434" spans="1:2">
      <c r="A434" s="276"/>
      <c r="B434" s="276"/>
    </row>
    <row r="435" spans="1:2">
      <c r="A435" s="276"/>
      <c r="B435" s="276"/>
    </row>
    <row r="436" spans="1:2">
      <c r="A436" s="276"/>
      <c r="B436" s="276"/>
    </row>
    <row r="437" spans="1:2">
      <c r="A437" s="276"/>
      <c r="B437" s="276"/>
    </row>
    <row r="438" spans="1:2">
      <c r="A438" s="276"/>
      <c r="B438" s="276"/>
    </row>
    <row r="439" spans="1:2">
      <c r="A439" s="276"/>
      <c r="B439" s="276"/>
    </row>
    <row r="440" spans="1:2">
      <c r="A440" s="276"/>
      <c r="B440" s="276"/>
    </row>
    <row r="441" spans="1:2">
      <c r="A441" s="276"/>
      <c r="B441" s="276"/>
    </row>
    <row r="442" spans="1:2">
      <c r="A442" s="276"/>
      <c r="B442" s="276"/>
    </row>
    <row r="443" spans="1:2">
      <c r="A443" s="276"/>
      <c r="B443" s="276"/>
    </row>
    <row r="444" spans="1:2">
      <c r="A444" s="276"/>
      <c r="B444" s="276"/>
    </row>
    <row r="445" spans="1:2">
      <c r="A445" s="276"/>
      <c r="B445" s="276"/>
    </row>
    <row r="446" spans="1:2">
      <c r="A446" s="276"/>
      <c r="B446" s="276"/>
    </row>
    <row r="447" spans="1:2">
      <c r="A447" s="276"/>
      <c r="B447" s="276"/>
    </row>
    <row r="448" spans="1:2">
      <c r="A448" s="276"/>
      <c r="B448" s="276"/>
    </row>
    <row r="449" spans="1:2">
      <c r="A449" s="276"/>
      <c r="B449" s="276"/>
    </row>
    <row r="450" spans="1:2">
      <c r="A450" s="276"/>
      <c r="B450" s="276"/>
    </row>
    <row r="451" spans="1:2">
      <c r="A451" s="276"/>
      <c r="B451" s="276"/>
    </row>
    <row r="452" spans="1:2">
      <c r="A452" s="276"/>
      <c r="B452" s="276"/>
    </row>
    <row r="453" spans="1:2">
      <c r="A453" s="276"/>
      <c r="B453" s="276"/>
    </row>
    <row r="454" spans="1:2">
      <c r="A454" s="276"/>
      <c r="B454" s="276"/>
    </row>
    <row r="455" spans="1:2">
      <c r="A455" s="276"/>
      <c r="B455" s="276"/>
    </row>
    <row r="456" spans="1:2">
      <c r="A456" s="276"/>
      <c r="B456" s="276"/>
    </row>
    <row r="457" spans="1:2">
      <c r="A457" s="276"/>
      <c r="B457" s="276"/>
    </row>
    <row r="458" spans="1:2">
      <c r="A458" s="276"/>
      <c r="B458" s="276"/>
    </row>
    <row r="459" spans="1:2">
      <c r="A459" s="276"/>
      <c r="B459" s="276"/>
    </row>
    <row r="460" spans="1:2">
      <c r="A460" s="276"/>
      <c r="B460" s="276"/>
    </row>
    <row r="461" spans="1:2">
      <c r="A461" s="276"/>
      <c r="B461" s="276"/>
    </row>
    <row r="462" spans="1:2">
      <c r="A462" s="276"/>
      <c r="B462" s="276"/>
    </row>
    <row r="463" spans="1:2">
      <c r="A463" s="276"/>
      <c r="B463" s="276"/>
    </row>
    <row r="464" spans="1:2">
      <c r="A464" s="276"/>
      <c r="B464" s="276"/>
    </row>
    <row r="465" spans="1:2">
      <c r="A465" s="276"/>
      <c r="B465" s="276"/>
    </row>
    <row r="466" spans="1:2">
      <c r="A466" s="276"/>
      <c r="B466" s="276"/>
    </row>
    <row r="467" spans="1:2">
      <c r="A467" s="276"/>
      <c r="B467" s="276"/>
    </row>
    <row r="468" spans="1:2">
      <c r="A468" s="276"/>
      <c r="B468" s="276"/>
    </row>
    <row r="469" spans="1:2">
      <c r="A469" s="276"/>
      <c r="B469" s="276"/>
    </row>
    <row r="470" spans="1:2">
      <c r="A470" s="276"/>
      <c r="B470" s="276"/>
    </row>
    <row r="471" spans="1:2">
      <c r="A471" s="276"/>
      <c r="B471" s="276"/>
    </row>
    <row r="472" spans="1:2">
      <c r="A472" s="276"/>
      <c r="B472" s="276"/>
    </row>
    <row r="473" spans="1:2">
      <c r="A473" s="276"/>
      <c r="B473" s="276"/>
    </row>
    <row r="474" spans="1:2">
      <c r="A474" s="276"/>
      <c r="B474" s="276"/>
    </row>
    <row r="475" spans="1:2">
      <c r="A475" s="276"/>
      <c r="B475" s="276"/>
    </row>
    <row r="476" spans="1:2">
      <c r="A476" s="276"/>
      <c r="B476" s="276"/>
    </row>
    <row r="477" spans="1:2">
      <c r="A477" s="276"/>
      <c r="B477" s="276"/>
    </row>
    <row r="478" spans="1:2">
      <c r="A478" s="276"/>
      <c r="B478" s="276"/>
    </row>
    <row r="479" spans="1:2">
      <c r="A479" s="276"/>
      <c r="B479" s="276"/>
    </row>
    <row r="480" spans="1:2">
      <c r="A480" s="276"/>
      <c r="B480" s="276"/>
    </row>
    <row r="481" spans="1:2">
      <c r="A481" s="276"/>
      <c r="B481" s="276"/>
    </row>
    <row r="482" spans="1:2">
      <c r="A482" s="276"/>
      <c r="B482" s="276"/>
    </row>
    <row r="483" spans="1:2">
      <c r="A483" s="276"/>
      <c r="B483" s="276"/>
    </row>
    <row r="484" spans="1:2">
      <c r="A484" s="276"/>
      <c r="B484" s="276"/>
    </row>
    <row r="485" spans="1:2">
      <c r="A485" s="276"/>
      <c r="B485" s="276"/>
    </row>
    <row r="486" spans="1:2">
      <c r="A486" s="276"/>
      <c r="B486" s="276"/>
    </row>
    <row r="487" spans="1:2">
      <c r="A487" s="276"/>
      <c r="B487" s="276"/>
    </row>
    <row r="488" spans="1:2">
      <c r="A488" s="276"/>
      <c r="B488" s="276"/>
    </row>
    <row r="489" spans="1:2">
      <c r="A489" s="276"/>
      <c r="B489" s="276"/>
    </row>
    <row r="490" spans="1:2">
      <c r="A490" s="276"/>
      <c r="B490" s="276"/>
    </row>
    <row r="491" spans="1:2">
      <c r="A491" s="276"/>
      <c r="B491" s="276"/>
    </row>
    <row r="492" spans="1:2">
      <c r="A492" s="276"/>
      <c r="B492" s="276"/>
    </row>
    <row r="493" spans="1:2">
      <c r="A493" s="276"/>
      <c r="B493" s="276"/>
    </row>
    <row r="494" spans="1:2">
      <c r="A494" s="276"/>
      <c r="B494" s="276"/>
    </row>
    <row r="495" spans="1:2">
      <c r="A495" s="276"/>
      <c r="B495" s="276"/>
    </row>
    <row r="496" spans="1:2">
      <c r="A496" s="276"/>
      <c r="B496" s="276"/>
    </row>
    <row r="497" spans="1:2">
      <c r="A497" s="276"/>
      <c r="B497" s="276"/>
    </row>
    <row r="498" spans="1:2">
      <c r="A498" s="276"/>
      <c r="B498" s="276"/>
    </row>
    <row r="499" spans="1:2">
      <c r="A499" s="276"/>
      <c r="B499" s="276"/>
    </row>
    <row r="500" spans="1:2">
      <c r="A500" s="276"/>
      <c r="B500" s="276"/>
    </row>
    <row r="501" spans="1:2">
      <c r="A501" s="276"/>
      <c r="B501" s="276"/>
    </row>
    <row r="502" spans="1:2">
      <c r="A502" s="276"/>
      <c r="B502" s="276"/>
    </row>
    <row r="503" spans="1:2">
      <c r="A503" s="276"/>
      <c r="B503" s="276"/>
    </row>
    <row r="504" spans="1:2">
      <c r="A504" s="276"/>
      <c r="B504" s="276"/>
    </row>
    <row r="505" spans="1:2">
      <c r="A505" s="276"/>
      <c r="B505" s="276"/>
    </row>
    <row r="506" spans="1:2">
      <c r="A506" s="276"/>
      <c r="B506" s="276"/>
    </row>
    <row r="507" spans="1:2">
      <c r="A507" s="276"/>
      <c r="B507" s="276"/>
    </row>
    <row r="508" spans="1:2">
      <c r="A508" s="276"/>
      <c r="B508" s="276"/>
    </row>
    <row r="509" spans="1:2">
      <c r="A509" s="276"/>
      <c r="B509" s="276"/>
    </row>
    <row r="510" spans="1:2">
      <c r="A510" s="276"/>
      <c r="B510" s="276"/>
    </row>
    <row r="511" spans="1:2">
      <c r="A511" s="276"/>
      <c r="B511" s="276"/>
    </row>
    <row r="512" spans="1:2">
      <c r="A512" s="276"/>
      <c r="B512" s="276"/>
    </row>
    <row r="513" spans="1:2">
      <c r="A513" s="276"/>
      <c r="B513" s="276"/>
    </row>
    <row r="514" spans="1:2">
      <c r="A514" s="276"/>
      <c r="B514" s="276"/>
    </row>
    <row r="515" spans="1:2">
      <c r="A515" s="276"/>
      <c r="B515" s="276"/>
    </row>
    <row r="516" spans="1:2">
      <c r="A516" s="276"/>
      <c r="B516" s="276"/>
    </row>
    <row r="517" spans="1:2">
      <c r="A517" s="276"/>
      <c r="B517" s="276"/>
    </row>
    <row r="518" spans="1:2">
      <c r="A518" s="276"/>
      <c r="B518" s="276"/>
    </row>
    <row r="519" spans="1:2">
      <c r="A519" s="276"/>
      <c r="B519" s="276"/>
    </row>
    <row r="520" spans="1:2">
      <c r="A520" s="276"/>
      <c r="B520" s="276"/>
    </row>
    <row r="521" spans="1:2">
      <c r="A521" s="276"/>
      <c r="B521" s="276"/>
    </row>
    <row r="522" spans="1:2">
      <c r="A522" s="276"/>
      <c r="B522" s="276"/>
    </row>
    <row r="523" spans="1:2">
      <c r="A523" s="276"/>
      <c r="B523" s="276"/>
    </row>
    <row r="524" spans="1:2">
      <c r="A524" s="276"/>
      <c r="B524" s="276"/>
    </row>
    <row r="525" spans="1:2">
      <c r="A525" s="276"/>
      <c r="B525" s="276"/>
    </row>
    <row r="526" spans="1:2">
      <c r="A526" s="276"/>
      <c r="B526" s="276"/>
    </row>
    <row r="527" spans="1:2">
      <c r="A527" s="276"/>
      <c r="B527" s="276"/>
    </row>
    <row r="528" spans="1:2">
      <c r="A528" s="276"/>
      <c r="B528" s="276"/>
    </row>
    <row r="529" spans="1:2">
      <c r="A529" s="276"/>
      <c r="B529" s="276"/>
    </row>
    <row r="530" spans="1:2">
      <c r="A530" s="276"/>
      <c r="B530" s="276"/>
    </row>
    <row r="531" spans="1:2">
      <c r="A531" s="276"/>
      <c r="B531" s="276"/>
    </row>
    <row r="532" spans="1:2">
      <c r="A532" s="276"/>
      <c r="B532" s="276"/>
    </row>
    <row r="533" spans="1:2">
      <c r="A533" s="276"/>
      <c r="B533" s="276"/>
    </row>
    <row r="534" spans="1:2">
      <c r="A534" s="276"/>
      <c r="B534" s="276"/>
    </row>
    <row r="535" spans="1:2">
      <c r="A535" s="276"/>
      <c r="B535" s="276"/>
    </row>
    <row r="536" spans="1:2">
      <c r="A536" s="276"/>
      <c r="B536" s="276"/>
    </row>
    <row r="537" spans="1:2">
      <c r="A537" s="276"/>
      <c r="B537" s="276"/>
    </row>
    <row r="538" spans="1:2">
      <c r="A538" s="276"/>
      <c r="B538" s="276"/>
    </row>
    <row r="539" spans="1:2">
      <c r="A539" s="276"/>
      <c r="B539" s="276"/>
    </row>
    <row r="540" spans="1:2">
      <c r="A540" s="276"/>
      <c r="B540" s="276"/>
    </row>
    <row r="541" spans="1:2">
      <c r="A541" s="276"/>
      <c r="B541" s="276"/>
    </row>
    <row r="542" spans="1:2">
      <c r="A542" s="276"/>
      <c r="B542" s="276"/>
    </row>
    <row r="543" spans="1:2">
      <c r="A543" s="276"/>
      <c r="B543" s="276"/>
    </row>
    <row r="544" spans="1:2">
      <c r="A544" s="276"/>
      <c r="B544" s="276"/>
    </row>
    <row r="545" spans="1:2">
      <c r="A545" s="276"/>
      <c r="B545" s="276"/>
    </row>
    <row r="546" spans="1:2">
      <c r="A546" s="276"/>
      <c r="B546" s="276"/>
    </row>
    <row r="547" spans="1:2">
      <c r="A547" s="276"/>
      <c r="B547" s="276"/>
    </row>
    <row r="548" spans="1:2">
      <c r="A548" s="276"/>
      <c r="B548" s="276"/>
    </row>
    <row r="549" spans="1:2">
      <c r="A549" s="276"/>
      <c r="B549" s="276"/>
    </row>
    <row r="550" spans="1:2">
      <c r="A550" s="276"/>
      <c r="B550" s="276"/>
    </row>
    <row r="551" spans="1:2">
      <c r="A551" s="276"/>
      <c r="B551" s="276"/>
    </row>
    <row r="552" spans="1:2">
      <c r="A552" s="276"/>
      <c r="B552" s="276"/>
    </row>
    <row r="553" spans="1:2">
      <c r="A553" s="276"/>
      <c r="B553" s="276"/>
    </row>
    <row r="554" spans="1:2">
      <c r="A554" s="276"/>
      <c r="B554" s="276"/>
    </row>
    <row r="555" spans="1:2">
      <c r="A555" s="276"/>
      <c r="B555" s="276"/>
    </row>
    <row r="556" spans="1:2">
      <c r="A556" s="276"/>
      <c r="B556" s="276"/>
    </row>
    <row r="557" spans="1:2">
      <c r="A557" s="276"/>
      <c r="B557" s="276"/>
    </row>
    <row r="558" spans="1:2">
      <c r="A558" s="276"/>
      <c r="B558" s="276"/>
    </row>
    <row r="559" spans="1:2">
      <c r="A559" s="276"/>
      <c r="B559" s="276"/>
    </row>
    <row r="560" spans="1:2">
      <c r="A560" s="276"/>
      <c r="B560" s="276"/>
    </row>
    <row r="561" spans="1:2">
      <c r="A561" s="276"/>
      <c r="B561" s="276"/>
    </row>
    <row r="562" spans="1:2">
      <c r="A562" s="276"/>
      <c r="B562" s="276"/>
    </row>
    <row r="563" spans="1:2">
      <c r="A563" s="276"/>
      <c r="B563" s="276"/>
    </row>
    <row r="564" spans="1:2">
      <c r="A564" s="276"/>
      <c r="B564" s="276"/>
    </row>
    <row r="565" spans="1:2">
      <c r="A565" s="276"/>
      <c r="B565" s="276"/>
    </row>
    <row r="566" spans="1:2">
      <c r="A566" s="276"/>
      <c r="B566" s="276"/>
    </row>
    <row r="567" spans="1:2">
      <c r="A567" s="276"/>
      <c r="B567" s="276"/>
    </row>
    <row r="568" spans="1:2">
      <c r="A568" s="276"/>
      <c r="B568" s="276"/>
    </row>
    <row r="569" spans="1:2">
      <c r="A569" s="276"/>
      <c r="B569" s="276"/>
    </row>
    <row r="570" spans="1:2">
      <c r="A570" s="276"/>
      <c r="B570" s="276"/>
    </row>
    <row r="571" spans="1:2">
      <c r="A571" s="276"/>
      <c r="B571" s="276"/>
    </row>
    <row r="572" spans="1:2">
      <c r="A572" s="276"/>
      <c r="B572" s="276"/>
    </row>
    <row r="573" spans="1:2">
      <c r="A573" s="276"/>
      <c r="B573" s="276"/>
    </row>
    <row r="574" spans="1:2">
      <c r="A574" s="276"/>
      <c r="B574" s="276"/>
    </row>
    <row r="575" spans="1:2">
      <c r="A575" s="276"/>
      <c r="B575" s="276"/>
    </row>
    <row r="576" spans="1:2">
      <c r="A576" s="276"/>
      <c r="B576" s="276"/>
    </row>
    <row r="577" spans="1:2">
      <c r="A577" s="276"/>
      <c r="B577" s="276"/>
    </row>
    <row r="578" spans="1:2">
      <c r="A578" s="276"/>
      <c r="B578" s="276"/>
    </row>
    <row r="579" spans="1:2">
      <c r="A579" s="276"/>
      <c r="B579" s="276"/>
    </row>
    <row r="580" spans="1:2">
      <c r="A580" s="276"/>
      <c r="B580" s="276"/>
    </row>
    <row r="581" spans="1:2">
      <c r="A581" s="276"/>
      <c r="B581" s="276"/>
    </row>
    <row r="582" spans="1:2">
      <c r="A582" s="276"/>
      <c r="B582" s="276"/>
    </row>
    <row r="583" spans="1:2">
      <c r="A583" s="276"/>
      <c r="B583" s="276"/>
    </row>
    <row r="584" spans="1:2">
      <c r="A584" s="276"/>
      <c r="B584" s="276"/>
    </row>
    <row r="585" spans="1:2">
      <c r="A585" s="276"/>
      <c r="B585" s="276"/>
    </row>
    <row r="586" spans="1:2">
      <c r="A586" s="276"/>
      <c r="B586" s="276"/>
    </row>
    <row r="587" spans="1:2">
      <c r="A587" s="276"/>
      <c r="B587" s="276"/>
    </row>
    <row r="588" spans="1:2">
      <c r="A588" s="276"/>
      <c r="B588" s="276"/>
    </row>
    <row r="589" spans="1:2">
      <c r="A589" s="276"/>
      <c r="B589" s="276"/>
    </row>
    <row r="590" spans="1:2">
      <c r="A590" s="276"/>
      <c r="B590" s="276"/>
    </row>
    <row r="591" spans="1:2">
      <c r="A591" s="276"/>
      <c r="B591" s="276"/>
    </row>
    <row r="592" spans="1:2">
      <c r="A592" s="276"/>
      <c r="B592" s="276"/>
    </row>
    <row r="593" spans="1:2">
      <c r="A593" s="276"/>
      <c r="B593" s="276"/>
    </row>
    <row r="594" spans="1:2">
      <c r="A594" s="276"/>
      <c r="B594" s="276"/>
    </row>
    <row r="595" spans="1:2">
      <c r="A595" s="276"/>
      <c r="B595" s="276"/>
    </row>
    <row r="596" spans="1:2">
      <c r="A596" s="276"/>
      <c r="B596" s="276"/>
    </row>
    <row r="597" spans="1:2">
      <c r="A597" s="276"/>
      <c r="B597" s="276"/>
    </row>
    <row r="598" spans="1:2">
      <c r="A598" s="276"/>
      <c r="B598" s="276"/>
    </row>
    <row r="599" spans="1:2">
      <c r="A599" s="276"/>
      <c r="B599" s="276"/>
    </row>
    <row r="600" spans="1:2">
      <c r="A600" s="276"/>
      <c r="B600" s="276"/>
    </row>
    <row r="601" spans="1:2">
      <c r="A601" s="276"/>
      <c r="B601" s="276"/>
    </row>
    <row r="602" spans="1:2">
      <c r="A602" s="276"/>
      <c r="B602" s="276"/>
    </row>
    <row r="603" spans="1:2">
      <c r="A603" s="276"/>
      <c r="B603" s="276"/>
    </row>
    <row r="604" spans="1:2">
      <c r="A604" s="276"/>
      <c r="B604" s="276"/>
    </row>
    <row r="605" spans="1:2">
      <c r="A605" s="276"/>
      <c r="B605" s="276"/>
    </row>
    <row r="606" spans="1:2">
      <c r="A606" s="276"/>
      <c r="B606" s="276"/>
    </row>
    <row r="607" spans="1:2">
      <c r="A607" s="276"/>
      <c r="B607" s="276"/>
    </row>
    <row r="608" spans="1:2">
      <c r="A608" s="276"/>
      <c r="B608" s="276"/>
    </row>
    <row r="609" spans="1:2">
      <c r="A609" s="276"/>
      <c r="B609" s="276"/>
    </row>
    <row r="610" spans="1:2">
      <c r="A610" s="276"/>
      <c r="B610" s="276"/>
    </row>
    <row r="611" spans="1:2">
      <c r="A611" s="276"/>
      <c r="B611" s="276"/>
    </row>
    <row r="612" spans="1:2">
      <c r="A612" s="276"/>
      <c r="B612" s="276"/>
    </row>
    <row r="613" spans="1:2">
      <c r="A613" s="276"/>
      <c r="B613" s="276"/>
    </row>
    <row r="614" spans="1:2">
      <c r="A614" s="276"/>
      <c r="B614" s="276"/>
    </row>
    <row r="615" spans="1:2">
      <c r="A615" s="276"/>
      <c r="B615" s="276"/>
    </row>
    <row r="616" spans="1:2">
      <c r="A616" s="276"/>
      <c r="B616" s="276"/>
    </row>
    <row r="617" spans="1:2">
      <c r="A617" s="276"/>
      <c r="B617" s="276"/>
    </row>
    <row r="618" spans="1:2">
      <c r="A618" s="276"/>
      <c r="B618" s="276"/>
    </row>
    <row r="619" spans="1:2">
      <c r="A619" s="276"/>
      <c r="B619" s="276"/>
    </row>
    <row r="620" spans="1:2">
      <c r="A620" s="276"/>
      <c r="B620" s="276"/>
    </row>
    <row r="621" spans="1:2">
      <c r="A621" s="276"/>
      <c r="B621" s="276"/>
    </row>
    <row r="622" spans="1:2">
      <c r="A622" s="276"/>
      <c r="B622" s="276"/>
    </row>
    <row r="623" spans="1:2">
      <c r="A623" s="276"/>
      <c r="B623" s="276"/>
    </row>
    <row r="624" spans="1:2">
      <c r="A624" s="276"/>
      <c r="B624" s="276"/>
    </row>
    <row r="625" spans="1:2">
      <c r="A625" s="276"/>
      <c r="B625" s="276"/>
    </row>
    <row r="626" spans="1:2">
      <c r="A626" s="276"/>
      <c r="B626" s="276"/>
    </row>
    <row r="627" spans="1:2">
      <c r="A627" s="276"/>
      <c r="B627" s="276"/>
    </row>
    <row r="628" spans="1:2">
      <c r="A628" s="276"/>
      <c r="B628" s="276"/>
    </row>
    <row r="629" spans="1:2">
      <c r="A629" s="276"/>
      <c r="B629" s="276"/>
    </row>
    <row r="630" spans="1:2">
      <c r="A630" s="276"/>
      <c r="B630" s="276"/>
    </row>
    <row r="631" spans="1:2">
      <c r="A631" s="276"/>
      <c r="B631" s="276"/>
    </row>
    <row r="632" spans="1:2">
      <c r="A632" s="276"/>
      <c r="B632" s="276"/>
    </row>
    <row r="633" spans="1:2">
      <c r="A633" s="276"/>
      <c r="B633" s="276"/>
    </row>
    <row r="634" spans="1:2">
      <c r="A634" s="276"/>
      <c r="B634" s="276"/>
    </row>
    <row r="635" spans="1:2">
      <c r="A635" s="276"/>
      <c r="B635" s="276"/>
    </row>
    <row r="636" spans="1:2">
      <c r="A636" s="276"/>
      <c r="B636" s="276"/>
    </row>
    <row r="637" spans="1:2">
      <c r="A637" s="276"/>
      <c r="B637" s="276"/>
    </row>
    <row r="638" spans="1:2">
      <c r="A638" s="276"/>
      <c r="B638" s="276"/>
    </row>
    <row r="639" spans="1:2">
      <c r="A639" s="276"/>
      <c r="B639" s="276"/>
    </row>
    <row r="640" spans="1:2">
      <c r="A640" s="276"/>
      <c r="B640" s="276"/>
    </row>
    <row r="641" spans="1:2">
      <c r="A641" s="276"/>
      <c r="B641" s="276"/>
    </row>
    <row r="642" spans="1:2">
      <c r="A642" s="276"/>
      <c r="B642" s="276"/>
    </row>
    <row r="643" spans="1:2">
      <c r="A643" s="276"/>
      <c r="B643" s="276"/>
    </row>
    <row r="644" spans="1:2">
      <c r="A644" s="276"/>
      <c r="B644" s="276"/>
    </row>
    <row r="645" spans="1:2">
      <c r="A645" s="276"/>
      <c r="B645" s="276"/>
    </row>
    <row r="646" spans="1:2">
      <c r="A646" s="276"/>
      <c r="B646" s="276"/>
    </row>
    <row r="647" spans="1:2">
      <c r="A647" s="276"/>
      <c r="B647" s="276"/>
    </row>
    <row r="648" spans="1:2">
      <c r="A648" s="276"/>
      <c r="B648" s="276"/>
    </row>
    <row r="649" spans="1:2">
      <c r="A649" s="276"/>
      <c r="B649" s="276"/>
    </row>
    <row r="650" spans="1:2">
      <c r="A650" s="276"/>
      <c r="B650" s="276"/>
    </row>
    <row r="651" spans="1:2">
      <c r="A651" s="276"/>
      <c r="B651" s="276"/>
    </row>
    <row r="652" spans="1:2">
      <c r="A652" s="276"/>
      <c r="B652" s="276"/>
    </row>
    <row r="653" spans="1:2">
      <c r="A653" s="276"/>
      <c r="B653" s="276"/>
    </row>
    <row r="654" spans="1:2">
      <c r="A654" s="276"/>
      <c r="B654" s="276"/>
    </row>
    <row r="655" spans="1:2">
      <c r="A655" s="276"/>
      <c r="B655" s="276"/>
    </row>
    <row r="656" spans="1:2">
      <c r="A656" s="276"/>
      <c r="B656" s="276"/>
    </row>
    <row r="657" spans="1:2">
      <c r="A657" s="276"/>
      <c r="B657" s="276"/>
    </row>
    <row r="658" spans="1:2">
      <c r="A658" s="276"/>
      <c r="B658" s="276"/>
    </row>
    <row r="659" spans="1:2">
      <c r="A659" s="276"/>
      <c r="B659" s="276"/>
    </row>
    <row r="660" spans="1:2">
      <c r="A660" s="276"/>
      <c r="B660" s="276"/>
    </row>
    <row r="661" spans="1:2">
      <c r="A661" s="276"/>
      <c r="B661" s="276"/>
    </row>
    <row r="662" spans="1:2">
      <c r="A662" s="276"/>
      <c r="B662" s="276"/>
    </row>
    <row r="663" spans="1:2">
      <c r="A663" s="276"/>
      <c r="B663" s="276"/>
    </row>
    <row r="664" spans="1:2">
      <c r="A664" s="276"/>
      <c r="B664" s="276"/>
    </row>
    <row r="665" spans="1:2">
      <c r="A665" s="276"/>
      <c r="B665" s="276"/>
    </row>
    <row r="666" spans="1:2">
      <c r="A666" s="276"/>
      <c r="B666" s="276"/>
    </row>
    <row r="667" spans="1:2">
      <c r="A667" s="276"/>
      <c r="B667" s="276"/>
    </row>
    <row r="668" spans="1:2">
      <c r="A668" s="276"/>
      <c r="B668" s="276"/>
    </row>
    <row r="669" spans="1:2">
      <c r="A669" s="276"/>
      <c r="B669" s="276"/>
    </row>
    <row r="670" spans="1:2">
      <c r="A670" s="276"/>
      <c r="B670" s="276"/>
    </row>
    <row r="671" spans="1:2">
      <c r="A671" s="276"/>
      <c r="B671" s="276"/>
    </row>
    <row r="672" spans="1:2">
      <c r="A672" s="276"/>
      <c r="B672" s="276"/>
    </row>
    <row r="673" spans="1:2">
      <c r="A673" s="276"/>
      <c r="B673" s="276"/>
    </row>
    <row r="674" spans="1:2">
      <c r="A674" s="276"/>
      <c r="B674" s="276"/>
    </row>
    <row r="675" spans="1:2">
      <c r="A675" s="276"/>
      <c r="B675" s="276"/>
    </row>
    <row r="676" spans="1:2">
      <c r="A676" s="276"/>
      <c r="B676" s="276"/>
    </row>
    <row r="677" spans="1:2">
      <c r="A677" s="276"/>
      <c r="B677" s="276"/>
    </row>
    <row r="678" spans="1:2">
      <c r="A678" s="276"/>
      <c r="B678" s="276"/>
    </row>
    <row r="679" spans="1:2">
      <c r="A679" s="276"/>
      <c r="B679" s="276"/>
    </row>
    <row r="680" spans="1:2">
      <c r="A680" s="276"/>
      <c r="B680" s="276"/>
    </row>
    <row r="681" spans="1:2">
      <c r="A681" s="276"/>
      <c r="B681" s="276"/>
    </row>
    <row r="682" spans="1:2">
      <c r="A682" s="276"/>
      <c r="B682" s="276"/>
    </row>
    <row r="683" spans="1:2">
      <c r="A683" s="276"/>
      <c r="B683" s="276"/>
    </row>
    <row r="684" spans="1:2">
      <c r="A684" s="276"/>
      <c r="B684" s="276"/>
    </row>
    <row r="685" spans="1:2">
      <c r="A685" s="276"/>
      <c r="B685" s="276"/>
    </row>
    <row r="686" spans="1:2">
      <c r="A686" s="276"/>
      <c r="B686" s="276"/>
    </row>
    <row r="687" spans="1:2">
      <c r="A687" s="276"/>
      <c r="B687" s="276"/>
    </row>
    <row r="688" spans="1:2">
      <c r="A688" s="276"/>
      <c r="B688" s="276"/>
    </row>
    <row r="689" spans="1:2">
      <c r="A689" s="276"/>
      <c r="B689" s="276"/>
    </row>
    <row r="690" spans="1:2">
      <c r="A690" s="276"/>
      <c r="B690" s="276"/>
    </row>
    <row r="691" spans="1:2">
      <c r="A691" s="276"/>
      <c r="B691" s="276"/>
    </row>
    <row r="692" spans="1:2">
      <c r="A692" s="276"/>
      <c r="B692" s="276"/>
    </row>
    <row r="693" spans="1:2">
      <c r="A693" s="276"/>
      <c r="B693" s="276"/>
    </row>
    <row r="694" spans="1:2">
      <c r="A694" s="276"/>
      <c r="B694" s="276"/>
    </row>
    <row r="695" spans="1:2">
      <c r="A695" s="276"/>
      <c r="B695" s="276"/>
    </row>
    <row r="696" spans="1:2">
      <c r="A696" s="276"/>
      <c r="B696" s="276"/>
    </row>
    <row r="697" spans="1:2">
      <c r="A697" s="276"/>
      <c r="B697" s="276"/>
    </row>
    <row r="698" spans="1:2">
      <c r="A698" s="276"/>
      <c r="B698" s="276"/>
    </row>
    <row r="699" spans="1:2">
      <c r="A699" s="276"/>
      <c r="B699" s="276"/>
    </row>
    <row r="700" spans="1:2">
      <c r="A700" s="276"/>
      <c r="B700" s="276"/>
    </row>
    <row r="701" spans="1:2">
      <c r="A701" s="276"/>
      <c r="B701" s="276"/>
    </row>
    <row r="702" spans="1:2">
      <c r="A702" s="276"/>
      <c r="B702" s="276"/>
    </row>
    <row r="703" spans="1:2">
      <c r="A703" s="276"/>
      <c r="B703" s="276"/>
    </row>
    <row r="704" spans="1:2">
      <c r="A704" s="276"/>
      <c r="B704" s="276"/>
    </row>
    <row r="705" spans="1:2">
      <c r="A705" s="276"/>
      <c r="B705" s="276"/>
    </row>
    <row r="706" spans="1:2">
      <c r="A706" s="276"/>
      <c r="B706" s="276"/>
    </row>
    <row r="707" spans="1:2">
      <c r="A707" s="276"/>
      <c r="B707" s="276"/>
    </row>
    <row r="708" spans="1:2">
      <c r="A708" s="276"/>
      <c r="B708" s="276"/>
    </row>
    <row r="709" spans="1:2">
      <c r="A709" s="276"/>
      <c r="B709" s="276"/>
    </row>
    <row r="710" spans="1:2">
      <c r="A710" s="276"/>
      <c r="B710" s="276"/>
    </row>
    <row r="711" spans="1:2">
      <c r="A711" s="276"/>
      <c r="B711" s="276"/>
    </row>
    <row r="712" spans="1:2">
      <c r="A712" s="276"/>
      <c r="B712" s="276"/>
    </row>
    <row r="713" spans="1:2">
      <c r="A713" s="276"/>
      <c r="B713" s="276"/>
    </row>
    <row r="714" spans="1:2">
      <c r="A714" s="276"/>
      <c r="B714" s="276"/>
    </row>
    <row r="715" spans="1:2">
      <c r="A715" s="276"/>
      <c r="B715" s="276"/>
    </row>
    <row r="716" spans="1:2">
      <c r="A716" s="276"/>
      <c r="B716" s="276"/>
    </row>
    <row r="717" spans="1:2">
      <c r="A717" s="276"/>
      <c r="B717" s="276"/>
    </row>
    <row r="718" spans="1:2">
      <c r="A718" s="276"/>
      <c r="B718" s="276"/>
    </row>
    <row r="719" spans="1:2">
      <c r="A719" s="276"/>
      <c r="B719" s="276"/>
    </row>
    <row r="720" spans="1:2">
      <c r="A720" s="276"/>
      <c r="B720" s="276"/>
    </row>
    <row r="721" spans="1:2">
      <c r="A721" s="276"/>
      <c r="B721" s="276"/>
    </row>
    <row r="722" spans="1:2">
      <c r="A722" s="276"/>
      <c r="B722" s="276"/>
    </row>
    <row r="723" spans="1:2">
      <c r="A723" s="276"/>
      <c r="B723" s="276"/>
    </row>
    <row r="724" spans="1:2">
      <c r="A724" s="276"/>
      <c r="B724" s="276"/>
    </row>
    <row r="725" spans="1:2">
      <c r="A725" s="276"/>
      <c r="B725" s="276"/>
    </row>
    <row r="726" spans="1:2">
      <c r="A726" s="276"/>
      <c r="B726" s="276"/>
    </row>
    <row r="727" spans="1:2">
      <c r="A727" s="276"/>
      <c r="B727" s="276"/>
    </row>
    <row r="728" spans="1:2">
      <c r="A728" s="276"/>
      <c r="B728" s="276"/>
    </row>
    <row r="729" spans="1:2">
      <c r="A729" s="276"/>
      <c r="B729" s="276"/>
    </row>
    <row r="730" spans="1:2">
      <c r="A730" s="276"/>
      <c r="B730" s="276"/>
    </row>
    <row r="731" spans="1:2">
      <c r="A731" s="276"/>
      <c r="B731" s="276"/>
    </row>
    <row r="732" spans="1:2">
      <c r="A732" s="276"/>
      <c r="B732" s="276"/>
    </row>
    <row r="733" spans="1:2">
      <c r="A733" s="276"/>
      <c r="B733" s="276"/>
    </row>
    <row r="734" spans="1:2">
      <c r="A734" s="276"/>
      <c r="B734" s="276"/>
    </row>
    <row r="735" spans="1:2">
      <c r="A735" s="276"/>
      <c r="B735" s="276"/>
    </row>
    <row r="736" spans="1:2">
      <c r="A736" s="276"/>
      <c r="B736" s="276"/>
    </row>
    <row r="737" spans="1:2">
      <c r="A737" s="276"/>
      <c r="B737" s="276"/>
    </row>
    <row r="738" spans="1:2">
      <c r="A738" s="276"/>
      <c r="B738" s="276"/>
    </row>
    <row r="739" spans="1:2">
      <c r="A739" s="276"/>
      <c r="B739" s="276"/>
    </row>
    <row r="740" spans="1:2">
      <c r="A740" s="276"/>
      <c r="B740" s="276"/>
    </row>
    <row r="741" spans="1:2">
      <c r="A741" s="276"/>
      <c r="B741" s="276"/>
    </row>
    <row r="742" spans="1:2">
      <c r="A742" s="276"/>
      <c r="B742" s="276"/>
    </row>
    <row r="743" spans="1:2">
      <c r="A743" s="276"/>
      <c r="B743" s="276"/>
    </row>
    <row r="744" spans="1:2">
      <c r="A744" s="276"/>
      <c r="B744" s="276"/>
    </row>
    <row r="745" spans="1:2">
      <c r="A745" s="276"/>
      <c r="B745" s="276"/>
    </row>
    <row r="746" spans="1:2">
      <c r="A746" s="276"/>
      <c r="B746" s="276"/>
    </row>
    <row r="747" spans="1:2">
      <c r="A747" s="276"/>
      <c r="B747" s="276"/>
    </row>
    <row r="748" spans="1:2">
      <c r="A748" s="276"/>
      <c r="B748" s="276"/>
    </row>
    <row r="749" spans="1:2">
      <c r="A749" s="276"/>
      <c r="B749" s="276"/>
    </row>
    <row r="750" spans="1:2">
      <c r="A750" s="276"/>
      <c r="B750" s="276"/>
    </row>
    <row r="751" spans="1:2">
      <c r="A751" s="276"/>
      <c r="B751" s="276"/>
    </row>
    <row r="752" spans="1:2">
      <c r="A752" s="276"/>
      <c r="B752" s="276"/>
    </row>
    <row r="753" spans="1:2">
      <c r="A753" s="276"/>
      <c r="B753" s="276"/>
    </row>
    <row r="754" spans="1:2">
      <c r="A754" s="276"/>
      <c r="B754" s="276"/>
    </row>
    <row r="755" spans="1:2">
      <c r="A755" s="276"/>
      <c r="B755" s="276"/>
    </row>
    <row r="756" spans="1:2">
      <c r="A756" s="276"/>
      <c r="B756" s="276"/>
    </row>
    <row r="757" spans="1:2">
      <c r="A757" s="276"/>
      <c r="B757" s="276"/>
    </row>
    <row r="758" spans="1:2">
      <c r="A758" s="276"/>
      <c r="B758" s="276"/>
    </row>
    <row r="759" spans="1:2">
      <c r="A759" s="276"/>
      <c r="B759" s="276"/>
    </row>
    <row r="760" spans="1:2">
      <c r="A760" s="276"/>
      <c r="B760" s="276"/>
    </row>
    <row r="761" spans="1:2">
      <c r="A761" s="276"/>
      <c r="B761" s="276"/>
    </row>
    <row r="762" spans="1:2">
      <c r="A762" s="276"/>
      <c r="B762" s="276"/>
    </row>
    <row r="763" spans="1:2">
      <c r="A763" s="276"/>
      <c r="B763" s="276"/>
    </row>
    <row r="764" spans="1:2">
      <c r="A764" s="276"/>
      <c r="B764" s="276"/>
    </row>
    <row r="765" spans="1:2">
      <c r="A765" s="276"/>
      <c r="B765" s="276"/>
    </row>
    <row r="766" spans="1:2">
      <c r="A766" s="276"/>
      <c r="B766" s="276"/>
    </row>
    <row r="767" spans="1:2">
      <c r="A767" s="276"/>
      <c r="B767" s="276"/>
    </row>
    <row r="768" spans="1:2">
      <c r="A768" s="276"/>
      <c r="B768" s="276"/>
    </row>
    <row r="769" spans="1:2">
      <c r="A769" s="276"/>
      <c r="B769" s="276"/>
    </row>
    <row r="770" spans="1:2">
      <c r="A770" s="276"/>
      <c r="B770" s="276"/>
    </row>
    <row r="771" spans="1:2">
      <c r="A771" s="276"/>
      <c r="B771" s="276"/>
    </row>
    <row r="772" spans="1:2">
      <c r="A772" s="276"/>
      <c r="B772" s="276"/>
    </row>
    <row r="773" spans="1:2">
      <c r="A773" s="276"/>
      <c r="B773" s="276"/>
    </row>
    <row r="774" spans="1:2">
      <c r="A774" s="276"/>
      <c r="B774" s="276"/>
    </row>
    <row r="775" spans="1:2">
      <c r="A775" s="276"/>
      <c r="B775" s="276"/>
    </row>
    <row r="776" spans="1:2">
      <c r="A776" s="276"/>
      <c r="B776" s="276"/>
    </row>
    <row r="777" spans="1:2">
      <c r="A777" s="276"/>
      <c r="B777" s="276"/>
    </row>
    <row r="778" spans="1:2">
      <c r="A778" s="276"/>
      <c r="B778" s="276"/>
    </row>
    <row r="779" spans="1:2">
      <c r="A779" s="276"/>
      <c r="B779" s="276"/>
    </row>
    <row r="780" spans="1:2">
      <c r="A780" s="276"/>
      <c r="B780" s="276"/>
    </row>
    <row r="781" spans="1:2">
      <c r="A781" s="276"/>
      <c r="B781" s="276"/>
    </row>
    <row r="782" spans="1:2">
      <c r="A782" s="276"/>
      <c r="B782" s="276"/>
    </row>
    <row r="783" spans="1:2">
      <c r="A783" s="276"/>
      <c r="B783" s="276"/>
    </row>
    <row r="784" spans="1:2">
      <c r="A784" s="276"/>
      <c r="B784" s="276"/>
    </row>
    <row r="785" spans="1:2">
      <c r="A785" s="276"/>
      <c r="B785" s="276"/>
    </row>
    <row r="786" spans="1:2">
      <c r="A786" s="276"/>
      <c r="B786" s="276"/>
    </row>
    <row r="787" spans="1:2">
      <c r="A787" s="276"/>
      <c r="B787" s="276"/>
    </row>
    <row r="788" spans="1:2">
      <c r="A788" s="276"/>
      <c r="B788" s="276"/>
    </row>
    <row r="789" spans="1:2">
      <c r="A789" s="276"/>
      <c r="B789" s="276"/>
    </row>
    <row r="790" spans="1:2">
      <c r="A790" s="276"/>
      <c r="B790" s="276"/>
    </row>
    <row r="791" spans="1:2">
      <c r="A791" s="276"/>
      <c r="B791" s="276"/>
    </row>
    <row r="792" spans="1:2">
      <c r="A792" s="276"/>
      <c r="B792" s="276"/>
    </row>
    <row r="793" spans="1:2">
      <c r="A793" s="276"/>
      <c r="B793" s="276"/>
    </row>
    <row r="794" spans="1:2">
      <c r="A794" s="276"/>
      <c r="B794" s="276"/>
    </row>
    <row r="795" spans="1:2">
      <c r="A795" s="276"/>
      <c r="B795" s="276"/>
    </row>
    <row r="796" spans="1:2">
      <c r="A796" s="276"/>
      <c r="B796" s="276"/>
    </row>
    <row r="797" spans="1:2">
      <c r="A797" s="276"/>
      <c r="B797" s="276"/>
    </row>
    <row r="798" spans="1:2">
      <c r="A798" s="276"/>
      <c r="B798" s="276"/>
    </row>
    <row r="799" spans="1:2">
      <c r="A799" s="276"/>
      <c r="B799" s="276"/>
    </row>
    <row r="800" spans="1:2">
      <c r="A800" s="276"/>
      <c r="B800" s="276"/>
    </row>
    <row r="801" spans="1:2">
      <c r="A801" s="276"/>
      <c r="B801" s="276"/>
    </row>
    <row r="802" spans="1:2">
      <c r="A802" s="276"/>
      <c r="B802" s="276"/>
    </row>
    <row r="803" spans="1:2">
      <c r="A803" s="276"/>
      <c r="B803" s="276"/>
    </row>
    <row r="804" spans="1:2">
      <c r="A804" s="276"/>
      <c r="B804" s="276"/>
    </row>
    <row r="805" spans="1:2">
      <c r="A805" s="276"/>
      <c r="B805" s="276"/>
    </row>
    <row r="806" spans="1:2">
      <c r="A806" s="276"/>
      <c r="B806" s="276"/>
    </row>
    <row r="807" spans="1:2">
      <c r="A807" s="276"/>
      <c r="B807" s="276"/>
    </row>
    <row r="808" spans="1:2">
      <c r="A808" s="276"/>
      <c r="B808" s="276"/>
    </row>
    <row r="809" spans="1:2">
      <c r="A809" s="276"/>
      <c r="B809" s="276"/>
    </row>
    <row r="810" spans="1:2">
      <c r="A810" s="276"/>
      <c r="B810" s="276"/>
    </row>
    <row r="811" spans="1:2">
      <c r="A811" s="276"/>
      <c r="B811" s="276"/>
    </row>
    <row r="812" spans="1:2">
      <c r="A812" s="276"/>
      <c r="B812" s="276"/>
    </row>
    <row r="813" spans="1:2">
      <c r="A813" s="276"/>
      <c r="B813" s="276"/>
    </row>
    <row r="814" spans="1:2">
      <c r="A814" s="276"/>
      <c r="B814" s="276"/>
    </row>
    <row r="815" spans="1:2">
      <c r="A815" s="276"/>
      <c r="B815" s="276"/>
    </row>
    <row r="816" spans="1:2">
      <c r="A816" s="276"/>
      <c r="B816" s="276"/>
    </row>
    <row r="817" spans="1:2">
      <c r="A817" s="276"/>
      <c r="B817" s="276"/>
    </row>
    <row r="818" spans="1:2">
      <c r="A818" s="276"/>
      <c r="B818" s="276"/>
    </row>
    <row r="819" spans="1:2">
      <c r="A819" s="276"/>
      <c r="B819" s="276"/>
    </row>
    <row r="820" spans="1:2">
      <c r="A820" s="276"/>
      <c r="B820" s="276"/>
    </row>
    <row r="821" spans="1:2">
      <c r="A821" s="276"/>
      <c r="B821" s="276"/>
    </row>
    <row r="822" spans="1:2">
      <c r="A822" s="276"/>
      <c r="B822" s="276"/>
    </row>
    <row r="823" spans="1:2">
      <c r="A823" s="276"/>
      <c r="B823" s="276"/>
    </row>
    <row r="824" spans="1:2">
      <c r="A824" s="276"/>
      <c r="B824" s="276"/>
    </row>
    <row r="825" spans="1:2">
      <c r="A825" s="276"/>
      <c r="B825" s="276"/>
    </row>
    <row r="826" spans="1:2">
      <c r="A826" s="276"/>
      <c r="B826" s="276"/>
    </row>
    <row r="827" spans="1:2">
      <c r="A827" s="276"/>
      <c r="B827" s="276"/>
    </row>
    <row r="828" spans="1:2">
      <c r="A828" s="276"/>
      <c r="B828" s="276"/>
    </row>
    <row r="829" spans="1:2">
      <c r="A829" s="276"/>
      <c r="B829" s="276"/>
    </row>
    <row r="830" spans="1:2">
      <c r="A830" s="276"/>
      <c r="B830" s="276"/>
    </row>
    <row r="831" spans="1:2">
      <c r="A831" s="276"/>
      <c r="B831" s="276"/>
    </row>
    <row r="832" spans="1:2">
      <c r="A832" s="276"/>
      <c r="B832" s="276"/>
    </row>
    <row r="833" spans="1:2">
      <c r="A833" s="276"/>
      <c r="B833" s="276"/>
    </row>
    <row r="834" spans="1:2">
      <c r="A834" s="276"/>
      <c r="B834" s="276"/>
    </row>
    <row r="835" spans="1:2">
      <c r="A835" s="276"/>
      <c r="B835" s="276"/>
    </row>
    <row r="836" spans="1:2">
      <c r="A836" s="276"/>
      <c r="B836" s="276"/>
    </row>
    <row r="837" spans="1:2">
      <c r="A837" s="276"/>
      <c r="B837" s="276"/>
    </row>
    <row r="838" spans="1:2">
      <c r="A838" s="276"/>
      <c r="B838" s="276"/>
    </row>
    <row r="839" spans="1:2">
      <c r="A839" s="276"/>
      <c r="B839" s="276"/>
    </row>
    <row r="840" spans="1:2">
      <c r="A840" s="276"/>
      <c r="B840" s="276"/>
    </row>
    <row r="841" spans="1:2">
      <c r="A841" s="276"/>
      <c r="B841" s="276"/>
    </row>
    <row r="842" spans="1:2">
      <c r="A842" s="276"/>
      <c r="B842" s="276"/>
    </row>
    <row r="843" spans="1:2">
      <c r="A843" s="276"/>
      <c r="B843" s="276"/>
    </row>
    <row r="844" spans="1:2">
      <c r="A844" s="276"/>
      <c r="B844" s="276"/>
    </row>
    <row r="845" spans="1:2">
      <c r="A845" s="276"/>
      <c r="B845" s="276"/>
    </row>
    <row r="846" spans="1:2">
      <c r="A846" s="276"/>
      <c r="B846" s="276"/>
    </row>
    <row r="847" spans="1:2">
      <c r="A847" s="276"/>
      <c r="B847" s="276"/>
    </row>
    <row r="848" spans="1:2">
      <c r="A848" s="276"/>
      <c r="B848" s="276"/>
    </row>
    <row r="849" spans="1:2">
      <c r="A849" s="276"/>
      <c r="B849" s="276"/>
    </row>
    <row r="850" spans="1:2">
      <c r="A850" s="276"/>
      <c r="B850" s="276"/>
    </row>
    <row r="851" spans="1:2">
      <c r="A851" s="276"/>
      <c r="B851" s="276"/>
    </row>
    <row r="852" spans="1:2">
      <c r="A852" s="276"/>
      <c r="B852" s="276"/>
    </row>
    <row r="853" spans="1:2">
      <c r="A853" s="276"/>
      <c r="B853" s="276"/>
    </row>
    <row r="854" spans="1:2">
      <c r="A854" s="276"/>
      <c r="B854" s="276"/>
    </row>
    <row r="855" spans="1:2">
      <c r="A855" s="276"/>
      <c r="B855" s="276"/>
    </row>
    <row r="856" spans="1:2">
      <c r="A856" s="276"/>
      <c r="B856" s="276"/>
    </row>
    <row r="857" spans="1:2">
      <c r="A857" s="276"/>
      <c r="B857" s="276"/>
    </row>
    <row r="858" spans="1:2">
      <c r="A858" s="276"/>
      <c r="B858" s="276"/>
    </row>
    <row r="859" spans="1:2">
      <c r="A859" s="276"/>
      <c r="B859" s="276"/>
    </row>
    <row r="860" spans="1:2">
      <c r="A860" s="276"/>
      <c r="B860" s="276"/>
    </row>
    <row r="861" spans="1:2">
      <c r="A861" s="276"/>
      <c r="B861" s="276"/>
    </row>
    <row r="862" spans="1:2">
      <c r="A862" s="276"/>
      <c r="B862" s="276"/>
    </row>
    <row r="863" spans="1:2">
      <c r="A863" s="276"/>
      <c r="B863" s="276"/>
    </row>
    <row r="864" spans="1:2">
      <c r="A864" s="276"/>
      <c r="B864" s="276"/>
    </row>
    <row r="865" spans="1:2">
      <c r="A865" s="276"/>
      <c r="B865" s="276"/>
    </row>
    <row r="866" spans="1:2">
      <c r="A866" s="276"/>
      <c r="B866" s="276"/>
    </row>
    <row r="867" spans="1:2">
      <c r="A867" s="276"/>
      <c r="B867" s="276"/>
    </row>
    <row r="868" spans="1:2">
      <c r="A868" s="276"/>
      <c r="B868" s="276"/>
    </row>
    <row r="869" spans="1:2">
      <c r="A869" s="276"/>
      <c r="B869" s="276"/>
    </row>
    <row r="870" spans="1:2">
      <c r="A870" s="276"/>
      <c r="B870" s="276"/>
    </row>
    <row r="871" spans="1:2">
      <c r="A871" s="276"/>
      <c r="B871" s="276"/>
    </row>
    <row r="872" spans="1:2">
      <c r="A872" s="276"/>
      <c r="B872" s="276"/>
    </row>
    <row r="873" spans="1:2">
      <c r="A873" s="276"/>
      <c r="B873" s="276"/>
    </row>
    <row r="874" spans="1:2">
      <c r="A874" s="276"/>
      <c r="B874" s="276"/>
    </row>
    <row r="875" spans="1:2">
      <c r="A875" s="276"/>
      <c r="B875" s="276"/>
    </row>
    <row r="876" spans="1:2">
      <c r="A876" s="276"/>
      <c r="B876" s="276"/>
    </row>
    <row r="877" spans="1:2">
      <c r="A877" s="276"/>
      <c r="B877" s="276"/>
    </row>
    <row r="878" spans="1:2">
      <c r="A878" s="276"/>
      <c r="B878" s="276"/>
    </row>
    <row r="879" spans="1:2">
      <c r="A879" s="276"/>
      <c r="B879" s="276"/>
    </row>
    <row r="880" spans="1:2">
      <c r="A880" s="276"/>
      <c r="B880" s="276"/>
    </row>
    <row r="881" spans="1:2">
      <c r="A881" s="276"/>
      <c r="B881" s="276"/>
    </row>
    <row r="882" spans="1:2">
      <c r="A882" s="276"/>
      <c r="B882" s="276"/>
    </row>
    <row r="883" spans="1:2">
      <c r="A883" s="276"/>
      <c r="B883" s="276"/>
    </row>
    <row r="884" spans="1:2">
      <c r="A884" s="276"/>
      <c r="B884" s="276"/>
    </row>
    <row r="885" spans="1:2">
      <c r="A885" s="276"/>
      <c r="B885" s="276"/>
    </row>
    <row r="886" spans="1:2">
      <c r="A886" s="276"/>
      <c r="B886" s="276"/>
    </row>
    <row r="887" spans="1:2">
      <c r="A887" s="276"/>
      <c r="B887" s="276"/>
    </row>
    <row r="888" spans="1:2">
      <c r="A888" s="276"/>
      <c r="B888" s="276"/>
    </row>
    <row r="889" spans="1:2">
      <c r="A889" s="276"/>
      <c r="B889" s="276"/>
    </row>
    <row r="890" spans="1:2">
      <c r="A890" s="276"/>
      <c r="B890" s="276"/>
    </row>
    <row r="891" spans="1:2">
      <c r="A891" s="276"/>
      <c r="B891" s="276"/>
    </row>
    <row r="892" spans="1:2">
      <c r="A892" s="276"/>
      <c r="B892" s="276"/>
    </row>
    <row r="893" spans="1:2">
      <c r="A893" s="276"/>
      <c r="B893" s="276"/>
    </row>
    <row r="894" spans="1:2">
      <c r="A894" s="276"/>
      <c r="B894" s="276"/>
    </row>
    <row r="895" spans="1:2">
      <c r="A895" s="276"/>
      <c r="B895" s="276"/>
    </row>
    <row r="896" spans="1:2">
      <c r="A896" s="276"/>
      <c r="B896" s="276"/>
    </row>
    <row r="897" spans="1:2">
      <c r="A897" s="276"/>
      <c r="B897" s="276"/>
    </row>
    <row r="898" spans="1:2">
      <c r="A898" s="276"/>
      <c r="B898" s="276"/>
    </row>
    <row r="899" spans="1:2">
      <c r="A899" s="276"/>
      <c r="B899" s="276"/>
    </row>
    <row r="900" spans="1:2">
      <c r="A900" s="276"/>
      <c r="B900" s="276"/>
    </row>
    <row r="901" spans="1:2">
      <c r="A901" s="276"/>
      <c r="B901" s="276"/>
    </row>
    <row r="902" spans="1:2">
      <c r="A902" s="276"/>
      <c r="B902" s="276"/>
    </row>
    <row r="903" spans="1:2">
      <c r="A903" s="276"/>
      <c r="B903" s="276"/>
    </row>
    <row r="904" spans="1:2">
      <c r="A904" s="276"/>
      <c r="B904" s="276"/>
    </row>
    <row r="905" spans="1:2">
      <c r="A905" s="276"/>
      <c r="B905" s="276"/>
    </row>
    <row r="906" spans="1:2">
      <c r="A906" s="276"/>
      <c r="B906" s="276"/>
    </row>
    <row r="907" spans="1:2">
      <c r="A907" s="276"/>
      <c r="B907" s="276"/>
    </row>
    <row r="908" spans="1:2">
      <c r="A908" s="276"/>
      <c r="B908" s="276"/>
    </row>
    <row r="909" spans="1:2">
      <c r="A909" s="276"/>
      <c r="B909" s="276"/>
    </row>
    <row r="910" spans="1:2">
      <c r="A910" s="276"/>
      <c r="B910" s="276"/>
    </row>
    <row r="911" spans="1:2">
      <c r="A911" s="276"/>
      <c r="B911" s="276"/>
    </row>
    <row r="912" spans="1:2">
      <c r="A912" s="276"/>
      <c r="B912" s="276"/>
    </row>
    <row r="913" spans="1:2">
      <c r="A913" s="276"/>
      <c r="B913" s="276"/>
    </row>
    <row r="914" spans="1:2">
      <c r="A914" s="276"/>
      <c r="B914" s="276"/>
    </row>
    <row r="915" spans="1:2">
      <c r="A915" s="276"/>
      <c r="B915" s="276"/>
    </row>
    <row r="916" spans="1:2">
      <c r="A916" s="276"/>
      <c r="B916" s="276"/>
    </row>
    <row r="917" spans="1:2">
      <c r="A917" s="276"/>
      <c r="B917" s="276"/>
    </row>
    <row r="918" spans="1:2">
      <c r="A918" s="276"/>
      <c r="B918" s="276"/>
    </row>
    <row r="919" spans="1:2">
      <c r="A919" s="276"/>
      <c r="B919" s="276"/>
    </row>
    <row r="920" spans="1:2">
      <c r="A920" s="276"/>
      <c r="B920" s="276"/>
    </row>
    <row r="921" spans="1:2">
      <c r="A921" s="276"/>
      <c r="B921" s="276"/>
    </row>
    <row r="922" spans="1:2">
      <c r="A922" s="276"/>
      <c r="B922" s="276"/>
    </row>
    <row r="923" spans="1:2">
      <c r="A923" s="276"/>
      <c r="B923" s="276"/>
    </row>
    <row r="924" spans="1:2">
      <c r="A924" s="276"/>
      <c r="B924" s="276"/>
    </row>
    <row r="925" spans="1:2">
      <c r="A925" s="276"/>
      <c r="B925" s="276"/>
    </row>
    <row r="926" spans="1:2">
      <c r="A926" s="276"/>
      <c r="B926" s="276"/>
    </row>
    <row r="927" spans="1:2">
      <c r="A927" s="276"/>
      <c r="B927" s="276"/>
    </row>
    <row r="928" spans="1:2">
      <c r="A928" s="276"/>
      <c r="B928" s="276"/>
    </row>
    <row r="929" spans="1:2">
      <c r="A929" s="276"/>
      <c r="B929" s="276"/>
    </row>
    <row r="930" spans="1:2">
      <c r="A930" s="276"/>
      <c r="B930" s="276"/>
    </row>
    <row r="931" spans="1:2">
      <c r="A931" s="276"/>
      <c r="B931" s="276"/>
    </row>
    <row r="932" spans="1:2">
      <c r="A932" s="276"/>
      <c r="B932" s="276"/>
    </row>
    <row r="933" spans="1:2">
      <c r="A933" s="276"/>
      <c r="B933" s="276"/>
    </row>
    <row r="934" spans="1:2">
      <c r="A934" s="276"/>
      <c r="B934" s="276"/>
    </row>
    <row r="935" spans="1:2">
      <c r="A935" s="276"/>
      <c r="B935" s="276"/>
    </row>
    <row r="936" spans="1:2">
      <c r="A936" s="276"/>
      <c r="B936" s="276"/>
    </row>
    <row r="937" spans="1:2">
      <c r="A937" s="276"/>
      <c r="B937" s="276"/>
    </row>
    <row r="938" spans="1:2">
      <c r="A938" s="276"/>
      <c r="B938" s="276"/>
    </row>
    <row r="939" spans="1:2">
      <c r="A939" s="276"/>
      <c r="B939" s="276"/>
    </row>
    <row r="940" spans="1:2">
      <c r="A940" s="276"/>
      <c r="B940" s="276"/>
    </row>
    <row r="941" spans="1:2">
      <c r="A941" s="276"/>
      <c r="B941" s="276"/>
    </row>
    <row r="942" spans="1:2">
      <c r="A942" s="276"/>
      <c r="B942" s="276"/>
    </row>
    <row r="943" spans="1:2">
      <c r="A943" s="276"/>
      <c r="B943" s="276"/>
    </row>
    <row r="944" spans="1:2">
      <c r="A944" s="276"/>
      <c r="B944" s="276"/>
    </row>
    <row r="945" spans="1:2">
      <c r="A945" s="276"/>
      <c r="B945" s="276"/>
    </row>
    <row r="946" spans="1:2">
      <c r="A946" s="276"/>
      <c r="B946" s="276"/>
    </row>
    <row r="947" spans="1:2">
      <c r="A947" s="276"/>
      <c r="B947" s="276"/>
    </row>
    <row r="948" spans="1:2">
      <c r="A948" s="276"/>
      <c r="B948" s="276"/>
    </row>
    <row r="949" spans="1:2">
      <c r="A949" s="276"/>
      <c r="B949" s="276"/>
    </row>
    <row r="950" spans="1:2">
      <c r="A950" s="276"/>
      <c r="B950" s="276"/>
    </row>
    <row r="951" spans="1:2">
      <c r="A951" s="276"/>
      <c r="B951" s="276"/>
    </row>
    <row r="952" spans="1:2">
      <c r="A952" s="276"/>
      <c r="B952" s="276"/>
    </row>
    <row r="953" spans="1:2">
      <c r="A953" s="276"/>
      <c r="B953" s="276"/>
    </row>
    <row r="954" spans="1:2">
      <c r="A954" s="276"/>
      <c r="B954" s="276"/>
    </row>
    <row r="955" spans="1:2">
      <c r="A955" s="276"/>
      <c r="B955" s="276"/>
    </row>
    <row r="956" spans="1:2">
      <c r="A956" s="276"/>
      <c r="B956" s="276"/>
    </row>
    <row r="957" spans="1:2">
      <c r="A957" s="276"/>
      <c r="B957" s="276"/>
    </row>
    <row r="958" spans="1:2">
      <c r="A958" s="276"/>
      <c r="B958" s="276"/>
    </row>
    <row r="959" spans="1:2">
      <c r="A959" s="276"/>
      <c r="B959" s="276"/>
    </row>
    <row r="960" spans="1:2">
      <c r="A960" s="276"/>
      <c r="B960" s="276"/>
    </row>
    <row r="961" spans="1:2">
      <c r="A961" s="276"/>
      <c r="B961" s="276"/>
    </row>
    <row r="962" spans="1:2">
      <c r="A962" s="276"/>
      <c r="B962" s="276"/>
    </row>
    <row r="963" spans="1:2">
      <c r="A963" s="276"/>
      <c r="B963" s="276"/>
    </row>
    <row r="964" spans="1:2">
      <c r="A964" s="276"/>
      <c r="B964" s="276"/>
    </row>
    <row r="965" spans="1:2">
      <c r="A965" s="276"/>
      <c r="B965" s="276"/>
    </row>
    <row r="966" spans="1:2">
      <c r="A966" s="276"/>
      <c r="B966" s="276"/>
    </row>
    <row r="967" spans="1:2">
      <c r="A967" s="276"/>
      <c r="B967" s="276"/>
    </row>
    <row r="968" spans="1:2">
      <c r="A968" s="276"/>
      <c r="B968" s="276"/>
    </row>
    <row r="969" spans="1:2">
      <c r="A969" s="276"/>
      <c r="B969" s="276"/>
    </row>
    <row r="970" spans="1:2">
      <c r="A970" s="276"/>
      <c r="B970" s="276"/>
    </row>
    <row r="971" spans="1:2">
      <c r="A971" s="276"/>
      <c r="B971" s="276"/>
    </row>
    <row r="972" spans="1:2">
      <c r="A972" s="276"/>
      <c r="B972" s="276"/>
    </row>
    <row r="973" spans="1:2">
      <c r="A973" s="276"/>
      <c r="B973" s="276"/>
    </row>
    <row r="974" spans="1:2">
      <c r="A974" s="276"/>
      <c r="B974" s="276"/>
    </row>
    <row r="975" spans="1:2">
      <c r="A975" s="276"/>
      <c r="B975" s="276"/>
    </row>
    <row r="976" spans="1:2">
      <c r="A976" s="276"/>
      <c r="B976" s="276"/>
    </row>
    <row r="977" spans="1:2">
      <c r="A977" s="276"/>
      <c r="B977" s="276"/>
    </row>
    <row r="978" spans="1:2">
      <c r="A978" s="276"/>
      <c r="B978" s="276"/>
    </row>
    <row r="979" spans="1:2">
      <c r="A979" s="276"/>
      <c r="B979" s="276"/>
    </row>
    <row r="980" spans="1:2">
      <c r="A980" s="276"/>
      <c r="B980" s="276"/>
    </row>
    <row r="981" spans="1:2">
      <c r="A981" s="276"/>
      <c r="B981" s="276"/>
    </row>
    <row r="982" spans="1:2">
      <c r="A982" s="276"/>
      <c r="B982" s="276"/>
    </row>
    <row r="983" spans="1:2">
      <c r="A983" s="276"/>
      <c r="B983" s="276"/>
    </row>
    <row r="984" spans="1:2">
      <c r="A984" s="276"/>
      <c r="B984" s="276"/>
    </row>
    <row r="985" spans="1:2">
      <c r="A985" s="276"/>
      <c r="B985" s="276"/>
    </row>
    <row r="986" spans="1:2">
      <c r="A986" s="276"/>
      <c r="B986" s="276"/>
    </row>
    <row r="987" spans="1:2">
      <c r="A987" s="276"/>
      <c r="B987" s="276"/>
    </row>
    <row r="988" spans="1:2">
      <c r="A988" s="276"/>
      <c r="B988" s="276"/>
    </row>
    <row r="989" spans="1:2">
      <c r="A989" s="276"/>
      <c r="B989" s="276"/>
    </row>
    <row r="990" spans="1:2">
      <c r="A990" s="276"/>
      <c r="B990" s="276"/>
    </row>
    <row r="991" spans="1:2">
      <c r="A991" s="276"/>
      <c r="B991" s="276"/>
    </row>
    <row r="992" spans="1:2">
      <c r="A992" s="276"/>
      <c r="B992" s="276"/>
    </row>
    <row r="993" spans="1:2">
      <c r="A993" s="276"/>
      <c r="B993" s="276"/>
    </row>
    <row r="994" spans="1:2">
      <c r="A994" s="276"/>
      <c r="B994" s="276"/>
    </row>
    <row r="995" spans="1:2">
      <c r="A995" s="276"/>
      <c r="B995" s="276"/>
    </row>
    <row r="996" spans="1:2">
      <c r="A996" s="276"/>
      <c r="B996" s="276"/>
    </row>
    <row r="997" spans="1:2">
      <c r="A997" s="276"/>
      <c r="B997" s="276"/>
    </row>
    <row r="998" spans="1:2">
      <c r="A998" s="276"/>
      <c r="B998" s="276"/>
    </row>
    <row r="999" spans="1:2">
      <c r="A999" s="276"/>
      <c r="B999" s="276"/>
    </row>
    <row r="1000" spans="1:2">
      <c r="A1000" s="276"/>
      <c r="B1000" s="27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NORTE - RUTH</vt:lpstr>
      <vt:lpstr>CENTRO - CESAR</vt:lpstr>
      <vt:lpstr>SUR - ESTER</vt:lpstr>
      <vt:lpstr>FUERA DEL AIRE</vt:lpstr>
      <vt:lpstr>ESTACIONES</vt:lpstr>
      <vt:lpstr>LOGIN</vt:lpstr>
      <vt:lpstr>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2025-12-08T19:12:01Z</dcterms:modified>
</cp:coreProperties>
</file>